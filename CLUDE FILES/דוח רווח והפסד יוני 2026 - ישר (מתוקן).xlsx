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59029AB4-0CF1-4C34-BCF4-8FA3CA2FE4A8}" xr6:coauthVersionLast="47" xr6:coauthVersionMax="47" xr10:uidLastSave="{00000000-0000-0000-0000-000000000000}"/>
  <bookViews>
    <workbookView xWindow="-28920" yWindow="-105" windowWidth="29040" windowHeight="15720" tabRatio="500" xr2:uid="{00000000-000D-0000-FFFF-FFFF00000000}"/>
  </bookViews>
  <sheets>
    <sheet name="כל הקבלנים" sheetId="1" r:id="rId1"/>
    <sheet name="דירות" sheetId="2" r:id="rId2"/>
    <sheet name="הוצאות קבועות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23" i="3" l="1"/>
  <c r="B22" i="3"/>
  <c r="B21" i="3"/>
  <c r="B20" i="3"/>
  <c r="B18" i="3"/>
  <c r="B11" i="3"/>
  <c r="I13" i="2"/>
  <c r="H13" i="2"/>
  <c r="G13" i="2"/>
  <c r="F13" i="2"/>
  <c r="E13" i="2"/>
  <c r="C13" i="2"/>
  <c r="B13" i="2"/>
  <c r="J12" i="2"/>
  <c r="K12" i="2" s="1"/>
  <c r="J11" i="2"/>
  <c r="K11" i="2" s="1"/>
  <c r="J10" i="2"/>
  <c r="K10" i="2" s="1"/>
  <c r="J9" i="2"/>
  <c r="K9" i="2" s="1"/>
  <c r="J8" i="2"/>
  <c r="K8" i="2" s="1"/>
  <c r="J7" i="2"/>
  <c r="K7" i="2" s="1"/>
  <c r="J6" i="2"/>
  <c r="K6" i="2" s="1"/>
  <c r="J5" i="2"/>
  <c r="K5" i="2" s="1"/>
  <c r="J4" i="2"/>
  <c r="J13" i="2" s="1"/>
  <c r="F227" i="1"/>
  <c r="F228" i="1" s="1"/>
  <c r="F226" i="1"/>
  <c r="F225" i="1"/>
  <c r="F224" i="1"/>
  <c r="F223" i="1"/>
  <c r="F222" i="1"/>
  <c r="E217" i="1"/>
  <c r="E216" i="1"/>
  <c r="E215" i="1"/>
  <c r="E214" i="1"/>
  <c r="E213" i="1"/>
  <c r="E212" i="1"/>
  <c r="E218" i="1" s="1"/>
  <c r="F203" i="1"/>
  <c r="F202" i="1"/>
  <c r="F204" i="1" s="1"/>
  <c r="E197" i="1"/>
  <c r="E198" i="1" s="1"/>
  <c r="E206" i="1" s="1"/>
  <c r="E196" i="1"/>
  <c r="F187" i="1"/>
  <c r="F186" i="1"/>
  <c r="F188" i="1" s="1"/>
  <c r="E182" i="1"/>
  <c r="E181" i="1"/>
  <c r="E180" i="1"/>
  <c r="F172" i="1"/>
  <c r="F171" i="1"/>
  <c r="F170" i="1"/>
  <c r="F169" i="1"/>
  <c r="E164" i="1"/>
  <c r="E163" i="1"/>
  <c r="E162" i="1"/>
  <c r="E165" i="1" s="1"/>
  <c r="E174" i="1" s="1"/>
  <c r="F153" i="1"/>
  <c r="F152" i="1"/>
  <c r="F151" i="1"/>
  <c r="F150" i="1"/>
  <c r="F154" i="1" s="1"/>
  <c r="E145" i="1"/>
  <c r="E144" i="1"/>
  <c r="E143" i="1"/>
  <c r="E142" i="1"/>
  <c r="E146" i="1" s="1"/>
  <c r="E156" i="1" s="1"/>
  <c r="F134" i="1"/>
  <c r="F133" i="1"/>
  <c r="F132" i="1"/>
  <c r="E127" i="1"/>
  <c r="E128" i="1" s="1"/>
  <c r="E136" i="1" s="1"/>
  <c r="E126" i="1"/>
  <c r="F117" i="1"/>
  <c r="F116" i="1"/>
  <c r="F115" i="1"/>
  <c r="F114" i="1"/>
  <c r="F118" i="1" s="1"/>
  <c r="E110" i="1"/>
  <c r="E120" i="1" s="1"/>
  <c r="E109" i="1"/>
  <c r="E108" i="1"/>
  <c r="E107" i="1"/>
  <c r="E106" i="1"/>
  <c r="F98" i="1"/>
  <c r="F97" i="1"/>
  <c r="F96" i="1"/>
  <c r="F95" i="1"/>
  <c r="E90" i="1"/>
  <c r="E89" i="1"/>
  <c r="E91" i="1" s="1"/>
  <c r="E100" i="1" s="1"/>
  <c r="E88" i="1"/>
  <c r="F79" i="1"/>
  <c r="F80" i="1" s="1"/>
  <c r="F78" i="1"/>
  <c r="F77" i="1"/>
  <c r="F76" i="1"/>
  <c r="F75" i="1"/>
  <c r="E70" i="1"/>
  <c r="E69" i="1"/>
  <c r="E68" i="1"/>
  <c r="E71" i="1" s="1"/>
  <c r="E82" i="1" s="1"/>
  <c r="E67" i="1"/>
  <c r="E66" i="1"/>
  <c r="F58" i="1"/>
  <c r="F57" i="1"/>
  <c r="F56" i="1"/>
  <c r="F55" i="1"/>
  <c r="F54" i="1"/>
  <c r="F53" i="1"/>
  <c r="F52" i="1"/>
  <c r="E47" i="1"/>
  <c r="E48" i="1" s="1"/>
  <c r="E60" i="1" s="1"/>
  <c r="E46" i="1"/>
  <c r="E45" i="1"/>
  <c r="E44" i="1"/>
  <c r="E43" i="1"/>
  <c r="E42" i="1"/>
  <c r="F33" i="1"/>
  <c r="F32" i="1"/>
  <c r="F31" i="1"/>
  <c r="F30" i="1"/>
  <c r="F29" i="1"/>
  <c r="F28" i="1"/>
  <c r="F34" i="1" s="1"/>
  <c r="E23" i="1"/>
  <c r="E22" i="1"/>
  <c r="E21" i="1"/>
  <c r="E20" i="1"/>
  <c r="E24" i="1" s="1"/>
  <c r="E36" i="1" s="1"/>
  <c r="E19" i="1"/>
  <c r="E18" i="1"/>
  <c r="F9" i="1"/>
  <c r="F10" i="1" s="1"/>
  <c r="E5" i="1"/>
  <c r="E4" i="1"/>
  <c r="E230" i="1" l="1"/>
  <c r="E234" i="1"/>
  <c r="F235" i="1"/>
  <c r="E190" i="1"/>
  <c r="E12" i="1"/>
  <c r="K4" i="2"/>
  <c r="K13" i="2" s="1"/>
  <c r="E236" i="1" l="1"/>
</calcChain>
</file>

<file path=xl/sharedStrings.xml><?xml version="1.0" encoding="utf-8"?>
<sst xmlns="http://schemas.openxmlformats.org/spreadsheetml/2006/main" count="379" uniqueCount="119">
  <si>
    <t>קבלן: גרשום</t>
  </si>
  <si>
    <t>הכנסה</t>
  </si>
  <si>
    <t>שם עובד</t>
  </si>
  <si>
    <t>שעות</t>
  </si>
  <si>
    <t>אתר לינה</t>
  </si>
  <si>
    <t>עלות (₪)</t>
  </si>
  <si>
    <t>סה"כ הכנסה</t>
  </si>
  <si>
    <t>walikala</t>
  </si>
  <si>
    <t>הוצאה</t>
  </si>
  <si>
    <t>לינה (₪)</t>
  </si>
  <si>
    <t>סה"כ</t>
  </si>
  <si>
    <t>סה"כ הוצאה</t>
  </si>
  <si>
    <t>רווח גולמי</t>
  </si>
  <si>
    <t>קבלן: רמא | שולם: ₪154,955.08</t>
  </si>
  <si>
    <t>erkin</t>
  </si>
  <si>
    <t>daler</t>
  </si>
  <si>
    <t>nodir</t>
  </si>
  <si>
    <t>dmitri</t>
  </si>
  <si>
    <t>SHUHROK</t>
  </si>
  <si>
    <t>קרית גת</t>
  </si>
  <si>
    <t>azamat</t>
  </si>
  <si>
    <t>קבלן: גרייטדור | שולם: ₪77,875.00</t>
  </si>
  <si>
    <t>ranjith</t>
  </si>
  <si>
    <t>dinoka</t>
  </si>
  <si>
    <t>susitha</t>
  </si>
  <si>
    <t>Suresh</t>
  </si>
  <si>
    <t>Liyana</t>
  </si>
  <si>
    <t>Kamal</t>
  </si>
  <si>
    <t>קבלן: ברגשטיין | שולם: ₪95,068.00</t>
  </si>
  <si>
    <t>heera</t>
  </si>
  <si>
    <t>sanat</t>
  </si>
  <si>
    <t>קארו 3</t>
  </si>
  <si>
    <t>damir</t>
  </si>
  <si>
    <t>djamol</t>
  </si>
  <si>
    <t>קבלן: אביאלי | שולם: ₪44,296.31</t>
  </si>
  <si>
    <t>Vasile</t>
  </si>
  <si>
    <t>sanjar</t>
  </si>
  <si>
    <t>Asatillo</t>
  </si>
  <si>
    <t>קבלן: אופיר הקבלן</t>
  </si>
  <si>
    <t>samandar</t>
  </si>
  <si>
    <t>akmal</t>
  </si>
  <si>
    <t>Farkhod</t>
  </si>
  <si>
    <t>Rustam</t>
  </si>
  <si>
    <t>קבלן: יעקב שבט בנימין | שולם: ₪30,205.00</t>
  </si>
  <si>
    <t>Praveen</t>
  </si>
  <si>
    <t>קארו 7</t>
  </si>
  <si>
    <t>nagendra</t>
  </si>
  <si>
    <t>קבלן: שחן כרמלי | שולם: ₪35,657.50</t>
  </si>
  <si>
    <t>andrei</t>
  </si>
  <si>
    <t>alexandr</t>
  </si>
  <si>
    <t>abdurauf</t>
  </si>
  <si>
    <t>kamoliddin</t>
  </si>
  <si>
    <t>קבלן: דוד קבלן | שולם: ₪8,360.00</t>
  </si>
  <si>
    <t>bogir</t>
  </si>
  <si>
    <t>Ergash</t>
  </si>
  <si>
    <t>קבלן: נריה קידוח | שולם: ₪6,080.00</t>
  </si>
  <si>
    <t>Narendra</t>
  </si>
  <si>
    <t>Kumar</t>
  </si>
  <si>
    <t>קבלן: רוטנברג | שולם: ₪36,575.00</t>
  </si>
  <si>
    <t>meena</t>
  </si>
  <si>
    <t>biswas</t>
  </si>
  <si>
    <t>קבלן: מצודת השלום | שולם: ₪107,030.00</t>
  </si>
  <si>
    <t>parimol</t>
  </si>
  <si>
    <t>קארו 11</t>
  </si>
  <si>
    <t>sri ram</t>
  </si>
  <si>
    <t>kumar</t>
  </si>
  <si>
    <t>sanjay</t>
  </si>
  <si>
    <t>harikesh</t>
  </si>
  <si>
    <t>ramishwar</t>
  </si>
  <si>
    <t>סה"כ רווח</t>
  </si>
  <si>
    <t>דירות - יוני 2026</t>
  </si>
  <si>
    <t>שם דירה</t>
  </si>
  <si>
    <t>שכירות (₪)</t>
  </si>
  <si>
    <t>הכנסה (₪)</t>
  </si>
  <si>
    <t>מי נמצא</t>
  </si>
  <si>
    <t>חשמל</t>
  </si>
  <si>
    <t>מים</t>
  </si>
  <si>
    <t>ארנונה</t>
  </si>
  <si>
    <t>גז</t>
  </si>
  <si>
    <t>רועי</t>
  </si>
  <si>
    <t>סה"כ הוצ</t>
  </si>
  <si>
    <t>רווח (₪)</t>
  </si>
  <si>
    <t>ברגשטיין + דוד קבלן (5)</t>
  </si>
  <si>
    <t>אשקלון (בן גוריון)</t>
  </si>
  <si>
    <t>איבריקה</t>
  </si>
  <si>
    <t>אסירי ציון</t>
  </si>
  <si>
    <t>איבריקה (10)</t>
  </si>
  <si>
    <t>בית צפאפא - לימור</t>
  </si>
  <si>
    <t>לימור</t>
  </si>
  <si>
    <t>קורצאק - לימור</t>
  </si>
  <si>
    <t>ברוריה - אלגרסי</t>
  </si>
  <si>
    <t>אלגרסי</t>
  </si>
  <si>
    <t>קרית גת (הרימון)</t>
  </si>
  <si>
    <t>רמא (SHUHROK, azamat)</t>
  </si>
  <si>
    <t>הוצאות קבועות - יוני 2026</t>
  </si>
  <si>
    <t>תיאור הוצאה</t>
  </si>
  <si>
    <t>סכום (₪)</t>
  </si>
  <si>
    <t>משכורות:</t>
  </si>
  <si>
    <t xml:space="preserve">  פריימן יהודה</t>
  </si>
  <si>
    <t xml:space="preserve">  מינסקי שלמה</t>
  </si>
  <si>
    <t xml:space="preserve">  עדינה קארו</t>
  </si>
  <si>
    <t xml:space="preserve">  נחשון חיים</t>
  </si>
  <si>
    <t xml:space="preserve">  יהודה איידנוב</t>
  </si>
  <si>
    <t xml:space="preserve">  אסתר</t>
  </si>
  <si>
    <t>סה"כ משכורות</t>
  </si>
  <si>
    <t>הוצאות אחרות:</t>
  </si>
  <si>
    <t xml:space="preserve">  שכירות משרד</t>
  </si>
  <si>
    <t xml:space="preserve">  ארנונה משרד</t>
  </si>
  <si>
    <t xml:space="preserve">  עורך דין - אייל גולן</t>
  </si>
  <si>
    <t xml:space="preserve">  רואה חשבון</t>
  </si>
  <si>
    <t>סה"כ הוצאות אחרות</t>
  </si>
  <si>
    <t>סה"כ הוצאות קבועות</t>
  </si>
  <si>
    <t>סה"כ חברת ישר</t>
  </si>
  <si>
    <t>סה"כ חברת מטה</t>
  </si>
  <si>
    <t>ביקורת - הפרש מול הסה"כ</t>
  </si>
  <si>
    <t>תוקן 26/08/2026: "סה"כ הוצאות אחרות" לא כלל שכר רואה חשבון, ו"סה"כ הוצאות קבועות" חיבר את שורת רואה החשבון במקום את סכום ההוצאות האחרות. הפיצול ישר/מטה מחושב כעת בנוסחה: פריימן ואיידנוב = מטה, משרד ועורך דין 50/50, שאר המשכורות ורו"ח = ישר.</t>
  </si>
  <si>
    <t>סה"כ התקבל (נכון ל-19/07/2026)</t>
  </si>
  <si>
    <t>מצודת השלום (4) - 4 מיטות בלבד</t>
  </si>
  <si>
    <t>שבט בנימין (2) + מצודת השלום (2) + איבריקה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</si>
</sst>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\₪#,##0.00"/>
    <numFmt numFmtId="165" formatCode="\₪#,##0"/>
  </numFmts>
  <fonts count="9">
    <font>
      <sz val="11"/>
      <color theme="1"/>
      <name val="Calibri"/>
      <family val="2"/>
      <charset val="1"/>
    </font>
    <font>
      <b/>
      <sz val="11"/>
      <name val="Arial"/>
      <family val="2"/>
    </font>
    <font>
      <b/>
      <sz val="10"/>
      <name val="Arial"/>
      <family val="2"/>
    </font>
    <font>
      <b/>
      <sz val="11"/>
      <color rgb="FFFFFFFF"/>
      <name val="Arial"/>
      <family val="2"/>
    </font>
    <font>
      <b/>
      <sz val="10"/>
      <color rgb="FF00B050"/>
      <name val="Arial"/>
      <family val="2"/>
    </font>
    <font>
      <sz val="11"/>
      <color theme="1"/>
      <name val="FreeSans"/>
      <family val="2"/>
      <charset val="1"/>
    </font>
    <font>
      <b/>
      <sz val="12"/>
      <name val="Arial"/>
      <family val="2"/>
    </font>
    <font>
      <b/>
      <sz val="10"/>
      <color rgb="FF0070C0"/>
      <name val="Arial"/>
      <family val="2"/>
    </font>
    <font>
      <i/>
      <sz val="11"/>
      <color rgb="FF808080"/>
      <name val="Calibri"/>
      <family val="2"/>
    </font>
  </fonts>
  <fills count="10">
    <fill>
      <patternFill patternType="none"/>
    </fill>
    <fill>
      <patternFill patternType="gray125"/>
    </fill>
    <fill>
      <patternFill patternType="solid">
        <fgColor rgb="FFD9E1F2"/>
        <bgColor rgb="FFE7E6E6"/>
      </patternFill>
    </fill>
    <fill>
      <patternFill patternType="solid">
        <fgColor rgb="FF1F4E78"/>
        <bgColor rgb="FF003366"/>
      </patternFill>
    </fill>
    <fill>
      <patternFill patternType="solid">
        <fgColor rgb="FFFFF2CC"/>
        <bgColor rgb="FFE2EFDA"/>
      </patternFill>
    </fill>
    <fill>
      <patternFill patternType="solid">
        <fgColor rgb="FFE2EFDA"/>
        <bgColor rgb="FFE7E6E6"/>
      </patternFill>
    </fill>
    <fill>
      <patternFill patternType="solid">
        <fgColor rgb="FF00B050"/>
        <bgColor rgb="FF008080"/>
      </patternFill>
    </fill>
    <fill>
      <patternFill patternType="solid">
        <fgColor rgb="FFE7E6E6"/>
        <bgColor rgb="FFE2EFDA"/>
      </patternFill>
    </fill>
    <fill>
      <patternFill patternType="solid">
        <fgColor rgb="FFC6E0B4"/>
        <bgColor rgb="FFE2EFDA"/>
      </patternFill>
    </fill>
    <fill>
      <patternFill patternType="solid">
        <fgColor rgb="FFB4C7E7"/>
        <bgColor rgb="FF99CCFF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0" borderId="0" xfId="0" applyFont="1"/>
    <xf numFmtId="0" fontId="2" fillId="2" borderId="0" xfId="0" applyFont="1" applyFill="1"/>
    <xf numFmtId="0" fontId="3" fillId="3" borderId="1" xfId="0" applyFont="1" applyFill="1" applyBorder="1" applyAlignment="1">
      <alignment horizontal="center" wrapText="1"/>
    </xf>
    <xf numFmtId="0" fontId="0" fillId="0" borderId="1" xfId="0" applyBorder="1" applyAlignment="1">
      <alignment horizontal="right"/>
    </xf>
    <xf numFmtId="164" fontId="0" fillId="0" borderId="1" xfId="0" applyNumberFormat="1" applyBorder="1" applyAlignment="1">
      <alignment horizontal="right"/>
    </xf>
    <xf numFmtId="0" fontId="2" fillId="4" borderId="1" xfId="0" applyFont="1" applyFill="1" applyBorder="1" applyAlignment="1">
      <alignment horizontal="right"/>
    </xf>
    <xf numFmtId="164" fontId="2" fillId="4" borderId="1" xfId="0" applyNumberFormat="1" applyFont="1" applyFill="1" applyBorder="1" applyAlignment="1">
      <alignment horizontal="right"/>
    </xf>
    <xf numFmtId="0" fontId="4" fillId="5" borderId="1" xfId="0" applyFont="1" applyFill="1" applyBorder="1" applyAlignment="1">
      <alignment horizontal="right"/>
    </xf>
    <xf numFmtId="164" fontId="4" fillId="5" borderId="1" xfId="0" applyNumberFormat="1" applyFont="1" applyFill="1" applyBorder="1" applyAlignment="1">
      <alignment horizontal="right"/>
    </xf>
    <xf numFmtId="0" fontId="5" fillId="0" borderId="1" xfId="0" applyFont="1" applyBorder="1" applyAlignment="1">
      <alignment horizontal="right"/>
    </xf>
    <xf numFmtId="0" fontId="3" fillId="6" borderId="1" xfId="0" applyFont="1" applyFill="1" applyBorder="1"/>
    <xf numFmtId="164" fontId="3" fillId="6" borderId="1" xfId="0" applyNumberFormat="1" applyFont="1" applyFill="1" applyBorder="1"/>
    <xf numFmtId="0" fontId="6" fillId="0" borderId="0" xfId="0" applyFont="1" applyAlignment="1">
      <alignment horizontal="right"/>
    </xf>
    <xf numFmtId="0" fontId="5" fillId="0" borderId="1" xfId="0" applyFont="1" applyBorder="1" applyAlignment="1">
      <alignment horizontal="right" wrapText="1"/>
    </xf>
    <xf numFmtId="164" fontId="0" fillId="0" borderId="1" xfId="0" applyNumberFormat="1" applyBorder="1" applyAlignment="1">
      <alignment horizontal="right" wrapText="1"/>
    </xf>
    <xf numFmtId="165" fontId="5" fillId="0" borderId="1" xfId="0" applyNumberFormat="1" applyFont="1" applyBorder="1" applyAlignment="1">
      <alignment horizontal="right" wrapText="1"/>
    </xf>
    <xf numFmtId="164" fontId="5" fillId="0" borderId="1" xfId="0" applyNumberFormat="1" applyFont="1" applyBorder="1" applyAlignment="1">
      <alignment horizontal="right" wrapText="1"/>
    </xf>
    <xf numFmtId="165" fontId="2" fillId="4" borderId="1" xfId="0" applyNumberFormat="1" applyFont="1" applyFill="1" applyBorder="1" applyAlignment="1">
      <alignment horizontal="right"/>
    </xf>
    <xf numFmtId="0" fontId="3" fillId="3" borderId="1" xfId="0" applyFont="1" applyFill="1" applyBorder="1" applyAlignment="1">
      <alignment horizontal="center"/>
    </xf>
    <xf numFmtId="0" fontId="2" fillId="7" borderId="1" xfId="0" applyFont="1" applyFill="1" applyBorder="1" applyAlignment="1">
      <alignment horizontal="right"/>
    </xf>
    <xf numFmtId="164" fontId="2" fillId="7" borderId="1" xfId="0" applyNumberFormat="1" applyFont="1" applyFill="1" applyBorder="1" applyAlignment="1">
      <alignment horizontal="right"/>
    </xf>
    <xf numFmtId="164" fontId="4" fillId="8" borderId="1" xfId="0" applyNumberFormat="1" applyFont="1" applyFill="1" applyBorder="1" applyAlignment="1">
      <alignment horizontal="right"/>
    </xf>
    <xf numFmtId="164" fontId="7" fillId="9" borderId="1" xfId="0" applyNumberFormat="1" applyFont="1" applyFill="1" applyBorder="1" applyAlignment="1">
      <alignment horizontal="right"/>
    </xf>
    <xf numFmtId="164" fontId="0" fillId="0" borderId="0" xfId="0" applyNumberFormat="1"/>
    <xf numFmtId="0" fontId="8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4C7E7"/>
      <rgbColor rgb="FF808080"/>
      <rgbColor rgb="FF9999FF"/>
      <rgbColor rgb="FF993366"/>
      <rgbColor rgb="FFFFF2CC"/>
      <rgbColor rgb="FFE7E6E6"/>
      <rgbColor rgb="FF660066"/>
      <rgbColor rgb="FFFF8080"/>
      <rgbColor rgb="FF0070C0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6E0B4"/>
      <rgbColor rgb="FFE2EFD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00B050"/>
      <rgbColor rgb="FF003300"/>
      <rgbColor rgb="FF333300"/>
      <rgbColor rgb="FF9933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38"/>
  <sheetViews>
    <sheetView tabSelected="1" zoomScaleNormal="100" workbookViewId="0"/>
  </sheetViews>
  <sheetFormatPr defaultColWidth="8.7109375" defaultRowHeight="15"/>
  <cols>
    <col min="1" max="1" width="20" customWidth="1"/>
    <col min="2" max="3" width="12" customWidth="1"/>
    <col min="4" max="4" width="15" customWidth="1"/>
    <col min="5" max="6" width="12" customWidth="1"/>
  </cols>
  <sheetData>
    <row r="1" spans="1:6" ht="15" customHeight="1">
      <c r="A1" s="1" t="s">
        <v>0</v>
      </c>
    </row>
    <row r="2" spans="1:6" ht="15" customHeight="1">
      <c r="A2" s="2" t="s">
        <v>1</v>
      </c>
    </row>
    <row r="3" spans="1:6" ht="26.25" customHeight="1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</row>
    <row r="4" spans="1:6" ht="15" customHeight="1">
      <c r="A4" s="4" t="s">
        <v>7</v>
      </c>
      <c r="B4" s="4">
        <v>220</v>
      </c>
      <c r="C4" s="4"/>
      <c r="D4" s="5">
        <v>77</v>
      </c>
      <c r="E4" s="5">
        <f>B4*D4</f>
        <v>16940</v>
      </c>
    </row>
    <row r="5" spans="1:6" ht="15" customHeight="1">
      <c r="A5" s="6" t="s">
        <v>6</v>
      </c>
      <c r="B5" s="6"/>
      <c r="C5" s="6"/>
      <c r="D5" s="6"/>
      <c r="E5" s="7">
        <f>SUM(E4:E4)</f>
        <v>16940</v>
      </c>
    </row>
    <row r="7" spans="1:6" ht="15" customHeight="1">
      <c r="A7" s="2" t="s">
        <v>8</v>
      </c>
    </row>
    <row r="8" spans="1:6" ht="15" customHeight="1">
      <c r="A8" s="3" t="s">
        <v>2</v>
      </c>
      <c r="B8" s="3" t="s">
        <v>3</v>
      </c>
      <c r="C8" s="3" t="s">
        <v>4</v>
      </c>
      <c r="D8" s="3" t="s">
        <v>5</v>
      </c>
      <c r="E8" s="3" t="s">
        <v>9</v>
      </c>
      <c r="F8" s="3" t="s">
        <v>10</v>
      </c>
    </row>
    <row r="9" spans="1:6" ht="15" customHeight="1">
      <c r="A9" s="4" t="s">
        <v>7</v>
      </c>
      <c r="B9" s="4">
        <v>220</v>
      </c>
      <c r="C9" s="4"/>
      <c r="D9" s="5">
        <v>65</v>
      </c>
      <c r="E9" s="5">
        <v>0</v>
      </c>
      <c r="F9" s="5">
        <f>B9*D9+E9</f>
        <v>14300</v>
      </c>
    </row>
    <row r="10" spans="1:6" ht="15" customHeight="1">
      <c r="A10" s="6" t="s">
        <v>11</v>
      </c>
      <c r="B10" s="6"/>
      <c r="C10" s="6"/>
      <c r="D10" s="6"/>
      <c r="E10" s="6"/>
      <c r="F10" s="7">
        <f>SUM(F9:F9)</f>
        <v>14300</v>
      </c>
    </row>
    <row r="12" spans="1:6" ht="15" customHeight="1">
      <c r="A12" s="8" t="s">
        <v>12</v>
      </c>
      <c r="B12" s="8"/>
      <c r="C12" s="8"/>
      <c r="D12" s="8"/>
      <c r="E12" s="9">
        <f>E5-F10</f>
        <v>2640</v>
      </c>
    </row>
    <row r="15" spans="1:6" ht="15" customHeight="1">
      <c r="A15" s="1" t="s">
        <v>13</v>
      </c>
    </row>
    <row r="16" spans="1:6" ht="15" customHeight="1">
      <c r="A16" s="2" t="s">
        <v>1</v>
      </c>
    </row>
    <row r="17" spans="1:6" ht="26.25" customHeight="1">
      <c r="A17" s="3" t="s">
        <v>2</v>
      </c>
      <c r="B17" s="3" t="s">
        <v>3</v>
      </c>
      <c r="C17" s="3" t="s">
        <v>4</v>
      </c>
      <c r="D17" s="3" t="s">
        <v>5</v>
      </c>
      <c r="E17" s="3" t="s">
        <v>6</v>
      </c>
    </row>
    <row r="18" spans="1:6" ht="15" customHeight="1">
      <c r="A18" s="4" t="s">
        <v>14</v>
      </c>
      <c r="B18" s="4">
        <v>231</v>
      </c>
      <c r="C18" s="4"/>
      <c r="D18" s="5">
        <v>100</v>
      </c>
      <c r="E18" s="5">
        <f t="shared" ref="E18:E23" si="0">B18*D18</f>
        <v>23100</v>
      </c>
    </row>
    <row r="19" spans="1:6" ht="15" customHeight="1">
      <c r="A19" s="4" t="s">
        <v>15</v>
      </c>
      <c r="B19" s="4">
        <v>259</v>
      </c>
      <c r="C19" s="4"/>
      <c r="D19" s="5">
        <v>100</v>
      </c>
      <c r="E19" s="5">
        <f t="shared" si="0"/>
        <v>25900</v>
      </c>
    </row>
    <row r="20" spans="1:6" ht="15" customHeight="1">
      <c r="A20" s="4" t="s">
        <v>16</v>
      </c>
      <c r="B20" s="4">
        <v>268</v>
      </c>
      <c r="C20" s="4"/>
      <c r="D20" s="5">
        <v>100</v>
      </c>
      <c r="E20" s="5">
        <f t="shared" si="0"/>
        <v>26800</v>
      </c>
    </row>
    <row r="21" spans="1:6" ht="15" customHeight="1">
      <c r="A21" s="4" t="s">
        <v>17</v>
      </c>
      <c r="B21" s="4">
        <v>255</v>
      </c>
      <c r="C21" s="4"/>
      <c r="D21" s="5">
        <v>100</v>
      </c>
      <c r="E21" s="5">
        <f t="shared" si="0"/>
        <v>25500</v>
      </c>
    </row>
    <row r="22" spans="1:6" ht="15" customHeight="1">
      <c r="A22" s="4" t="s">
        <v>18</v>
      </c>
      <c r="B22" s="4">
        <v>244</v>
      </c>
      <c r="C22" s="10" t="s">
        <v>19</v>
      </c>
      <c r="D22" s="5">
        <v>105</v>
      </c>
      <c r="E22" s="5">
        <f t="shared" si="0"/>
        <v>25620</v>
      </c>
    </row>
    <row r="23" spans="1:6" ht="15" customHeight="1">
      <c r="A23" s="4" t="s">
        <v>20</v>
      </c>
      <c r="B23" s="4">
        <v>267</v>
      </c>
      <c r="C23" s="10" t="s">
        <v>19</v>
      </c>
      <c r="D23" s="5">
        <v>105</v>
      </c>
      <c r="E23" s="5">
        <f t="shared" si="0"/>
        <v>28035</v>
      </c>
    </row>
    <row r="24" spans="1:6" ht="15" customHeight="1">
      <c r="A24" s="6" t="s">
        <v>6</v>
      </c>
      <c r="B24" s="6"/>
      <c r="C24" s="6"/>
      <c r="D24" s="6"/>
      <c r="E24" s="7">
        <f>SUM(E18:E23)</f>
        <v>154955</v>
      </c>
    </row>
    <row r="26" spans="1:6" ht="15" customHeight="1">
      <c r="A26" s="2" t="s">
        <v>8</v>
      </c>
    </row>
    <row r="27" spans="1:6" ht="15" customHeight="1">
      <c r="A27" s="3" t="s">
        <v>2</v>
      </c>
      <c r="B27" s="3" t="s">
        <v>3</v>
      </c>
      <c r="C27" s="3" t="s">
        <v>4</v>
      </c>
      <c r="D27" s="3" t="s">
        <v>5</v>
      </c>
      <c r="E27" s="3" t="s">
        <v>9</v>
      </c>
      <c r="F27" s="3" t="s">
        <v>10</v>
      </c>
    </row>
    <row r="28" spans="1:6" ht="15" customHeight="1">
      <c r="A28" s="4" t="s">
        <v>14</v>
      </c>
      <c r="B28" s="4">
        <v>231</v>
      </c>
      <c r="C28" s="4"/>
      <c r="D28" s="5">
        <v>83</v>
      </c>
      <c r="E28" s="5">
        <v>0</v>
      </c>
      <c r="F28" s="5">
        <f t="shared" ref="F28:F33" si="1">B28*D28+E28</f>
        <v>19173</v>
      </c>
    </row>
    <row r="29" spans="1:6" ht="15" customHeight="1">
      <c r="A29" s="4" t="s">
        <v>15</v>
      </c>
      <c r="B29" s="4">
        <v>259</v>
      </c>
      <c r="C29" s="4"/>
      <c r="D29" s="5">
        <v>75</v>
      </c>
      <c r="E29" s="5">
        <v>0</v>
      </c>
      <c r="F29" s="5">
        <f t="shared" si="1"/>
        <v>19425</v>
      </c>
    </row>
    <row r="30" spans="1:6" ht="15" customHeight="1">
      <c r="A30" s="4" t="s">
        <v>16</v>
      </c>
      <c r="B30" s="4">
        <v>268</v>
      </c>
      <c r="C30" s="4"/>
      <c r="D30" s="5">
        <v>77</v>
      </c>
      <c r="E30" s="5">
        <v>0</v>
      </c>
      <c r="F30" s="5">
        <f t="shared" si="1"/>
        <v>20636</v>
      </c>
    </row>
    <row r="31" spans="1:6" ht="15" customHeight="1">
      <c r="A31" s="4" t="s">
        <v>17</v>
      </c>
      <c r="B31" s="4">
        <v>255</v>
      </c>
      <c r="C31" s="4"/>
      <c r="D31" s="5">
        <v>80</v>
      </c>
      <c r="E31" s="5">
        <v>0</v>
      </c>
      <c r="F31" s="5">
        <f t="shared" si="1"/>
        <v>20400</v>
      </c>
    </row>
    <row r="32" spans="1:6" ht="15" customHeight="1">
      <c r="A32" s="4" t="s">
        <v>18</v>
      </c>
      <c r="B32" s="4">
        <v>244</v>
      </c>
      <c r="C32" s="10" t="s">
        <v>19</v>
      </c>
      <c r="D32" s="5">
        <v>77</v>
      </c>
      <c r="E32" s="5">
        <v>1180</v>
      </c>
      <c r="F32" s="5">
        <f t="shared" si="1"/>
        <v>19968</v>
      </c>
    </row>
    <row r="33" spans="1:6" ht="15" customHeight="1">
      <c r="A33" s="4" t="s">
        <v>20</v>
      </c>
      <c r="B33" s="4">
        <v>267</v>
      </c>
      <c r="C33" s="10" t="s">
        <v>19</v>
      </c>
      <c r="D33" s="5">
        <v>83</v>
      </c>
      <c r="E33" s="5">
        <v>1180</v>
      </c>
      <c r="F33" s="5">
        <f t="shared" si="1"/>
        <v>23341</v>
      </c>
    </row>
    <row r="34" spans="1:6" ht="15" customHeight="1">
      <c r="A34" s="6" t="s">
        <v>11</v>
      </c>
      <c r="B34" s="6"/>
      <c r="C34" s="6"/>
      <c r="D34" s="6"/>
      <c r="E34" s="6"/>
      <c r="F34" s="7">
        <f>SUM(F28:F33)</f>
        <v>122943</v>
      </c>
    </row>
    <row r="36" spans="1:6" ht="15" customHeight="1">
      <c r="A36" s="8" t="s">
        <v>12</v>
      </c>
      <c r="B36" s="8"/>
      <c r="C36" s="8"/>
      <c r="D36" s="8"/>
      <c r="E36" s="9">
        <f>E24-F34</f>
        <v>32012</v>
      </c>
    </row>
    <row r="39" spans="1:6" ht="15" customHeight="1">
      <c r="A39" s="1" t="s">
        <v>21</v>
      </c>
    </row>
    <row r="40" spans="1:6" ht="15" customHeight="1">
      <c r="A40" s="2" t="s">
        <v>1</v>
      </c>
    </row>
    <row r="41" spans="1:6" ht="26.25" customHeight="1">
      <c r="A41" s="3" t="s">
        <v>2</v>
      </c>
      <c r="B41" s="3" t="s">
        <v>3</v>
      </c>
      <c r="C41" s="3" t="s">
        <v>4</v>
      </c>
      <c r="D41" s="3" t="s">
        <v>5</v>
      </c>
      <c r="E41" s="3" t="s">
        <v>6</v>
      </c>
    </row>
    <row r="42" spans="1:6" ht="15" customHeight="1">
      <c r="A42" s="4" t="s">
        <v>22</v>
      </c>
      <c r="B42" s="4">
        <v>276.5</v>
      </c>
      <c r="C42" s="4"/>
      <c r="D42" s="5">
        <v>75</v>
      </c>
      <c r="E42" s="5">
        <f t="shared" ref="E42:E47" si="2">B42*D42</f>
        <v>20737.5</v>
      </c>
    </row>
    <row r="43" spans="1:6" ht="15" customHeight="1">
      <c r="A43" s="4" t="s">
        <v>23</v>
      </c>
      <c r="B43" s="4">
        <v>259.5</v>
      </c>
      <c r="C43" s="4"/>
      <c r="D43" s="5">
        <v>75</v>
      </c>
      <c r="E43" s="5">
        <f t="shared" si="2"/>
        <v>19462.5</v>
      </c>
    </row>
    <row r="44" spans="1:6" ht="15" customHeight="1">
      <c r="A44" s="4" t="s">
        <v>24</v>
      </c>
      <c r="B44" s="4">
        <v>267</v>
      </c>
      <c r="C44" s="4"/>
      <c r="D44" s="5">
        <v>75</v>
      </c>
      <c r="E44" s="5">
        <f t="shared" si="2"/>
        <v>20025</v>
      </c>
    </row>
    <row r="45" spans="1:6" ht="15" customHeight="1">
      <c r="A45" s="4" t="s">
        <v>25</v>
      </c>
      <c r="B45" s="4">
        <v>267</v>
      </c>
      <c r="C45" s="4"/>
      <c r="D45" s="5">
        <v>75</v>
      </c>
      <c r="E45" s="5">
        <f t="shared" si="2"/>
        <v>20025</v>
      </c>
    </row>
    <row r="46" spans="1:6" ht="15" customHeight="1">
      <c r="A46" s="4" t="s">
        <v>26</v>
      </c>
      <c r="B46" s="4">
        <v>24</v>
      </c>
      <c r="C46" s="4"/>
      <c r="D46" s="5">
        <v>75</v>
      </c>
      <c r="E46" s="5">
        <f t="shared" si="2"/>
        <v>1800</v>
      </c>
    </row>
    <row r="47" spans="1:6" ht="15" customHeight="1">
      <c r="A47" s="4" t="s">
        <v>27</v>
      </c>
      <c r="B47" s="4">
        <v>24</v>
      </c>
      <c r="C47" s="4"/>
      <c r="D47" s="5">
        <v>75</v>
      </c>
      <c r="E47" s="5">
        <f t="shared" si="2"/>
        <v>1800</v>
      </c>
    </row>
    <row r="48" spans="1:6" ht="15" customHeight="1">
      <c r="A48" s="6" t="s">
        <v>6</v>
      </c>
      <c r="B48" s="6"/>
      <c r="C48" s="6"/>
      <c r="D48" s="6"/>
      <c r="E48" s="7">
        <f>SUM(E42:E47)</f>
        <v>83850</v>
      </c>
    </row>
    <row r="50" spans="1:6" ht="15" customHeight="1">
      <c r="A50" s="2" t="s">
        <v>8</v>
      </c>
    </row>
    <row r="51" spans="1:6" ht="15" customHeight="1">
      <c r="A51" s="3" t="s">
        <v>2</v>
      </c>
      <c r="B51" s="3" t="s">
        <v>3</v>
      </c>
      <c r="C51" s="3" t="s">
        <v>4</v>
      </c>
      <c r="D51" s="3" t="s">
        <v>5</v>
      </c>
      <c r="E51" s="3" t="s">
        <v>9</v>
      </c>
      <c r="F51" s="3" t="s">
        <v>10</v>
      </c>
    </row>
    <row r="52" spans="1:6" ht="15" customHeight="1">
      <c r="A52" s="4" t="s">
        <v>22</v>
      </c>
      <c r="B52" s="4">
        <v>276.5</v>
      </c>
      <c r="C52" s="4"/>
      <c r="D52" s="5">
        <v>70</v>
      </c>
      <c r="E52" s="5">
        <v>0</v>
      </c>
      <c r="F52" s="5">
        <f t="shared" ref="F52:F57" si="3">B52*D52+E52</f>
        <v>19355</v>
      </c>
    </row>
    <row r="53" spans="1:6" ht="15" customHeight="1">
      <c r="A53" s="4" t="s">
        <v>23</v>
      </c>
      <c r="B53" s="4">
        <v>259.5</v>
      </c>
      <c r="C53" s="4"/>
      <c r="D53" s="5">
        <v>70</v>
      </c>
      <c r="E53" s="5">
        <v>0</v>
      </c>
      <c r="F53" s="5">
        <f t="shared" si="3"/>
        <v>18165</v>
      </c>
    </row>
    <row r="54" spans="1:6" ht="15" customHeight="1">
      <c r="A54" s="4" t="s">
        <v>24</v>
      </c>
      <c r="B54" s="4">
        <v>267</v>
      </c>
      <c r="C54" s="4"/>
      <c r="D54" s="5">
        <v>70</v>
      </c>
      <c r="E54" s="5">
        <v>0</v>
      </c>
      <c r="F54" s="5">
        <f t="shared" si="3"/>
        <v>18690</v>
      </c>
    </row>
    <row r="55" spans="1:6" ht="15" customHeight="1">
      <c r="A55" s="4" t="s">
        <v>25</v>
      </c>
      <c r="B55" s="4">
        <v>267</v>
      </c>
      <c r="C55" s="4"/>
      <c r="D55" s="5">
        <v>70</v>
      </c>
      <c r="E55" s="5">
        <v>0</v>
      </c>
      <c r="F55" s="5">
        <f t="shared" si="3"/>
        <v>18690</v>
      </c>
    </row>
    <row r="56" spans="1:6" ht="15" customHeight="1">
      <c r="A56" s="4" t="s">
        <v>26</v>
      </c>
      <c r="B56" s="4">
        <v>24</v>
      </c>
      <c r="C56" s="4"/>
      <c r="D56" s="5">
        <v>70</v>
      </c>
      <c r="E56" s="5">
        <v>0</v>
      </c>
      <c r="F56" s="5">
        <f t="shared" si="3"/>
        <v>1680</v>
      </c>
    </row>
    <row r="57" spans="1:6" ht="15" customHeight="1">
      <c r="A57" s="4" t="s">
        <v>27</v>
      </c>
      <c r="B57" s="4">
        <v>24</v>
      </c>
      <c r="C57" s="4"/>
      <c r="D57" s="5">
        <v>70</v>
      </c>
      <c r="E57" s="5">
        <v>0</v>
      </c>
      <c r="F57" s="5">
        <f t="shared" si="3"/>
        <v>1680</v>
      </c>
    </row>
    <row r="58" spans="1:6" ht="15" customHeight="1">
      <c r="A58" s="6" t="s">
        <v>11</v>
      </c>
      <c r="B58" s="6"/>
      <c r="C58" s="6"/>
      <c r="D58" s="6"/>
      <c r="E58" s="6"/>
      <c r="F58" s="7">
        <f>SUM(F52:F57)</f>
        <v>78260</v>
      </c>
    </row>
    <row r="60" spans="1:6" ht="15" customHeight="1">
      <c r="A60" s="8" t="s">
        <v>12</v>
      </c>
      <c r="B60" s="8"/>
      <c r="C60" s="8"/>
      <c r="D60" s="8"/>
      <c r="E60" s="9">
        <f>E48-F58</f>
        <v>5590</v>
      </c>
    </row>
    <row r="63" spans="1:6" ht="15" customHeight="1">
      <c r="A63" s="1" t="s">
        <v>28</v>
      </c>
    </row>
    <row r="64" spans="1:6" ht="15" customHeight="1">
      <c r="A64" s="2" t="s">
        <v>1</v>
      </c>
    </row>
    <row r="65" spans="1:6" ht="26.25" customHeight="1">
      <c r="A65" s="3" t="s">
        <v>2</v>
      </c>
      <c r="B65" s="3" t="s">
        <v>3</v>
      </c>
      <c r="C65" s="3" t="s">
        <v>4</v>
      </c>
      <c r="D65" s="3" t="s">
        <v>5</v>
      </c>
      <c r="E65" s="3" t="s">
        <v>6</v>
      </c>
    </row>
    <row r="66" spans="1:6" ht="15" customHeight="1">
      <c r="A66" s="4" t="s">
        <v>29</v>
      </c>
      <c r="B66" s="4">
        <v>236</v>
      </c>
      <c r="C66" s="4"/>
      <c r="D66" s="5">
        <v>73</v>
      </c>
      <c r="E66" s="5">
        <f>B66*D66</f>
        <v>17228</v>
      </c>
    </row>
    <row r="67" spans="1:6" ht="15" customHeight="1">
      <c r="A67" s="4" t="s">
        <v>25</v>
      </c>
      <c r="B67" s="4">
        <v>170</v>
      </c>
      <c r="C67" s="4"/>
      <c r="D67" s="5">
        <v>73</v>
      </c>
      <c r="E67" s="5">
        <f>B67*D67</f>
        <v>12410</v>
      </c>
    </row>
    <row r="68" spans="1:6" ht="15" customHeight="1">
      <c r="A68" s="4" t="s">
        <v>30</v>
      </c>
      <c r="B68" s="4">
        <v>247.5</v>
      </c>
      <c r="C68" s="10" t="s">
        <v>31</v>
      </c>
      <c r="D68" s="5">
        <v>90</v>
      </c>
      <c r="E68" s="5">
        <f>B68*D68</f>
        <v>22275</v>
      </c>
    </row>
    <row r="69" spans="1:6" ht="15" customHeight="1">
      <c r="A69" s="4" t="s">
        <v>32</v>
      </c>
      <c r="B69" s="4">
        <v>247</v>
      </c>
      <c r="C69" s="10" t="s">
        <v>31</v>
      </c>
      <c r="D69" s="5">
        <v>90</v>
      </c>
      <c r="E69" s="5">
        <f>B69*D69</f>
        <v>22230</v>
      </c>
    </row>
    <row r="70" spans="1:6" ht="15" customHeight="1">
      <c r="A70" s="4" t="s">
        <v>33</v>
      </c>
      <c r="B70" s="4">
        <v>232.5</v>
      </c>
      <c r="C70" s="10" t="s">
        <v>31</v>
      </c>
      <c r="D70" s="5">
        <v>90</v>
      </c>
      <c r="E70" s="5">
        <f>B70*D70</f>
        <v>20925</v>
      </c>
    </row>
    <row r="71" spans="1:6" ht="15" customHeight="1">
      <c r="A71" s="6" t="s">
        <v>6</v>
      </c>
      <c r="B71" s="6"/>
      <c r="C71" s="6"/>
      <c r="D71" s="6"/>
      <c r="E71" s="7">
        <f>SUM(E66:E70)</f>
        <v>95068</v>
      </c>
    </row>
    <row r="73" spans="1:6" ht="15" customHeight="1">
      <c r="A73" s="2" t="s">
        <v>8</v>
      </c>
    </row>
    <row r="74" spans="1:6" ht="15" customHeight="1">
      <c r="A74" s="3" t="s">
        <v>2</v>
      </c>
      <c r="B74" s="3" t="s">
        <v>3</v>
      </c>
      <c r="C74" s="3" t="s">
        <v>4</v>
      </c>
      <c r="D74" s="3" t="s">
        <v>5</v>
      </c>
      <c r="E74" s="3" t="s">
        <v>9</v>
      </c>
      <c r="F74" s="3" t="s">
        <v>10</v>
      </c>
    </row>
    <row r="75" spans="1:6" ht="15" customHeight="1">
      <c r="A75" s="4" t="s">
        <v>29</v>
      </c>
      <c r="B75" s="4">
        <v>236</v>
      </c>
      <c r="C75" s="4"/>
      <c r="D75" s="5">
        <v>70</v>
      </c>
      <c r="E75" s="5">
        <v>0</v>
      </c>
      <c r="F75" s="5">
        <f>B75*D75+E75</f>
        <v>16520</v>
      </c>
    </row>
    <row r="76" spans="1:6" ht="15" customHeight="1">
      <c r="A76" s="4" t="s">
        <v>25</v>
      </c>
      <c r="B76" s="4">
        <v>170</v>
      </c>
      <c r="C76" s="4"/>
      <c r="D76" s="5">
        <v>70</v>
      </c>
      <c r="E76" s="5">
        <v>0</v>
      </c>
      <c r="F76" s="5">
        <f>B76*D76+E76</f>
        <v>11900</v>
      </c>
    </row>
    <row r="77" spans="1:6" ht="15" customHeight="1">
      <c r="A77" s="4" t="s">
        <v>30</v>
      </c>
      <c r="B77" s="4">
        <v>247.5</v>
      </c>
      <c r="C77" s="10" t="s">
        <v>31</v>
      </c>
      <c r="D77" s="5">
        <v>73</v>
      </c>
      <c r="E77" s="5">
        <v>1180</v>
      </c>
      <c r="F77" s="5">
        <f>B77*D77+E77</f>
        <v>19247.5</v>
      </c>
    </row>
    <row r="78" spans="1:6" ht="15" customHeight="1">
      <c r="A78" s="4" t="s">
        <v>32</v>
      </c>
      <c r="B78" s="4">
        <v>247</v>
      </c>
      <c r="C78" s="10" t="s">
        <v>31</v>
      </c>
      <c r="D78" s="5">
        <v>73</v>
      </c>
      <c r="E78" s="5">
        <v>1180</v>
      </c>
      <c r="F78" s="5">
        <f>B78*D78+E78</f>
        <v>19211</v>
      </c>
    </row>
    <row r="79" spans="1:6" ht="15" customHeight="1">
      <c r="A79" s="4" t="s">
        <v>33</v>
      </c>
      <c r="B79" s="4">
        <v>232.5</v>
      </c>
      <c r="C79" s="10" t="s">
        <v>31</v>
      </c>
      <c r="D79" s="5">
        <v>73</v>
      </c>
      <c r="E79" s="5">
        <v>1180</v>
      </c>
      <c r="F79" s="5">
        <f>B79*D79+E79</f>
        <v>18152.5</v>
      </c>
    </row>
    <row r="80" spans="1:6" ht="15" customHeight="1">
      <c r="A80" s="6" t="s">
        <v>11</v>
      </c>
      <c r="B80" s="6"/>
      <c r="C80" s="6"/>
      <c r="D80" s="6"/>
      <c r="E80" s="6"/>
      <c r="F80" s="7">
        <f>SUM(F75:F79)</f>
        <v>85031</v>
      </c>
    </row>
    <row r="82" spans="1:6" ht="15" customHeight="1">
      <c r="A82" s="8" t="s">
        <v>12</v>
      </c>
      <c r="B82" s="8"/>
      <c r="C82" s="8"/>
      <c r="D82" s="8"/>
      <c r="E82" s="9">
        <f>E71-F80</f>
        <v>10037</v>
      </c>
    </row>
    <row r="85" spans="1:6" ht="15" customHeight="1">
      <c r="A85" s="1" t="s">
        <v>34</v>
      </c>
    </row>
    <row r="86" spans="1:6" ht="15" customHeight="1">
      <c r="A86" s="2" t="s">
        <v>1</v>
      </c>
    </row>
    <row r="87" spans="1:6" ht="26.25" customHeight="1">
      <c r="A87" s="3" t="s">
        <v>2</v>
      </c>
      <c r="B87" s="3" t="s">
        <v>3</v>
      </c>
      <c r="C87" s="3" t="s">
        <v>4</v>
      </c>
      <c r="D87" s="3" t="s">
        <v>5</v>
      </c>
      <c r="E87" s="3" t="s">
        <v>6</v>
      </c>
    </row>
    <row r="88" spans="1:6" ht="15" customHeight="1">
      <c r="A88" s="4" t="s">
        <v>35</v>
      </c>
      <c r="B88" s="4">
        <v>229</v>
      </c>
      <c r="C88" s="4"/>
      <c r="D88" s="5">
        <v>92</v>
      </c>
      <c r="E88" s="5">
        <f>B88*D88</f>
        <v>21068</v>
      </c>
    </row>
    <row r="89" spans="1:6" ht="15" customHeight="1">
      <c r="A89" s="4" t="s">
        <v>36</v>
      </c>
      <c r="B89" s="4">
        <v>223</v>
      </c>
      <c r="C89" s="4"/>
      <c r="D89" s="5">
        <v>92</v>
      </c>
      <c r="E89" s="5">
        <f>B89*D89</f>
        <v>20516</v>
      </c>
    </row>
    <row r="90" spans="1:6" ht="15" customHeight="1">
      <c r="A90" s="4" t="s">
        <v>37</v>
      </c>
      <c r="B90" s="4">
        <v>29.5</v>
      </c>
      <c r="C90" s="4"/>
      <c r="D90" s="5">
        <v>92</v>
      </c>
      <c r="E90" s="5">
        <f>B90*D90</f>
        <v>2714</v>
      </c>
    </row>
    <row r="91" spans="1:6" ht="15" customHeight="1">
      <c r="A91" s="6" t="s">
        <v>6</v>
      </c>
      <c r="B91" s="6"/>
      <c r="C91" s="6"/>
      <c r="D91" s="6"/>
      <c r="E91" s="7">
        <f>SUM(E88:E90)</f>
        <v>44298</v>
      </c>
    </row>
    <row r="93" spans="1:6" ht="15" customHeight="1">
      <c r="A93" s="2" t="s">
        <v>8</v>
      </c>
    </row>
    <row r="94" spans="1:6" ht="15" customHeight="1">
      <c r="A94" s="3" t="s">
        <v>2</v>
      </c>
      <c r="B94" s="3" t="s">
        <v>3</v>
      </c>
      <c r="C94" s="3" t="s">
        <v>4</v>
      </c>
      <c r="D94" s="3" t="s">
        <v>5</v>
      </c>
      <c r="E94" s="3" t="s">
        <v>9</v>
      </c>
      <c r="F94" s="3" t="s">
        <v>10</v>
      </c>
    </row>
    <row r="95" spans="1:6" ht="15" customHeight="1">
      <c r="A95" s="4" t="s">
        <v>35</v>
      </c>
      <c r="B95" s="4">
        <v>229</v>
      </c>
      <c r="C95" s="4"/>
      <c r="D95" s="5">
        <v>83</v>
      </c>
      <c r="E95" s="5">
        <v>0</v>
      </c>
      <c r="F95" s="5">
        <f>B95*D95+E95</f>
        <v>19007</v>
      </c>
    </row>
    <row r="96" spans="1:6" ht="15" customHeight="1">
      <c r="A96" s="4" t="s">
        <v>36</v>
      </c>
      <c r="B96" s="4">
        <v>223</v>
      </c>
      <c r="C96" s="4"/>
      <c r="D96" s="5">
        <v>81</v>
      </c>
      <c r="E96" s="5">
        <v>0</v>
      </c>
      <c r="F96" s="5">
        <f>B96*D96+E96</f>
        <v>18063</v>
      </c>
    </row>
    <row r="97" spans="1:6" ht="15" customHeight="1">
      <c r="A97" s="4" t="s">
        <v>37</v>
      </c>
      <c r="B97" s="4">
        <v>29.5</v>
      </c>
      <c r="C97" s="4"/>
      <c r="D97" s="5">
        <v>81</v>
      </c>
      <c r="E97" s="5">
        <v>0</v>
      </c>
      <c r="F97" s="5">
        <f>B97*D97+E97</f>
        <v>2389.5</v>
      </c>
    </row>
    <row r="98" spans="1:6" ht="15" customHeight="1">
      <c r="A98" s="6" t="s">
        <v>11</v>
      </c>
      <c r="B98" s="6"/>
      <c r="C98" s="6"/>
      <c r="D98" s="6"/>
      <c r="E98" s="6"/>
      <c r="F98" s="7">
        <f>SUM(F95:F97)</f>
        <v>39459.5</v>
      </c>
    </row>
    <row r="100" spans="1:6" ht="15" customHeight="1">
      <c r="A100" s="8" t="s">
        <v>12</v>
      </c>
      <c r="B100" s="8"/>
      <c r="C100" s="8"/>
      <c r="D100" s="8"/>
      <c r="E100" s="9">
        <f>E91-F98</f>
        <v>4838.5</v>
      </c>
    </row>
    <row r="103" spans="1:6" ht="15" customHeight="1">
      <c r="A103" s="1" t="s">
        <v>38</v>
      </c>
    </row>
    <row r="104" spans="1:6" ht="15" customHeight="1">
      <c r="A104" s="2" t="s">
        <v>1</v>
      </c>
    </row>
    <row r="105" spans="1:6" ht="26.25" customHeight="1">
      <c r="A105" s="3" t="s">
        <v>2</v>
      </c>
      <c r="B105" s="3" t="s">
        <v>3</v>
      </c>
      <c r="C105" s="3" t="s">
        <v>4</v>
      </c>
      <c r="D105" s="3" t="s">
        <v>5</v>
      </c>
      <c r="E105" s="3" t="s">
        <v>6</v>
      </c>
    </row>
    <row r="106" spans="1:6" ht="15" customHeight="1">
      <c r="A106" s="4" t="s">
        <v>39</v>
      </c>
      <c r="B106" s="4">
        <v>187</v>
      </c>
      <c r="C106" s="4"/>
      <c r="D106" s="5">
        <v>90</v>
      </c>
      <c r="E106" s="5">
        <f>B106*D106</f>
        <v>16830</v>
      </c>
    </row>
    <row r="107" spans="1:6" ht="15" customHeight="1">
      <c r="A107" s="4" t="s">
        <v>40</v>
      </c>
      <c r="B107" s="4">
        <v>242.5</v>
      </c>
      <c r="C107" s="4"/>
      <c r="D107" s="5">
        <v>90</v>
      </c>
      <c r="E107" s="5">
        <f>B107*D107</f>
        <v>21825</v>
      </c>
    </row>
    <row r="108" spans="1:6" ht="15" customHeight="1">
      <c r="A108" s="4" t="s">
        <v>41</v>
      </c>
      <c r="B108" s="4">
        <v>261.5</v>
      </c>
      <c r="C108" s="4"/>
      <c r="D108" s="5">
        <v>95</v>
      </c>
      <c r="E108" s="5">
        <f>B108*D108</f>
        <v>24842.5</v>
      </c>
    </row>
    <row r="109" spans="1:6" ht="15" customHeight="1">
      <c r="A109" s="4" t="s">
        <v>42</v>
      </c>
      <c r="B109" s="4">
        <v>262.5</v>
      </c>
      <c r="C109" s="4"/>
      <c r="D109" s="5">
        <v>95</v>
      </c>
      <c r="E109" s="5">
        <f>B109*D109</f>
        <v>24937.5</v>
      </c>
    </row>
    <row r="110" spans="1:6" ht="15" customHeight="1">
      <c r="A110" s="6" t="s">
        <v>6</v>
      </c>
      <c r="B110" s="6"/>
      <c r="C110" s="6"/>
      <c r="D110" s="6"/>
      <c r="E110" s="7">
        <f>SUM(E106:E109)</f>
        <v>88435</v>
      </c>
    </row>
    <row r="112" spans="1:6" ht="15" customHeight="1">
      <c r="A112" s="2" t="s">
        <v>8</v>
      </c>
    </row>
    <row r="113" spans="1:6" ht="15" customHeight="1">
      <c r="A113" s="3" t="s">
        <v>2</v>
      </c>
      <c r="B113" s="3" t="s">
        <v>3</v>
      </c>
      <c r="C113" s="3" t="s">
        <v>4</v>
      </c>
      <c r="D113" s="3" t="s">
        <v>5</v>
      </c>
      <c r="E113" s="3" t="s">
        <v>9</v>
      </c>
      <c r="F113" s="3" t="s">
        <v>10</v>
      </c>
    </row>
    <row r="114" spans="1:6" ht="15" customHeight="1">
      <c r="A114" s="4" t="s">
        <v>39</v>
      </c>
      <c r="B114" s="4">
        <v>187</v>
      </c>
      <c r="C114" s="4"/>
      <c r="D114" s="5">
        <v>78</v>
      </c>
      <c r="E114" s="5">
        <v>0</v>
      </c>
      <c r="F114" s="5">
        <f>B114*D114+E114</f>
        <v>14586</v>
      </c>
    </row>
    <row r="115" spans="1:6" ht="15" customHeight="1">
      <c r="A115" s="4" t="s">
        <v>40</v>
      </c>
      <c r="B115" s="4">
        <v>242.5</v>
      </c>
      <c r="C115" s="4"/>
      <c r="D115" s="5">
        <v>78</v>
      </c>
      <c r="E115" s="5">
        <v>0</v>
      </c>
      <c r="F115" s="5">
        <f>B115*D115+E115</f>
        <v>18915</v>
      </c>
    </row>
    <row r="116" spans="1:6" ht="15" customHeight="1">
      <c r="A116" s="4" t="s">
        <v>41</v>
      </c>
      <c r="B116" s="4">
        <v>261.5</v>
      </c>
      <c r="C116" s="4"/>
      <c r="D116" s="5">
        <v>78</v>
      </c>
      <c r="E116" s="5">
        <v>0</v>
      </c>
      <c r="F116" s="5">
        <f>B116*D116+E116</f>
        <v>20397</v>
      </c>
    </row>
    <row r="117" spans="1:6" ht="15" customHeight="1">
      <c r="A117" s="4" t="s">
        <v>42</v>
      </c>
      <c r="B117" s="4">
        <v>262.5</v>
      </c>
      <c r="C117" s="4"/>
      <c r="D117" s="5">
        <v>78</v>
      </c>
      <c r="E117" s="5">
        <v>0</v>
      </c>
      <c r="F117" s="5">
        <f>B117*D117+E117</f>
        <v>20475</v>
      </c>
    </row>
    <row r="118" spans="1:6" ht="15" customHeight="1">
      <c r="A118" s="6" t="s">
        <v>11</v>
      </c>
      <c r="B118" s="6"/>
      <c r="C118" s="6"/>
      <c r="D118" s="6"/>
      <c r="E118" s="6"/>
      <c r="F118" s="7">
        <f>SUM(F114:F117)</f>
        <v>74373</v>
      </c>
    </row>
    <row r="120" spans="1:6" ht="15" customHeight="1">
      <c r="A120" s="8" t="s">
        <v>12</v>
      </c>
      <c r="B120" s="8"/>
      <c r="C120" s="8"/>
      <c r="D120" s="8"/>
      <c r="E120" s="9">
        <f>E110-F118</f>
        <v>14062</v>
      </c>
    </row>
    <row r="123" spans="1:6" ht="15" customHeight="1">
      <c r="A123" s="1" t="s">
        <v>43</v>
      </c>
    </row>
    <row r="124" spans="1:6" ht="15" customHeight="1">
      <c r="A124" s="2" t="s">
        <v>1</v>
      </c>
    </row>
    <row r="125" spans="1:6" ht="26.25" customHeight="1">
      <c r="A125" s="3" t="s">
        <v>2</v>
      </c>
      <c r="B125" s="3" t="s">
        <v>3</v>
      </c>
      <c r="C125" s="3" t="s">
        <v>4</v>
      </c>
      <c r="D125" s="3" t="s">
        <v>5</v>
      </c>
      <c r="E125" s="3" t="s">
        <v>6</v>
      </c>
    </row>
    <row r="126" spans="1:6" ht="15" customHeight="1">
      <c r="A126" s="4" t="s">
        <v>44</v>
      </c>
      <c r="B126" s="4">
        <v>201.375</v>
      </c>
      <c r="C126" s="10" t="s">
        <v>45</v>
      </c>
      <c r="D126" s="5">
        <v>75</v>
      </c>
      <c r="E126" s="5">
        <f>B126*D126</f>
        <v>15103.125</v>
      </c>
    </row>
    <row r="127" spans="1:6" ht="15" customHeight="1">
      <c r="A127" s="4" t="s">
        <v>46</v>
      </c>
      <c r="B127" s="4">
        <v>201.375</v>
      </c>
      <c r="C127" s="10" t="s">
        <v>45</v>
      </c>
      <c r="D127" s="5">
        <v>75</v>
      </c>
      <c r="E127" s="5">
        <f>B127*D127</f>
        <v>15103.125</v>
      </c>
    </row>
    <row r="128" spans="1:6" ht="15" customHeight="1">
      <c r="A128" s="6" t="s">
        <v>6</v>
      </c>
      <c r="B128" s="6"/>
      <c r="C128" s="6"/>
      <c r="D128" s="6"/>
      <c r="E128" s="7">
        <f>SUM(E126:E127)</f>
        <v>30206.25</v>
      </c>
    </row>
    <row r="130" spans="1:6" ht="15" customHeight="1">
      <c r="A130" s="2" t="s">
        <v>8</v>
      </c>
    </row>
    <row r="131" spans="1:6" ht="15" customHeight="1">
      <c r="A131" s="3" t="s">
        <v>2</v>
      </c>
      <c r="B131" s="3" t="s">
        <v>3</v>
      </c>
      <c r="C131" s="3" t="s">
        <v>4</v>
      </c>
      <c r="D131" s="3" t="s">
        <v>5</v>
      </c>
      <c r="E131" s="3" t="s">
        <v>9</v>
      </c>
      <c r="F131" s="3" t="s">
        <v>10</v>
      </c>
    </row>
    <row r="132" spans="1:6" ht="15" customHeight="1">
      <c r="A132" s="4" t="s">
        <v>44</v>
      </c>
      <c r="B132" s="4">
        <v>201.375</v>
      </c>
      <c r="C132" s="10" t="s">
        <v>45</v>
      </c>
      <c r="D132" s="5">
        <v>64</v>
      </c>
      <c r="E132" s="5">
        <v>1180</v>
      </c>
      <c r="F132" s="5">
        <f>B132*D132+E132</f>
        <v>14068</v>
      </c>
    </row>
    <row r="133" spans="1:6" ht="15" customHeight="1">
      <c r="A133" s="4" t="s">
        <v>46</v>
      </c>
      <c r="B133" s="4">
        <v>201.375</v>
      </c>
      <c r="C133" s="10" t="s">
        <v>45</v>
      </c>
      <c r="D133" s="5">
        <v>64</v>
      </c>
      <c r="E133" s="5">
        <v>1180</v>
      </c>
      <c r="F133" s="5">
        <f>B133*D133+E133</f>
        <v>14068</v>
      </c>
    </row>
    <row r="134" spans="1:6" ht="15" customHeight="1">
      <c r="A134" s="6" t="s">
        <v>11</v>
      </c>
      <c r="B134" s="6"/>
      <c r="C134" s="6"/>
      <c r="D134" s="6"/>
      <c r="E134" s="6"/>
      <c r="F134" s="7">
        <f>SUM(F132:F133)</f>
        <v>28136</v>
      </c>
    </row>
    <row r="136" spans="1:6" ht="15" customHeight="1">
      <c r="A136" s="8" t="s">
        <v>12</v>
      </c>
      <c r="B136" s="8"/>
      <c r="C136" s="8"/>
      <c r="D136" s="8"/>
      <c r="E136" s="9">
        <f>E128-F134</f>
        <v>2070.25</v>
      </c>
    </row>
    <row r="139" spans="1:6" ht="15" customHeight="1">
      <c r="A139" s="1" t="s">
        <v>47</v>
      </c>
    </row>
    <row r="140" spans="1:6" ht="15" customHeight="1">
      <c r="A140" s="2" t="s">
        <v>1</v>
      </c>
    </row>
    <row r="141" spans="1:6" ht="26.25" customHeight="1">
      <c r="A141" s="3" t="s">
        <v>2</v>
      </c>
      <c r="B141" s="3" t="s">
        <v>3</v>
      </c>
      <c r="C141" s="3" t="s">
        <v>4</v>
      </c>
      <c r="D141" s="3" t="s">
        <v>5</v>
      </c>
      <c r="E141" s="3" t="s">
        <v>6</v>
      </c>
    </row>
    <row r="142" spans="1:6" ht="15" customHeight="1">
      <c r="A142" s="4" t="s">
        <v>48</v>
      </c>
      <c r="B142" s="4">
        <v>101</v>
      </c>
      <c r="C142" s="4"/>
      <c r="D142" s="5">
        <v>95</v>
      </c>
      <c r="E142" s="5">
        <f>B142*D142</f>
        <v>9595</v>
      </c>
    </row>
    <row r="143" spans="1:6" ht="15" customHeight="1">
      <c r="A143" s="4" t="s">
        <v>49</v>
      </c>
      <c r="B143" s="4">
        <v>92</v>
      </c>
      <c r="C143" s="4"/>
      <c r="D143" s="5">
        <v>90</v>
      </c>
      <c r="E143" s="5">
        <f>B143*D143</f>
        <v>8280</v>
      </c>
    </row>
    <row r="144" spans="1:6" ht="15" customHeight="1">
      <c r="A144" s="4" t="s">
        <v>50</v>
      </c>
      <c r="B144" s="4">
        <v>101</v>
      </c>
      <c r="C144" s="4"/>
      <c r="D144" s="5">
        <v>90</v>
      </c>
      <c r="E144" s="5">
        <f>B144*D144</f>
        <v>9090</v>
      </c>
    </row>
    <row r="145" spans="1:6" ht="15" customHeight="1">
      <c r="A145" s="4" t="s">
        <v>51</v>
      </c>
      <c r="B145" s="4">
        <v>34.5</v>
      </c>
      <c r="C145" s="4"/>
      <c r="D145" s="5">
        <v>90</v>
      </c>
      <c r="E145" s="5">
        <f>B145*D145</f>
        <v>3105</v>
      </c>
    </row>
    <row r="146" spans="1:6" ht="15" customHeight="1">
      <c r="A146" s="6" t="s">
        <v>6</v>
      </c>
      <c r="B146" s="6"/>
      <c r="C146" s="6"/>
      <c r="D146" s="6"/>
      <c r="E146" s="7">
        <f>SUM(E142:E145)</f>
        <v>30070</v>
      </c>
    </row>
    <row r="148" spans="1:6" ht="15" customHeight="1">
      <c r="A148" s="2" t="s">
        <v>8</v>
      </c>
    </row>
    <row r="149" spans="1:6" ht="15" customHeight="1">
      <c r="A149" s="3" t="s">
        <v>2</v>
      </c>
      <c r="B149" s="3" t="s">
        <v>3</v>
      </c>
      <c r="C149" s="3" t="s">
        <v>4</v>
      </c>
      <c r="D149" s="3" t="s">
        <v>5</v>
      </c>
      <c r="E149" s="3" t="s">
        <v>9</v>
      </c>
      <c r="F149" s="3" t="s">
        <v>10</v>
      </c>
    </row>
    <row r="150" spans="1:6" ht="15" customHeight="1">
      <c r="A150" s="4" t="s">
        <v>48</v>
      </c>
      <c r="B150" s="4">
        <v>101</v>
      </c>
      <c r="C150" s="4"/>
      <c r="D150" s="5">
        <v>73</v>
      </c>
      <c r="E150" s="5">
        <v>0</v>
      </c>
      <c r="F150" s="5">
        <f>B150*D150+E150</f>
        <v>7373</v>
      </c>
    </row>
    <row r="151" spans="1:6" ht="15" customHeight="1">
      <c r="A151" s="4" t="s">
        <v>49</v>
      </c>
      <c r="B151" s="4">
        <v>92</v>
      </c>
      <c r="C151" s="4"/>
      <c r="D151" s="5">
        <v>73</v>
      </c>
      <c r="E151" s="5">
        <v>0</v>
      </c>
      <c r="F151" s="5">
        <f>B151*D151+E151</f>
        <v>6716</v>
      </c>
    </row>
    <row r="152" spans="1:6" ht="15" customHeight="1">
      <c r="A152" s="4" t="s">
        <v>50</v>
      </c>
      <c r="B152" s="4">
        <v>101</v>
      </c>
      <c r="C152" s="4"/>
      <c r="D152" s="5">
        <v>73</v>
      </c>
      <c r="E152" s="5">
        <v>0</v>
      </c>
      <c r="F152" s="5">
        <f>B152*D152+E152</f>
        <v>7373</v>
      </c>
    </row>
    <row r="153" spans="1:6" ht="15" customHeight="1">
      <c r="A153" s="4" t="s">
        <v>51</v>
      </c>
      <c r="B153" s="4">
        <v>34.5</v>
      </c>
      <c r="C153" s="4"/>
      <c r="D153" s="5">
        <v>73</v>
      </c>
      <c r="E153" s="5">
        <v>0</v>
      </c>
      <c r="F153" s="5">
        <f>B153*D153+E153</f>
        <v>2518.5</v>
      </c>
    </row>
    <row r="154" spans="1:6" ht="15" customHeight="1">
      <c r="A154" s="6" t="s">
        <v>11</v>
      </c>
      <c r="B154" s="6"/>
      <c r="C154" s="6"/>
      <c r="D154" s="6"/>
      <c r="E154" s="6"/>
      <c r="F154" s="7">
        <f>SUM(F150:F153)</f>
        <v>23980.5</v>
      </c>
    </row>
    <row r="156" spans="1:6" ht="15" customHeight="1">
      <c r="A156" s="8" t="s">
        <v>12</v>
      </c>
      <c r="B156" s="8"/>
      <c r="C156" s="8"/>
      <c r="D156" s="8"/>
      <c r="E156" s="9">
        <f>E146-F154</f>
        <v>6089.5</v>
      </c>
    </row>
    <row r="159" spans="1:6" ht="15" customHeight="1">
      <c r="A159" s="1" t="s">
        <v>52</v>
      </c>
    </row>
    <row r="160" spans="1:6" ht="15" customHeight="1">
      <c r="A160" s="2" t="s">
        <v>1</v>
      </c>
    </row>
    <row r="161" spans="1:6" ht="26.25" customHeight="1">
      <c r="A161" s="3" t="s">
        <v>2</v>
      </c>
      <c r="B161" s="3" t="s">
        <v>3</v>
      </c>
      <c r="C161" s="3" t="s">
        <v>4</v>
      </c>
      <c r="D161" s="3" t="s">
        <v>5</v>
      </c>
      <c r="E161" s="3" t="s">
        <v>6</v>
      </c>
    </row>
    <row r="162" spans="1:6" ht="15" customHeight="1">
      <c r="A162" s="4" t="s">
        <v>53</v>
      </c>
      <c r="B162" s="4">
        <v>53</v>
      </c>
      <c r="C162" s="10" t="s">
        <v>31</v>
      </c>
      <c r="D162" s="5">
        <v>95</v>
      </c>
      <c r="E162" s="5">
        <f>B162*D162</f>
        <v>5035</v>
      </c>
    </row>
    <row r="163" spans="1:6" ht="15" customHeight="1">
      <c r="A163" s="4" t="s">
        <v>40</v>
      </c>
      <c r="B163" s="4">
        <v>10</v>
      </c>
      <c r="C163" s="4"/>
      <c r="D163" s="5">
        <v>95</v>
      </c>
      <c r="E163" s="5">
        <f>B163*D163</f>
        <v>950</v>
      </c>
    </row>
    <row r="164" spans="1:6" ht="15" customHeight="1">
      <c r="A164" s="4" t="s">
        <v>54</v>
      </c>
      <c r="B164" s="4">
        <v>27</v>
      </c>
      <c r="C164" s="10" t="s">
        <v>31</v>
      </c>
      <c r="D164" s="5">
        <v>95</v>
      </c>
      <c r="E164" s="5">
        <f>B164*D164</f>
        <v>2565</v>
      </c>
    </row>
    <row r="165" spans="1:6" ht="15" customHeight="1">
      <c r="A165" s="6" t="s">
        <v>6</v>
      </c>
      <c r="B165" s="6"/>
      <c r="C165" s="6"/>
      <c r="D165" s="6"/>
      <c r="E165" s="7">
        <f>SUM(E162:E164)</f>
        <v>8550</v>
      </c>
    </row>
    <row r="167" spans="1:6" ht="15" customHeight="1">
      <c r="A167" s="2" t="s">
        <v>8</v>
      </c>
    </row>
    <row r="168" spans="1:6" ht="15" customHeight="1">
      <c r="A168" s="3" t="s">
        <v>2</v>
      </c>
      <c r="B168" s="3" t="s">
        <v>3</v>
      </c>
      <c r="C168" s="3" t="s">
        <v>4</v>
      </c>
      <c r="D168" s="3" t="s">
        <v>5</v>
      </c>
      <c r="E168" s="3" t="s">
        <v>9</v>
      </c>
      <c r="F168" s="3" t="s">
        <v>10</v>
      </c>
    </row>
    <row r="169" spans="1:6" ht="15" customHeight="1">
      <c r="A169" s="4" t="s">
        <v>53</v>
      </c>
      <c r="B169" s="4">
        <v>53</v>
      </c>
      <c r="C169" s="10" t="s">
        <v>31</v>
      </c>
      <c r="D169" s="5">
        <v>71</v>
      </c>
      <c r="E169" s="5">
        <v>1180</v>
      </c>
      <c r="F169" s="5">
        <f>B169*D169+E169</f>
        <v>4943</v>
      </c>
    </row>
    <row r="170" spans="1:6" ht="15" customHeight="1">
      <c r="A170" s="4" t="s">
        <v>40</v>
      </c>
      <c r="B170" s="4">
        <v>10</v>
      </c>
      <c r="C170" s="4"/>
      <c r="D170" s="5">
        <v>70</v>
      </c>
      <c r="E170" s="5">
        <v>0</v>
      </c>
      <c r="F170" s="5">
        <f>B170*D170+E170</f>
        <v>700</v>
      </c>
    </row>
    <row r="171" spans="1:6" ht="15" customHeight="1">
      <c r="A171" s="4" t="s">
        <v>54</v>
      </c>
      <c r="B171" s="4">
        <v>27</v>
      </c>
      <c r="C171" s="10" t="s">
        <v>31</v>
      </c>
      <c r="D171" s="5">
        <v>71</v>
      </c>
      <c r="E171" s="5">
        <v>1180</v>
      </c>
      <c r="F171" s="5">
        <f>B171*D171+E171</f>
        <v>3097</v>
      </c>
    </row>
    <row r="172" spans="1:6" ht="15" customHeight="1">
      <c r="A172" s="6" t="s">
        <v>11</v>
      </c>
      <c r="B172" s="6"/>
      <c r="C172" s="6"/>
      <c r="D172" s="6"/>
      <c r="E172" s="6"/>
      <c r="F172" s="7">
        <f>SUM(F169:F171)</f>
        <v>8740</v>
      </c>
    </row>
    <row r="174" spans="1:6" ht="15" customHeight="1">
      <c r="A174" s="8" t="s">
        <v>12</v>
      </c>
      <c r="B174" s="8"/>
      <c r="C174" s="8"/>
      <c r="D174" s="8"/>
      <c r="E174" s="9">
        <f>E165-F172</f>
        <v>-190</v>
      </c>
    </row>
    <row r="177" spans="1:6" ht="15" customHeight="1">
      <c r="A177" s="1" t="s">
        <v>55</v>
      </c>
    </row>
    <row r="178" spans="1:6" ht="15" customHeight="1">
      <c r="A178" s="2" t="s">
        <v>1</v>
      </c>
    </row>
    <row r="179" spans="1:6" ht="26.25" customHeight="1">
      <c r="A179" s="3" t="s">
        <v>2</v>
      </c>
      <c r="B179" s="3" t="s">
        <v>3</v>
      </c>
      <c r="C179" s="3" t="s">
        <v>4</v>
      </c>
      <c r="D179" s="3" t="s">
        <v>5</v>
      </c>
      <c r="E179" s="3" t="s">
        <v>6</v>
      </c>
    </row>
    <row r="180" spans="1:6" ht="15" customHeight="1">
      <c r="A180" s="4" t="s">
        <v>56</v>
      </c>
      <c r="B180" s="4">
        <v>38</v>
      </c>
      <c r="C180" s="4"/>
      <c r="D180" s="5">
        <v>80</v>
      </c>
      <c r="E180" s="5">
        <f>B180*D180</f>
        <v>3040</v>
      </c>
    </row>
    <row r="181" spans="1:6" ht="15" customHeight="1">
      <c r="A181" s="4" t="s">
        <v>57</v>
      </c>
      <c r="B181" s="4">
        <v>38</v>
      </c>
      <c r="C181" s="4"/>
      <c r="D181" s="5">
        <v>80</v>
      </c>
      <c r="E181" s="5">
        <f>B181*D181</f>
        <v>3040</v>
      </c>
    </row>
    <row r="182" spans="1:6" ht="15" customHeight="1">
      <c r="A182" s="6" t="s">
        <v>6</v>
      </c>
      <c r="B182" s="6"/>
      <c r="C182" s="6"/>
      <c r="D182" s="6"/>
      <c r="E182" s="7">
        <f>SUM(E180:E181)</f>
        <v>6080</v>
      </c>
    </row>
    <row r="184" spans="1:6" ht="15" customHeight="1">
      <c r="A184" s="2" t="s">
        <v>8</v>
      </c>
    </row>
    <row r="185" spans="1:6" ht="15" customHeight="1">
      <c r="A185" s="3" t="s">
        <v>2</v>
      </c>
      <c r="B185" s="3" t="s">
        <v>3</v>
      </c>
      <c r="C185" s="3" t="s">
        <v>4</v>
      </c>
      <c r="D185" s="3" t="s">
        <v>5</v>
      </c>
      <c r="E185" s="3" t="s">
        <v>9</v>
      </c>
      <c r="F185" s="3" t="s">
        <v>10</v>
      </c>
    </row>
    <row r="186" spans="1:6" ht="15" customHeight="1">
      <c r="A186" s="4" t="s">
        <v>56</v>
      </c>
      <c r="B186" s="4">
        <v>38</v>
      </c>
      <c r="C186" s="4"/>
      <c r="D186" s="5">
        <v>67</v>
      </c>
      <c r="E186" s="5">
        <v>0</v>
      </c>
      <c r="F186" s="5">
        <f>B186*D186+E186</f>
        <v>2546</v>
      </c>
    </row>
    <row r="187" spans="1:6" ht="15" customHeight="1">
      <c r="A187" s="4" t="s">
        <v>57</v>
      </c>
      <c r="B187" s="4">
        <v>38</v>
      </c>
      <c r="C187" s="4"/>
      <c r="D187" s="5">
        <v>67</v>
      </c>
      <c r="E187" s="5">
        <v>0</v>
      </c>
      <c r="F187" s="5">
        <f>B187*D187+E187</f>
        <v>2546</v>
      </c>
    </row>
    <row r="188" spans="1:6" ht="15" customHeight="1">
      <c r="A188" s="6" t="s">
        <v>11</v>
      </c>
      <c r="B188" s="6"/>
      <c r="C188" s="6"/>
      <c r="D188" s="6"/>
      <c r="E188" s="6"/>
      <c r="F188" s="7">
        <f>SUM(F186:F187)</f>
        <v>5092</v>
      </c>
    </row>
    <row r="190" spans="1:6" ht="15" customHeight="1">
      <c r="A190" s="8" t="s">
        <v>12</v>
      </c>
      <c r="B190" s="8"/>
      <c r="C190" s="8"/>
      <c r="D190" s="8"/>
      <c r="E190" s="9">
        <f>E182-F188</f>
        <v>988</v>
      </c>
    </row>
    <row r="193" spans="1:6" ht="15" customHeight="1">
      <c r="A193" s="1" t="s">
        <v>58</v>
      </c>
    </row>
    <row r="194" spans="1:6" ht="15" customHeight="1">
      <c r="A194" s="2" t="s">
        <v>1</v>
      </c>
    </row>
    <row r="195" spans="1:6" ht="26.25" customHeight="1">
      <c r="A195" s="3" t="s">
        <v>2</v>
      </c>
      <c r="B195" s="3" t="s">
        <v>3</v>
      </c>
      <c r="C195" s="3" t="s">
        <v>4</v>
      </c>
      <c r="D195" s="3" t="s">
        <v>5</v>
      </c>
      <c r="E195" s="3" t="s">
        <v>6</v>
      </c>
    </row>
    <row r="196" spans="1:6" ht="15" customHeight="1">
      <c r="A196" s="4" t="s">
        <v>59</v>
      </c>
      <c r="B196" s="4">
        <v>237.5</v>
      </c>
      <c r="C196" s="4"/>
      <c r="D196" s="5">
        <v>77</v>
      </c>
      <c r="E196" s="5">
        <f>B196*D196</f>
        <v>18287.5</v>
      </c>
    </row>
    <row r="197" spans="1:6" ht="15" customHeight="1">
      <c r="A197" s="4" t="s">
        <v>60</v>
      </c>
      <c r="B197" s="4">
        <v>237.5</v>
      </c>
      <c r="C197" s="4"/>
      <c r="D197" s="5">
        <v>77</v>
      </c>
      <c r="E197" s="5">
        <f>B197*D197</f>
        <v>18287.5</v>
      </c>
    </row>
    <row r="198" spans="1:6" ht="15" customHeight="1">
      <c r="A198" s="6" t="s">
        <v>6</v>
      </c>
      <c r="B198" s="6"/>
      <c r="C198" s="6"/>
      <c r="D198" s="6"/>
      <c r="E198" s="7">
        <f>SUM(E196:E197)</f>
        <v>36575</v>
      </c>
    </row>
    <row r="200" spans="1:6" ht="15" customHeight="1">
      <c r="A200" s="2" t="s">
        <v>8</v>
      </c>
    </row>
    <row r="201" spans="1:6" ht="15" customHeight="1">
      <c r="A201" s="3" t="s">
        <v>2</v>
      </c>
      <c r="B201" s="3" t="s">
        <v>3</v>
      </c>
      <c r="C201" s="3" t="s">
        <v>4</v>
      </c>
      <c r="D201" s="3" t="s">
        <v>5</v>
      </c>
      <c r="E201" s="3" t="s">
        <v>9</v>
      </c>
      <c r="F201" s="3" t="s">
        <v>10</v>
      </c>
    </row>
    <row r="202" spans="1:6" ht="15" customHeight="1">
      <c r="A202" s="4" t="s">
        <v>59</v>
      </c>
      <c r="B202" s="4">
        <v>237.5</v>
      </c>
      <c r="C202" s="4"/>
      <c r="D202" s="5">
        <v>67</v>
      </c>
      <c r="E202" s="5">
        <v>0</v>
      </c>
      <c r="F202" s="5">
        <f>B202*D202+E202</f>
        <v>15912.5</v>
      </c>
    </row>
    <row r="203" spans="1:6" ht="15" customHeight="1">
      <c r="A203" s="4" t="s">
        <v>60</v>
      </c>
      <c r="B203" s="4">
        <v>237.5</v>
      </c>
      <c r="C203" s="4"/>
      <c r="D203" s="5">
        <v>67</v>
      </c>
      <c r="E203" s="5">
        <v>0</v>
      </c>
      <c r="F203" s="5">
        <f>B203*D203+E203</f>
        <v>15912.5</v>
      </c>
    </row>
    <row r="204" spans="1:6" ht="15" customHeight="1">
      <c r="A204" s="6" t="s">
        <v>11</v>
      </c>
      <c r="B204" s="6"/>
      <c r="C204" s="6"/>
      <c r="D204" s="6"/>
      <c r="E204" s="6"/>
      <c r="F204" s="7">
        <f>SUM(F202:F203)</f>
        <v>31825</v>
      </c>
    </row>
    <row r="206" spans="1:6" ht="15" customHeight="1">
      <c r="A206" s="8" t="s">
        <v>12</v>
      </c>
      <c r="B206" s="8"/>
      <c r="C206" s="8"/>
      <c r="D206" s="8"/>
      <c r="E206" s="9">
        <f>E198-F204</f>
        <v>4750</v>
      </c>
    </row>
    <row r="209" spans="1:6" ht="15" customHeight="1">
      <c r="A209" s="1" t="s">
        <v>61</v>
      </c>
    </row>
    <row r="210" spans="1:6" ht="15" customHeight="1">
      <c r="A210" s="2" t="s">
        <v>1</v>
      </c>
    </row>
    <row r="211" spans="1:6" ht="26.25" customHeight="1">
      <c r="A211" s="3" t="s">
        <v>2</v>
      </c>
      <c r="B211" s="3" t="s">
        <v>3</v>
      </c>
      <c r="C211" s="3" t="s">
        <v>4</v>
      </c>
      <c r="D211" s="3" t="s">
        <v>5</v>
      </c>
      <c r="E211" s="3" t="s">
        <v>6</v>
      </c>
    </row>
    <row r="212" spans="1:6" ht="15" customHeight="1">
      <c r="A212" s="4" t="s">
        <v>62</v>
      </c>
      <c r="B212" s="4">
        <v>236</v>
      </c>
      <c r="C212" s="10" t="s">
        <v>63</v>
      </c>
      <c r="D212" s="5">
        <v>77</v>
      </c>
      <c r="E212" s="5">
        <f t="shared" ref="E212:E217" si="4">B212*D212</f>
        <v>18172</v>
      </c>
    </row>
    <row r="213" spans="1:6" ht="15" customHeight="1">
      <c r="A213" s="4" t="s">
        <v>64</v>
      </c>
      <c r="B213" s="4">
        <v>238</v>
      </c>
      <c r="C213" s="10" t="s">
        <v>63</v>
      </c>
      <c r="D213" s="5">
        <v>77</v>
      </c>
      <c r="E213" s="5">
        <f t="shared" si="4"/>
        <v>18326</v>
      </c>
    </row>
    <row r="214" spans="1:6" ht="15" customHeight="1">
      <c r="A214" s="4" t="s">
        <v>65</v>
      </c>
      <c r="B214" s="4">
        <v>239</v>
      </c>
      <c r="C214" s="10" t="s">
        <v>63</v>
      </c>
      <c r="D214" s="5">
        <v>77</v>
      </c>
      <c r="E214" s="5">
        <f t="shared" si="4"/>
        <v>18403</v>
      </c>
    </row>
    <row r="215" spans="1:6" ht="15" customHeight="1">
      <c r="A215" s="4" t="s">
        <v>66</v>
      </c>
      <c r="B215" s="4">
        <v>220</v>
      </c>
      <c r="C215" s="10" t="s">
        <v>63</v>
      </c>
      <c r="D215" s="5">
        <v>77</v>
      </c>
      <c r="E215" s="5">
        <f t="shared" si="4"/>
        <v>16940</v>
      </c>
    </row>
    <row r="216" spans="1:6" ht="15" customHeight="1">
      <c r="A216" s="4" t="s">
        <v>67</v>
      </c>
      <c r="B216" s="4">
        <v>229</v>
      </c>
      <c r="C216" s="10" t="s">
        <v>63</v>
      </c>
      <c r="D216" s="5">
        <v>77</v>
      </c>
      <c r="E216" s="5">
        <f t="shared" si="4"/>
        <v>17633</v>
      </c>
    </row>
    <row r="217" spans="1:6" ht="15" customHeight="1">
      <c r="A217" s="4" t="s">
        <v>68</v>
      </c>
      <c r="B217" s="4">
        <v>228</v>
      </c>
      <c r="C217" s="10" t="s">
        <v>63</v>
      </c>
      <c r="D217" s="5">
        <v>77</v>
      </c>
      <c r="E217" s="5">
        <f t="shared" si="4"/>
        <v>17556</v>
      </c>
    </row>
    <row r="218" spans="1:6" ht="15" customHeight="1">
      <c r="A218" s="6" t="s">
        <v>6</v>
      </c>
      <c r="B218" s="6"/>
      <c r="C218" s="6"/>
      <c r="D218" s="6"/>
      <c r="E218" s="7">
        <f>SUM(E212:E217)</f>
        <v>107030</v>
      </c>
    </row>
    <row r="220" spans="1:6" ht="15" customHeight="1">
      <c r="A220" s="2" t="s">
        <v>8</v>
      </c>
    </row>
    <row r="221" spans="1:6" ht="15" customHeight="1">
      <c r="A221" s="3" t="s">
        <v>2</v>
      </c>
      <c r="B221" s="3" t="s">
        <v>3</v>
      </c>
      <c r="C221" s="3" t="s">
        <v>4</v>
      </c>
      <c r="D221" s="3" t="s">
        <v>5</v>
      </c>
      <c r="E221" s="3" t="s">
        <v>9</v>
      </c>
      <c r="F221" s="3" t="s">
        <v>10</v>
      </c>
    </row>
    <row r="222" spans="1:6" ht="15" customHeight="1">
      <c r="A222" s="4" t="s">
        <v>62</v>
      </c>
      <c r="B222" s="4">
        <v>236</v>
      </c>
      <c r="C222" s="10" t="s">
        <v>63</v>
      </c>
      <c r="D222" s="5">
        <v>64</v>
      </c>
      <c r="E222" s="5">
        <v>1180</v>
      </c>
      <c r="F222" s="5">
        <f t="shared" ref="F222:F227" si="5">B222*D222+E222</f>
        <v>16284</v>
      </c>
    </row>
    <row r="223" spans="1:6" ht="15" customHeight="1">
      <c r="A223" s="4" t="s">
        <v>64</v>
      </c>
      <c r="B223" s="4">
        <v>238</v>
      </c>
      <c r="C223" s="10" t="s">
        <v>63</v>
      </c>
      <c r="D223" s="5">
        <v>64</v>
      </c>
      <c r="E223" s="5">
        <v>1180</v>
      </c>
      <c r="F223" s="5">
        <f t="shared" si="5"/>
        <v>16412</v>
      </c>
    </row>
    <row r="224" spans="1:6" ht="15" customHeight="1">
      <c r="A224" s="4" t="s">
        <v>65</v>
      </c>
      <c r="B224" s="4">
        <v>239</v>
      </c>
      <c r="C224" s="10" t="s">
        <v>63</v>
      </c>
      <c r="D224" s="5">
        <v>64</v>
      </c>
      <c r="E224" s="5">
        <v>1180</v>
      </c>
      <c r="F224" s="5">
        <f t="shared" si="5"/>
        <v>16476</v>
      </c>
    </row>
    <row r="225" spans="1:6" ht="15" customHeight="1">
      <c r="A225" s="4" t="s">
        <v>66</v>
      </c>
      <c r="B225" s="4">
        <v>220</v>
      </c>
      <c r="C225" s="10" t="s">
        <v>63</v>
      </c>
      <c r="D225" s="5">
        <v>64</v>
      </c>
      <c r="E225" s="5">
        <v>1180</v>
      </c>
      <c r="F225" s="5">
        <f t="shared" si="5"/>
        <v>15260</v>
      </c>
    </row>
    <row r="226" spans="1:6" ht="15" customHeight="1">
      <c r="A226" s="4" t="s">
        <v>67</v>
      </c>
      <c r="B226" s="4">
        <v>229</v>
      </c>
      <c r="C226" s="10" t="s">
        <v>63</v>
      </c>
      <c r="D226" s="5">
        <v>64</v>
      </c>
      <c r="E226" s="5">
        <v>1180</v>
      </c>
      <c r="F226" s="5">
        <f t="shared" si="5"/>
        <v>15836</v>
      </c>
    </row>
    <row r="227" spans="1:6" ht="15" customHeight="1">
      <c r="A227" s="4" t="s">
        <v>68</v>
      </c>
      <c r="B227" s="4">
        <v>228</v>
      </c>
      <c r="C227" s="10" t="s">
        <v>63</v>
      </c>
      <c r="D227" s="5">
        <v>64</v>
      </c>
      <c r="E227" s="5">
        <v>1180</v>
      </c>
      <c r="F227" s="5">
        <f t="shared" si="5"/>
        <v>15772</v>
      </c>
    </row>
    <row r="228" spans="1:6" ht="15" customHeight="1">
      <c r="A228" s="6" t="s">
        <v>11</v>
      </c>
      <c r="B228" s="6"/>
      <c r="C228" s="6"/>
      <c r="D228" s="6"/>
      <c r="E228" s="6"/>
      <c r="F228" s="7">
        <f>SUM(F222:F227)</f>
        <v>96040</v>
      </c>
    </row>
    <row r="230" spans="1:6" ht="15" customHeight="1">
      <c r="A230" s="8" t="s">
        <v>12</v>
      </c>
      <c r="B230" s="8"/>
      <c r="C230" s="8"/>
      <c r="D230" s="8"/>
      <c r="E230" s="9">
        <f>E218-F228</f>
        <v>10990</v>
      </c>
    </row>
    <row r="234" spans="1:6" ht="15" customHeight="1">
      <c r="A234" s="11" t="s">
        <v>6</v>
      </c>
      <c r="E234" s="12">
        <f>E5+E24+E48+E71+E91+E110+E128+E146+E165+E182+E198+E218</f>
        <v>702057.25</v>
      </c>
    </row>
    <row r="235" spans="1:6" ht="15" customHeight="1">
      <c r="A235" s="11" t="s">
        <v>11</v>
      </c>
      <c r="F235" s="12">
        <f>F10+F34+F58+F80+F98+F118+F134+F154+F172+F188+F204+F228</f>
        <v>608180</v>
      </c>
    </row>
    <row r="236" spans="1:6" ht="15" customHeight="1">
      <c r="A236" s="11" t="s">
        <v>69</v>
      </c>
      <c r="E236" s="12">
        <f>E234-F235</f>
        <v>93877.25</v>
      </c>
    </row>
    <row r="238" spans="1:6" ht="15" customHeight="1">
      <c r="A238" s="11" t="s">
        <v>116</v>
      </c>
      <c r="E238" s="12">
        <v>355790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13"/>
  <sheetViews>
    <sheetView zoomScaleNormal="100" workbookViewId="0"/>
  </sheetViews>
  <sheetFormatPr defaultColWidth="8.7109375" defaultRowHeight="15"/>
  <cols>
    <col min="1" max="1" width="22" customWidth="1"/>
    <col min="2" max="9" width="13" customWidth="1"/>
    <col min="10" max="10" width="10" customWidth="1"/>
    <col min="11" max="11" width="12" customWidth="1"/>
    <col min="12" max="12" width="11" customWidth="1"/>
  </cols>
  <sheetData>
    <row r="1" spans="1:12" ht="15" customHeight="1">
      <c r="A1" s="13" t="s">
        <v>70</v>
      </c>
    </row>
    <row r="3" spans="1:12" ht="15" customHeight="1">
      <c r="A3" s="3" t="s">
        <v>71</v>
      </c>
      <c r="B3" s="3" t="s">
        <v>72</v>
      </c>
      <c r="C3" s="3" t="s">
        <v>73</v>
      </c>
      <c r="D3" s="3" t="s">
        <v>74</v>
      </c>
      <c r="E3" s="3" t="s">
        <v>75</v>
      </c>
      <c r="F3" s="3" t="s">
        <v>76</v>
      </c>
      <c r="G3" s="3" t="s">
        <v>77</v>
      </c>
      <c r="H3" s="3" t="s">
        <v>78</v>
      </c>
      <c r="I3" s="3" t="s">
        <v>79</v>
      </c>
      <c r="J3" s="3" t="s">
        <v>80</v>
      </c>
      <c r="K3" s="3" t="s">
        <v>81</v>
      </c>
      <c r="L3" s="3"/>
    </row>
    <row r="4" spans="1:12" ht="15" customHeight="1">
      <c r="A4" s="14" t="s">
        <v>63</v>
      </c>
      <c r="B4" s="15">
        <v>3000</v>
      </c>
      <c r="C4" s="15">
        <v>4720</v>
      </c>
      <c r="D4" s="16" t="s">
        <v>117</v>
      </c>
      <c r="E4" s="17">
        <v>270</v>
      </c>
      <c r="F4" s="15">
        <v>0</v>
      </c>
      <c r="G4" s="15">
        <v>840.58</v>
      </c>
      <c r="H4" s="15">
        <v>0</v>
      </c>
      <c r="I4" s="15">
        <v>0</v>
      </c>
      <c r="J4" s="15">
        <f t="shared" ref="J4:J12" si="0">E4+F4+G4+H4+I4</f>
        <v>1110.58</v>
      </c>
      <c r="K4" s="15">
        <f t="shared" ref="K4:K12" si="1">C4-B4-J4</f>
        <v>609.42000000000007</v>
      </c>
      <c r="L4" s="15"/>
    </row>
    <row r="5" spans="1:12" ht="15" customHeight="1">
      <c r="A5" s="14" t="s">
        <v>31</v>
      </c>
      <c r="B5" s="15">
        <v>4000</v>
      </c>
      <c r="C5" s="15">
        <v>5900</v>
      </c>
      <c r="D5" s="16" t="s">
        <v>82</v>
      </c>
      <c r="E5" s="17">
        <v>200</v>
      </c>
      <c r="F5" s="15">
        <v>0</v>
      </c>
      <c r="G5" s="15">
        <v>851.63</v>
      </c>
      <c r="H5" s="15">
        <v>0</v>
      </c>
      <c r="I5" s="15">
        <v>0</v>
      </c>
      <c r="J5" s="15">
        <f t="shared" si="0"/>
        <v>1051.6300000000001</v>
      </c>
      <c r="K5" s="15">
        <f t="shared" si="1"/>
        <v>848.36999999999989</v>
      </c>
      <c r="L5" s="15"/>
    </row>
    <row r="6" spans="1:12" ht="15" customHeight="1">
      <c r="A6" s="14" t="s">
        <v>45</v>
      </c>
      <c r="B6" s="15">
        <v>7000</v>
      </c>
      <c r="C6" s="15">
        <v>6920</v>
      </c>
      <c r="D6" s="16" t="s">
        <v>118</v>
      </c>
      <c r="E6" s="17">
        <v>442</v>
      </c>
      <c r="F6" s="15">
        <v>0</v>
      </c>
      <c r="G6" s="15">
        <v>290</v>
      </c>
      <c r="H6" s="15">
        <v>0</v>
      </c>
      <c r="I6" s="15">
        <v>0</v>
      </c>
      <c r="J6" s="15">
        <f t="shared" si="0"/>
        <v>732</v>
      </c>
      <c r="K6" s="15">
        <f t="shared" si="1"/>
        <v>-812</v>
      </c>
      <c r="L6" s="15"/>
    </row>
    <row r="7" spans="1:12" ht="15" customHeight="1">
      <c r="A7" s="14" t="s">
        <v>83</v>
      </c>
      <c r="B7" s="15">
        <v>4000</v>
      </c>
      <c r="C7" s="15">
        <v>8625</v>
      </c>
      <c r="D7" s="16" t="s">
        <v>84</v>
      </c>
      <c r="E7" s="17">
        <v>0</v>
      </c>
      <c r="F7" s="15">
        <v>0</v>
      </c>
      <c r="G7" s="15">
        <v>0</v>
      </c>
      <c r="H7" s="15">
        <v>0</v>
      </c>
      <c r="I7" s="15">
        <v>900</v>
      </c>
      <c r="J7" s="15">
        <f t="shared" si="0"/>
        <v>900</v>
      </c>
      <c r="K7" s="15">
        <f t="shared" si="1"/>
        <v>3725</v>
      </c>
      <c r="L7" s="15"/>
    </row>
    <row r="8" spans="1:12" ht="15" customHeight="1">
      <c r="A8" s="14" t="s">
        <v>85</v>
      </c>
      <c r="B8" s="15">
        <v>4700</v>
      </c>
      <c r="C8" s="15">
        <v>11500</v>
      </c>
      <c r="D8" s="16" t="s">
        <v>86</v>
      </c>
      <c r="E8" s="17">
        <v>500</v>
      </c>
      <c r="F8" s="15">
        <v>350</v>
      </c>
      <c r="G8" s="15">
        <v>454</v>
      </c>
      <c r="H8" s="15">
        <v>100</v>
      </c>
      <c r="I8" s="15">
        <v>1000</v>
      </c>
      <c r="J8" s="15">
        <f t="shared" si="0"/>
        <v>2404</v>
      </c>
      <c r="K8" s="15">
        <f t="shared" si="1"/>
        <v>4396</v>
      </c>
      <c r="L8" s="15"/>
    </row>
    <row r="9" spans="1:12" ht="15" customHeight="1">
      <c r="A9" s="14" t="s">
        <v>87</v>
      </c>
      <c r="B9" s="15">
        <v>7500</v>
      </c>
      <c r="C9" s="15">
        <v>13000</v>
      </c>
      <c r="D9" s="16" t="s">
        <v>88</v>
      </c>
      <c r="E9" s="17">
        <v>0</v>
      </c>
      <c r="F9" s="15">
        <v>0</v>
      </c>
      <c r="G9" s="15">
        <v>925.7</v>
      </c>
      <c r="H9" s="15">
        <v>0</v>
      </c>
      <c r="I9" s="15">
        <v>0</v>
      </c>
      <c r="J9" s="15">
        <f t="shared" si="0"/>
        <v>925.7</v>
      </c>
      <c r="K9" s="15">
        <f t="shared" si="1"/>
        <v>4574.3</v>
      </c>
      <c r="L9" s="15"/>
    </row>
    <row r="10" spans="1:12" ht="15" customHeight="1">
      <c r="A10" s="14" t="s">
        <v>89</v>
      </c>
      <c r="B10" s="15">
        <v>11000</v>
      </c>
      <c r="C10" s="15">
        <v>25000</v>
      </c>
      <c r="D10" s="16" t="s">
        <v>88</v>
      </c>
      <c r="E10" s="17">
        <v>0</v>
      </c>
      <c r="F10" s="15">
        <v>0</v>
      </c>
      <c r="G10" s="15">
        <v>811.96</v>
      </c>
      <c r="H10" s="15">
        <v>0</v>
      </c>
      <c r="I10" s="15">
        <v>0</v>
      </c>
      <c r="J10" s="15">
        <f t="shared" si="0"/>
        <v>811.96</v>
      </c>
      <c r="K10" s="15">
        <f t="shared" si="1"/>
        <v>13188.04</v>
      </c>
      <c r="L10" s="15"/>
    </row>
    <row r="11" spans="1:12" ht="15" customHeight="1">
      <c r="A11" s="14" t="s">
        <v>90</v>
      </c>
      <c r="B11" s="15">
        <v>15500</v>
      </c>
      <c r="C11" s="15">
        <v>20000</v>
      </c>
      <c r="D11" s="16" t="s">
        <v>91</v>
      </c>
      <c r="E11" s="17">
        <v>0</v>
      </c>
      <c r="F11" s="15">
        <v>0</v>
      </c>
      <c r="G11" s="15">
        <v>1840.5</v>
      </c>
      <c r="H11" s="15">
        <v>0</v>
      </c>
      <c r="I11" s="15">
        <v>0</v>
      </c>
      <c r="J11" s="15">
        <f t="shared" si="0"/>
        <v>1840.5</v>
      </c>
      <c r="K11" s="15">
        <f t="shared" si="1"/>
        <v>2659.5</v>
      </c>
      <c r="L11" s="15"/>
    </row>
    <row r="12" spans="1:12" ht="15" customHeight="1">
      <c r="A12" s="14" t="s">
        <v>92</v>
      </c>
      <c r="B12" s="15">
        <v>2500</v>
      </c>
      <c r="C12" s="15">
        <v>2500</v>
      </c>
      <c r="D12" s="16" t="s">
        <v>93</v>
      </c>
      <c r="E12" s="17">
        <v>0</v>
      </c>
      <c r="F12" s="15">
        <v>0</v>
      </c>
      <c r="G12" s="15">
        <v>0</v>
      </c>
      <c r="H12" s="15">
        <v>0</v>
      </c>
      <c r="I12" s="15">
        <v>0</v>
      </c>
      <c r="J12" s="15">
        <f t="shared" si="0"/>
        <v>0</v>
      </c>
      <c r="K12" s="15">
        <f t="shared" si="1"/>
        <v>0</v>
      </c>
      <c r="L12" s="15"/>
    </row>
    <row r="13" spans="1:12" ht="15" customHeight="1">
      <c r="A13" s="6" t="s">
        <v>10</v>
      </c>
      <c r="B13" s="7">
        <f>SUM(B4:B12)</f>
        <v>59200</v>
      </c>
      <c r="C13" s="7">
        <f>SUM(C4:C12)</f>
        <v>98165</v>
      </c>
      <c r="D13" s="18"/>
      <c r="E13" s="7">
        <f t="shared" ref="E13:K13" si="2">SUM(E4:E12)</f>
        <v>1412</v>
      </c>
      <c r="F13" s="7">
        <f t="shared" si="2"/>
        <v>350</v>
      </c>
      <c r="G13" s="7">
        <f t="shared" si="2"/>
        <v>6014.37</v>
      </c>
      <c r="H13" s="7">
        <f t="shared" si="2"/>
        <v>100</v>
      </c>
      <c r="I13" s="7">
        <f t="shared" si="2"/>
        <v>1900</v>
      </c>
      <c r="J13" s="7">
        <f t="shared" si="2"/>
        <v>9776.369999999999</v>
      </c>
      <c r="K13" s="7">
        <f t="shared" si="2"/>
        <v>29188.63</v>
      </c>
      <c r="L13" s="7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25"/>
  <sheetViews>
    <sheetView zoomScaleNormal="100" workbookViewId="0"/>
  </sheetViews>
  <sheetFormatPr defaultColWidth="8.7109375" defaultRowHeight="15"/>
  <cols>
    <col min="1" max="1" width="25" customWidth="1"/>
    <col min="2" max="2" width="18" customWidth="1"/>
  </cols>
  <sheetData>
    <row r="1" spans="1:2" ht="15" customHeight="1">
      <c r="A1" s="13" t="s">
        <v>94</v>
      </c>
    </row>
    <row r="3" spans="1:2" ht="15" customHeight="1">
      <c r="A3" s="19" t="s">
        <v>95</v>
      </c>
      <c r="B3" s="19" t="s">
        <v>96</v>
      </c>
    </row>
    <row r="4" spans="1:2" ht="15" customHeight="1">
      <c r="A4" s="10" t="s">
        <v>97</v>
      </c>
      <c r="B4" s="4"/>
    </row>
    <row r="5" spans="1:2" ht="15" customHeight="1">
      <c r="A5" s="10" t="s">
        <v>98</v>
      </c>
      <c r="B5" s="5">
        <v>11150</v>
      </c>
    </row>
    <row r="6" spans="1:2" ht="15" customHeight="1">
      <c r="A6" s="10" t="s">
        <v>99</v>
      </c>
      <c r="B6" s="5">
        <v>18361</v>
      </c>
    </row>
    <row r="7" spans="1:2" ht="15" customHeight="1">
      <c r="A7" s="10" t="s">
        <v>100</v>
      </c>
      <c r="B7" s="5">
        <v>12881</v>
      </c>
    </row>
    <row r="8" spans="1:2" ht="15" customHeight="1">
      <c r="A8" s="10" t="s">
        <v>101</v>
      </c>
      <c r="B8" s="5">
        <v>6718</v>
      </c>
    </row>
    <row r="9" spans="1:2" ht="15" customHeight="1">
      <c r="A9" s="10" t="s">
        <v>102</v>
      </c>
      <c r="B9" s="5">
        <v>13815</v>
      </c>
    </row>
    <row r="10" spans="1:2" ht="15" customHeight="1">
      <c r="A10" s="10" t="s">
        <v>103</v>
      </c>
      <c r="B10" s="5">
        <v>8820</v>
      </c>
    </row>
    <row r="11" spans="1:2" ht="15" customHeight="1">
      <c r="A11" s="20" t="s">
        <v>104</v>
      </c>
      <c r="B11" s="21">
        <f>SUM(B5:B10)</f>
        <v>71745</v>
      </c>
    </row>
    <row r="12" spans="1:2" ht="15" customHeight="1">
      <c r="A12" s="4"/>
      <c r="B12" s="4"/>
    </row>
    <row r="13" spans="1:2" ht="15" customHeight="1">
      <c r="A13" s="10" t="s">
        <v>105</v>
      </c>
      <c r="B13" s="4"/>
    </row>
    <row r="14" spans="1:2" ht="15" customHeight="1">
      <c r="A14" s="10" t="s">
        <v>106</v>
      </c>
      <c r="B14" s="5">
        <v>7766.95</v>
      </c>
    </row>
    <row r="15" spans="1:2" ht="15" customHeight="1">
      <c r="A15" s="10" t="s">
        <v>107</v>
      </c>
      <c r="B15" s="5">
        <v>2744</v>
      </c>
    </row>
    <row r="16" spans="1:2" ht="15" customHeight="1">
      <c r="A16" s="10" t="s">
        <v>108</v>
      </c>
      <c r="B16" s="5">
        <v>3000</v>
      </c>
    </row>
    <row r="17" spans="1:2" ht="15" customHeight="1">
      <c r="A17" s="10" t="s">
        <v>109</v>
      </c>
      <c r="B17" s="5">
        <v>2300</v>
      </c>
    </row>
    <row r="18" spans="1:2" ht="15" customHeight="1">
      <c r="A18" s="20" t="s">
        <v>110</v>
      </c>
      <c r="B18" s="21">
        <f>SUM(B14:B17)</f>
        <v>15810.95</v>
      </c>
    </row>
    <row r="20" spans="1:2" ht="15" customHeight="1">
      <c r="A20" s="6" t="s">
        <v>111</v>
      </c>
      <c r="B20" s="7">
        <f>B11+B18</f>
        <v>87555.95</v>
      </c>
    </row>
    <row r="21" spans="1:2" ht="15" customHeight="1">
      <c r="A21" s="22" t="s">
        <v>112</v>
      </c>
      <c r="B21" s="22">
        <f>B6+B7+B8+B10+(B14+B15)/2+B16/2+B17</f>
        <v>55835.474999999999</v>
      </c>
    </row>
    <row r="22" spans="1:2" ht="15" customHeight="1">
      <c r="A22" s="23" t="s">
        <v>113</v>
      </c>
      <c r="B22" s="23">
        <f>B5+B9+(B14+B15)/2+B16/2</f>
        <v>31720.474999999999</v>
      </c>
    </row>
    <row r="23" spans="1:2">
      <c r="A23" t="s">
        <v>114</v>
      </c>
      <c r="B23" s="24">
        <f>B20-B21-B22</f>
        <v>0</v>
      </c>
    </row>
    <row r="25" spans="1:2">
      <c r="A25" s="25" t="s">
        <v>115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3</vt:i4>
      </vt:variant>
    </vt:vector>
  </HeadingPairs>
  <TitlesOfParts>
    <vt:vector size="3" baseType="lpstr">
      <vt:lpstr>כל הקבלנים</vt:lpstr>
      <vt:lpstr>דירות</vt:lpstr>
      <vt:lpstr>הוצאות קבועות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user</cp:lastModifiedBy>
  <cp:revision>0</cp:revision>
  <dcterms:created xsi:type="dcterms:W3CDTF">2026-07-14T12:38:13Z</dcterms:created>
  <dcterms:modified xsi:type="dcterms:W3CDTF">2026-08-26T11:35:02Z</dcterms:modified>
  <dc:language>en-US</dc:language>
</cp:coreProperties>
</file>