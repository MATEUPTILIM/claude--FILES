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UDE FILES\"/>
    </mc:Choice>
  </mc:AlternateContent>
  <xr:revisionPtr revIDLastSave="0" documentId="8_{EAD8FEA1-649A-4BFC-8FAF-B2A8B0EFDB14}" xr6:coauthVersionLast="47" xr6:coauthVersionMax="47" xr10:uidLastSave="{00000000-0000-0000-0000-000000000000}"/>
  <bookViews>
    <workbookView xWindow="-27960" yWindow="2235" windowWidth="21600" windowHeight="11295" xr2:uid="{661998EF-0277-4DE8-BCA5-D2540E1288E1}"/>
  </bookViews>
  <sheets>
    <sheet name="סיכום" sheetId="1" r:id="rId1"/>
    <sheet name="כרטסת" sheetId="2" r:id="rId2"/>
    <sheet name="חשבוניות פתוחות" sheetId="3" r:id="rId3"/>
  </sheets>
  <definedNames>
    <definedName name="_xlnm._FilterDatabase" localSheetId="1" hidden="1">כרטסת!$A$1:$G$1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1" i="2" l="1"/>
  <c r="F51" i="2"/>
  <c r="E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A15" i="1"/>
  <c r="A13" i="1"/>
</calcChain>
</file>

<file path=xl/sharedStrings.xml><?xml version="1.0" encoding="utf-8"?>
<sst xmlns="http://schemas.openxmlformats.org/spreadsheetml/2006/main" count="269" uniqueCount="151">
  <si>
    <t>התחשבנות מול עגלוני אוסאמה - גז עגלוני</t>
  </si>
  <si>
    <t>עוסק מורשה 080017635 | א-טור ירושלים | 050-5279407</t>
  </si>
  <si>
    <t>לקוח: ישר שירותי קרקע לקבלן ולפועל בע"מ (ח.פ 516961711)</t>
  </si>
  <si>
    <t>תקופה: 01/01/2024 - 30/06/2026 (לפי דוח ההכנסות שהפיק עגלוני ב-20/07/2026)</t>
  </si>
  <si>
    <t>סה"כ חשבוניות שהוציא לך (כולל מע"מ)</t>
  </si>
  <si>
    <t>סה"כ תשלומים שהעברת בפועל (בנק + צ'ק, ברוטו לפני ניכוי במקור)</t>
  </si>
  <si>
    <t>יתרה לתשלום</t>
  </si>
  <si>
    <t>פירוק היתרה:</t>
  </si>
  <si>
    <t>יתרה לפי הקבלות שהוא הפיק (41,248 פחות 31,704 קבלות)</t>
  </si>
  <si>
    <t>בניכוי: תשלום 11/12/2025 שביצעת ולא הופקה עליו קבלה</t>
  </si>
  <si>
    <t>בניכוי: העברה 21/10/2024 עבור חשבונית 50513 שאינה מופיעה בדוח שלו</t>
  </si>
  <si>
    <t>שים לב - 3 נקודות לבירור מולו:</t>
  </si>
  <si>
    <t>1. שילמת 1,593 ש"ח ב-11/12/2025 (נטו 1,497.42 אחרי 6% ניכוי מס במקור) עבור חשבוניות 50769, 50770, 50811 - הוא לא הפיק קבלה. לדרוש קבלה, ולתת לו אישור ניכוי מס במקור על 95.58 ש"ח.</t>
  </si>
  <si>
    <t>2. ב-21/10/2024 העברת 900 ש"ח עם אסמכתא 'חשבונית 50513' - חשבונית כזו לא מופיעה בדוח שלו. אם היא באמת שלך, היתרה היא 7,051; אם לא - היתרה היא 7,951.</t>
  </si>
  <si>
    <t>3. חשבוניות 50534/50551 (900 ש"ח כל אחת) - הוא הפיק רק קבלה אחת של 900 ש"ח (80133) בלי פירוט. כדאי לוודא איזו מהן נסגרה.</t>
  </si>
  <si>
    <t>תאריך</t>
  </si>
  <si>
    <t>סוג</t>
  </si>
  <si>
    <t>מס' מסמך</t>
  </si>
  <si>
    <t>פירוט</t>
  </si>
  <si>
    <t>חובה (חשבונית)</t>
  </si>
  <si>
    <t>זכות (תשלום)</t>
  </si>
  <si>
    <t>יתרה מצטברת</t>
  </si>
  <si>
    <t>21/10/2024</t>
  </si>
  <si>
    <t>תשלום</t>
  </si>
  <si>
    <t>95987</t>
  </si>
  <si>
    <t>העברה בנקאית - אסמכתא: "חשבונית 50513" (חשבונית זו לא מופיעה בדוח של עגלוני!)</t>
  </si>
  <si>
    <t>11/11/2024</t>
  </si>
  <si>
    <t>חשבונית</t>
  </si>
  <si>
    <t>60501</t>
  </si>
  <si>
    <t>חשבונית מס/קבלה</t>
  </si>
  <si>
    <t>צ'ק 5000108</t>
  </si>
  <si>
    <t>שולם בצ'ק - נכלל בקבלה 60501</t>
  </si>
  <si>
    <t>20/11/2024</t>
  </si>
  <si>
    <t>50534</t>
  </si>
  <si>
    <t>גז</t>
  </si>
  <si>
    <t>25/11/2024</t>
  </si>
  <si>
    <t>50543</t>
  </si>
  <si>
    <t>78562</t>
  </si>
  <si>
    <t>העברה בנקאית - קבלה 80133 (₪900)</t>
  </si>
  <si>
    <t>01/12/2024</t>
  </si>
  <si>
    <t>50544</t>
  </si>
  <si>
    <t>14/12/2024</t>
  </si>
  <si>
    <t>50551</t>
  </si>
  <si>
    <t>22/12/2024</t>
  </si>
  <si>
    <t>125087</t>
  </si>
  <si>
    <t>העברה בנקאית - קבלה 80144 (50543, 50544, 50561)</t>
  </si>
  <si>
    <t>31/12/2024</t>
  </si>
  <si>
    <t>50561</t>
  </si>
  <si>
    <t>50562</t>
  </si>
  <si>
    <t>04/01/2025</t>
  </si>
  <si>
    <t>50565</t>
  </si>
  <si>
    <t>08/01/2025</t>
  </si>
  <si>
    <t>50569</t>
  </si>
  <si>
    <t>12/01/2025</t>
  </si>
  <si>
    <t>174471</t>
  </si>
  <si>
    <t>העברה בנקאית - קבלות 80148 + 80149 (50562, 50565, 50569)</t>
  </si>
  <si>
    <t>14/01/2025</t>
  </si>
  <si>
    <t>50571</t>
  </si>
  <si>
    <t>22/01/2025</t>
  </si>
  <si>
    <t>50574</t>
  </si>
  <si>
    <t>23/01/2025</t>
  </si>
  <si>
    <t>50576</t>
  </si>
  <si>
    <t>גז - יאנוש קורצאק 7</t>
  </si>
  <si>
    <t>30/01/2025</t>
  </si>
  <si>
    <t>50579</t>
  </si>
  <si>
    <t>06/02/2025</t>
  </si>
  <si>
    <t>50592</t>
  </si>
  <si>
    <t>גז - יוסף קארו 34</t>
  </si>
  <si>
    <t>13/02/2025</t>
  </si>
  <si>
    <t>50596</t>
  </si>
  <si>
    <t>גז - בית צפפא</t>
  </si>
  <si>
    <t>50597</t>
  </si>
  <si>
    <t>גז - יאנוש קורצ'ק 7</t>
  </si>
  <si>
    <t>26329</t>
  </si>
  <si>
    <t>העברה בנקאית - קבלה 80151 (50576, 50579, 50592)</t>
  </si>
  <si>
    <t>06/03/2025</t>
  </si>
  <si>
    <t>50613</t>
  </si>
  <si>
    <t>גז - תרצה 7</t>
  </si>
  <si>
    <t>50614</t>
  </si>
  <si>
    <t>50615</t>
  </si>
  <si>
    <t>גז - קורצ'אק 7</t>
  </si>
  <si>
    <t>17/03/2025</t>
  </si>
  <si>
    <t>103426</t>
  </si>
  <si>
    <t>העברה בנקאית - קבלה 80167 (50596, 50597, 50613, 50614, 50615)</t>
  </si>
  <si>
    <t>103427</t>
  </si>
  <si>
    <t>העברה בנקאית - קבלה 80166 (50571, 50574)</t>
  </si>
  <si>
    <t>23/03/2025</t>
  </si>
  <si>
    <t>50633</t>
  </si>
  <si>
    <t>גז - יואל 34</t>
  </si>
  <si>
    <t>07/04/2025</t>
  </si>
  <si>
    <t>50641</t>
  </si>
  <si>
    <t>50642</t>
  </si>
  <si>
    <t>27/04/2025</t>
  </si>
  <si>
    <t>50655</t>
  </si>
  <si>
    <t>05/05/2025</t>
  </si>
  <si>
    <t>21894</t>
  </si>
  <si>
    <t>העברה בנקאית - קבלה 80175 (50633, 50642, 50655)</t>
  </si>
  <si>
    <t>22/05/2025</t>
  </si>
  <si>
    <t>50674</t>
  </si>
  <si>
    <t>10/06/2025</t>
  </si>
  <si>
    <t>50692</t>
  </si>
  <si>
    <t>06/07/2025</t>
  </si>
  <si>
    <t>50708</t>
  </si>
  <si>
    <t>גז - יוסף קארו 34 קק</t>
  </si>
  <si>
    <t>11/07/2025</t>
  </si>
  <si>
    <t>50715</t>
  </si>
  <si>
    <t>14/07/2025</t>
  </si>
  <si>
    <t>50716</t>
  </si>
  <si>
    <t>50717</t>
  </si>
  <si>
    <t>גז - ברוריה 2</t>
  </si>
  <si>
    <t>10/09/2025</t>
  </si>
  <si>
    <t>130243</t>
  </si>
  <si>
    <t>העברה בנקאית - קבלה 80215 (50674, 50692, 50708, 50715)</t>
  </si>
  <si>
    <t>130244</t>
  </si>
  <si>
    <t>העברה בנקאית - קבלה 80214 (50716, 50717)</t>
  </si>
  <si>
    <t>24/09/2025</t>
  </si>
  <si>
    <t>50769</t>
  </si>
  <si>
    <t>גז - יוסף קארו דירה 7</t>
  </si>
  <si>
    <t>50770</t>
  </si>
  <si>
    <t>גז - יוסף קארו דירת גג</t>
  </si>
  <si>
    <t>27/11/2025</t>
  </si>
  <si>
    <t>50811</t>
  </si>
  <si>
    <t>גז - יוסף קארו ק.ק</t>
  </si>
  <si>
    <t>11/12/2025</t>
  </si>
  <si>
    <t>99210</t>
  </si>
  <si>
    <t>העברה בנקאית עבור 50769+50770+50811. ברוטו 1,593 בניכוי 6% מס במקור (95.58) = נטו 1,497.42 שהועבר. *** לא הופקה קבלה ***</t>
  </si>
  <si>
    <t>25/12/2025</t>
  </si>
  <si>
    <t>50835</t>
  </si>
  <si>
    <t>50836</t>
  </si>
  <si>
    <t>גז - יוסף קארו 34 דירה 11</t>
  </si>
  <si>
    <t>24/02/2026</t>
  </si>
  <si>
    <t>50870</t>
  </si>
  <si>
    <t>גז - יוסף קארו 34 דירה 7</t>
  </si>
  <si>
    <t>30/05/2026</t>
  </si>
  <si>
    <t>50931</t>
  </si>
  <si>
    <t>גז - 3 מיכלי 48 ק"ג - ביואל 32/1/2 יוסף קארו</t>
  </si>
  <si>
    <t>29/06/2026</t>
  </si>
  <si>
    <t>50948</t>
  </si>
  <si>
    <t>גז - מיכל 48 ק"ג - יוסף קארו 34</t>
  </si>
  <si>
    <t>סה"כ</t>
  </si>
  <si>
    <t>מס' חשבונית</t>
  </si>
  <si>
    <t>סכום</t>
  </si>
  <si>
    <t>סטטוס</t>
  </si>
  <si>
    <t>לא שולם</t>
  </si>
  <si>
    <t>גז - 3 מיכלים - ביואל 32/1/2</t>
  </si>
  <si>
    <t>סה"כ לא שולם</t>
  </si>
  <si>
    <t>שולם 11/12/2025 - חסרה קבלה</t>
  </si>
  <si>
    <t>סה"כ שולם ללא קבלה</t>
  </si>
  <si>
    <t>יתרה פתוחה לפי הכרטסת שלו (7,951 + 1,593)</t>
  </si>
  <si>
    <t>בניכוי העברת 900 עבור חשבונית 50513 (לברור)</t>
  </si>
  <si>
    <t>יתרה סופית לתשלום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</si>
</sst>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4" fontId="2" fillId="0" borderId="0" xfId="0" applyNumberFormat="1" applyFont="1"/>
    <xf numFmtId="4" fontId="2" fillId="2" borderId="0" xfId="0" applyNumberFormat="1" applyFont="1" applyFill="1"/>
    <xf numFmtId="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0" fontId="3" fillId="3" borderId="0" xfId="0" applyFont="1" applyFill="1"/>
    <xf numFmtId="49" fontId="2" fillId="0" borderId="0" xfId="0" applyNumberFormat="1" applyFont="1"/>
    <xf numFmtId="49" fontId="3" fillId="3" borderId="0" xfId="0" applyNumberFormat="1" applyFont="1" applyFill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CF28-FCFA-4BD6-A657-C8A44AF80F01}">
  <dimension ref="A1:B20"/>
  <sheetViews>
    <sheetView rightToLeft="1" tabSelected="1" workbookViewId="0"/>
  </sheetViews>
  <sheetFormatPr defaultRowHeight="14.25" x14ac:dyDescent="0.2"/>
  <cols>
    <col min="1" max="1" width="95.625" customWidth="1"/>
    <col min="2" max="2" width="16.625" customWidth="1"/>
  </cols>
  <sheetData>
    <row r="1" spans="1:2" ht="18" x14ac:dyDescent="0.25">
      <c r="A1" s="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6" spans="1:2" ht="15" x14ac:dyDescent="0.25">
      <c r="A6" s="2" t="s">
        <v>4</v>
      </c>
      <c r="B6" s="4">
        <v>41248</v>
      </c>
    </row>
    <row r="7" spans="1:2" ht="15" x14ac:dyDescent="0.25">
      <c r="A7" s="2" t="s">
        <v>5</v>
      </c>
      <c r="B7" s="4">
        <v>34197</v>
      </c>
    </row>
    <row r="8" spans="1:2" ht="15" x14ac:dyDescent="0.25">
      <c r="A8" s="3" t="s">
        <v>6</v>
      </c>
      <c r="B8" s="5">
        <v>7051</v>
      </c>
    </row>
    <row r="9" spans="1:2" x14ac:dyDescent="0.2">
      <c r="B9" s="6"/>
    </row>
    <row r="10" spans="1:2" x14ac:dyDescent="0.2">
      <c r="A10" t="s">
        <v>7</v>
      </c>
      <c r="B10" s="6"/>
    </row>
    <row r="11" spans="1:2" x14ac:dyDescent="0.2">
      <c r="A11" t="s">
        <v>8</v>
      </c>
      <c r="B11" s="6">
        <v>9544</v>
      </c>
    </row>
    <row r="12" spans="1:2" x14ac:dyDescent="0.2">
      <c r="A12" t="s">
        <v>9</v>
      </c>
      <c r="B12" s="6">
        <v>-1593</v>
      </c>
    </row>
    <row r="13" spans="1:2" ht="15" x14ac:dyDescent="0.25">
      <c r="A13" s="2" t="e">
        <f xml:space="preserve"> חשבוניות פתוחות שבאמת לא שולמו</f>
        <v>#NAME?</v>
      </c>
      <c r="B13" s="4">
        <v>7951</v>
      </c>
    </row>
    <row r="14" spans="1:2" x14ac:dyDescent="0.2">
      <c r="A14" t="s">
        <v>10</v>
      </c>
      <c r="B14" s="6">
        <v>-900</v>
      </c>
    </row>
    <row r="15" spans="1:2" ht="15" x14ac:dyDescent="0.25">
      <c r="A15" s="2" t="e">
        <f xml:space="preserve"> יתרה סופית לפי מה שיצא מהבנק שלך</f>
        <v>#NAME?</v>
      </c>
      <c r="B15" s="4">
        <v>7051</v>
      </c>
    </row>
    <row r="17" spans="1:1" ht="15" x14ac:dyDescent="0.25">
      <c r="A17" s="2" t="s">
        <v>11</v>
      </c>
    </row>
    <row r="18" spans="1:1" ht="45" customHeight="1" x14ac:dyDescent="0.2">
      <c r="A18" s="7" t="s">
        <v>12</v>
      </c>
    </row>
    <row r="19" spans="1:1" ht="45" customHeight="1" x14ac:dyDescent="0.2">
      <c r="A19" s="7" t="s">
        <v>13</v>
      </c>
    </row>
    <row r="20" spans="1:1" ht="32.1" customHeight="1" x14ac:dyDescent="0.2">
      <c r="A20" s="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872F-B286-4F04-9C12-605E1A14EEB7}">
  <dimension ref="A1:G51"/>
  <sheetViews>
    <sheetView rightToLeft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12.625" customWidth="1"/>
    <col min="2" max="2" width="11.625" customWidth="1"/>
    <col min="3" max="3" width="14.625" customWidth="1"/>
    <col min="4" max="4" width="78.625" customWidth="1"/>
    <col min="5" max="7" width="16.625" customWidth="1"/>
  </cols>
  <sheetData>
    <row r="1" spans="1:7" ht="15" x14ac:dyDescent="0.25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</row>
    <row r="2" spans="1:7" x14ac:dyDescent="0.2">
      <c r="A2" s="8" t="s">
        <v>22</v>
      </c>
      <c r="B2" t="s">
        <v>23</v>
      </c>
      <c r="C2" s="8" t="s">
        <v>24</v>
      </c>
      <c r="D2" t="s">
        <v>25</v>
      </c>
      <c r="E2" s="6"/>
      <c r="F2" s="6">
        <v>900</v>
      </c>
      <c r="G2" s="6">
        <f>N(E2)-N(F2)</f>
        <v>-900</v>
      </c>
    </row>
    <row r="3" spans="1:7" x14ac:dyDescent="0.2">
      <c r="A3" s="8" t="s">
        <v>26</v>
      </c>
      <c r="B3" t="s">
        <v>27</v>
      </c>
      <c r="C3" s="8" t="s">
        <v>28</v>
      </c>
      <c r="D3" t="s">
        <v>29</v>
      </c>
      <c r="E3" s="6">
        <v>5940</v>
      </c>
      <c r="F3" s="6"/>
      <c r="G3" s="6">
        <f>G2+N(E3)-N(F3)</f>
        <v>5040</v>
      </c>
    </row>
    <row r="4" spans="1:7" x14ac:dyDescent="0.2">
      <c r="A4" s="8" t="s">
        <v>26</v>
      </c>
      <c r="B4" t="s">
        <v>23</v>
      </c>
      <c r="C4" s="8" t="s">
        <v>30</v>
      </c>
      <c r="D4" t="s">
        <v>31</v>
      </c>
      <c r="E4" s="6"/>
      <c r="F4" s="6">
        <v>5940</v>
      </c>
      <c r="G4" s="6">
        <f>G3+N(E4)-N(F4)</f>
        <v>-900</v>
      </c>
    </row>
    <row r="5" spans="1:7" x14ac:dyDescent="0.2">
      <c r="A5" s="8" t="s">
        <v>32</v>
      </c>
      <c r="B5" t="s">
        <v>27</v>
      </c>
      <c r="C5" s="8" t="s">
        <v>33</v>
      </c>
      <c r="D5" t="s">
        <v>34</v>
      </c>
      <c r="E5" s="6">
        <v>900</v>
      </c>
      <c r="F5" s="6"/>
      <c r="G5" s="6">
        <f>G4+N(E5)-N(F5)</f>
        <v>0</v>
      </c>
    </row>
    <row r="6" spans="1:7" x14ac:dyDescent="0.2">
      <c r="A6" s="8" t="s">
        <v>35</v>
      </c>
      <c r="B6" t="s">
        <v>27</v>
      </c>
      <c r="C6" s="8" t="s">
        <v>36</v>
      </c>
      <c r="D6" t="s">
        <v>34</v>
      </c>
      <c r="E6" s="6">
        <v>900</v>
      </c>
      <c r="F6" s="6"/>
      <c r="G6" s="6">
        <f>G5+N(E6)-N(F6)</f>
        <v>900</v>
      </c>
    </row>
    <row r="7" spans="1:7" x14ac:dyDescent="0.2">
      <c r="A7" s="8" t="s">
        <v>35</v>
      </c>
      <c r="B7" t="s">
        <v>23</v>
      </c>
      <c r="C7" s="8" t="s">
        <v>37</v>
      </c>
      <c r="D7" t="s">
        <v>38</v>
      </c>
      <c r="E7" s="6"/>
      <c r="F7" s="6">
        <v>900</v>
      </c>
      <c r="G7" s="6">
        <f>G6+N(E7)-N(F7)</f>
        <v>0</v>
      </c>
    </row>
    <row r="8" spans="1:7" x14ac:dyDescent="0.2">
      <c r="A8" s="8" t="s">
        <v>39</v>
      </c>
      <c r="B8" t="s">
        <v>27</v>
      </c>
      <c r="C8" s="8" t="s">
        <v>40</v>
      </c>
      <c r="D8" t="s">
        <v>34</v>
      </c>
      <c r="E8" s="6">
        <v>1400</v>
      </c>
      <c r="F8" s="6"/>
      <c r="G8" s="6">
        <f>G7+N(E8)-N(F8)</f>
        <v>1400</v>
      </c>
    </row>
    <row r="9" spans="1:7" x14ac:dyDescent="0.2">
      <c r="A9" s="8" t="s">
        <v>41</v>
      </c>
      <c r="B9" t="s">
        <v>27</v>
      </c>
      <c r="C9" s="8" t="s">
        <v>42</v>
      </c>
      <c r="D9" t="s">
        <v>34</v>
      </c>
      <c r="E9" s="6">
        <v>900</v>
      </c>
      <c r="F9" s="6"/>
      <c r="G9" s="6">
        <f>G8+N(E9)-N(F9)</f>
        <v>2300</v>
      </c>
    </row>
    <row r="10" spans="1:7" x14ac:dyDescent="0.2">
      <c r="A10" s="8" t="s">
        <v>43</v>
      </c>
      <c r="B10" t="s">
        <v>23</v>
      </c>
      <c r="C10" s="8" t="s">
        <v>44</v>
      </c>
      <c r="D10" t="s">
        <v>45</v>
      </c>
      <c r="E10" s="6"/>
      <c r="F10" s="6">
        <v>3200</v>
      </c>
      <c r="G10" s="6">
        <f>G9+N(E10)-N(F10)</f>
        <v>-900</v>
      </c>
    </row>
    <row r="11" spans="1:7" x14ac:dyDescent="0.2">
      <c r="A11" s="8" t="s">
        <v>46</v>
      </c>
      <c r="B11" t="s">
        <v>27</v>
      </c>
      <c r="C11" s="8" t="s">
        <v>47</v>
      </c>
      <c r="D11" t="s">
        <v>34</v>
      </c>
      <c r="E11" s="6">
        <v>900</v>
      </c>
      <c r="F11" s="6"/>
      <c r="G11" s="6">
        <f>G10+N(E11)-N(F11)</f>
        <v>0</v>
      </c>
    </row>
    <row r="12" spans="1:7" x14ac:dyDescent="0.2">
      <c r="A12" s="8" t="s">
        <v>46</v>
      </c>
      <c r="B12" t="s">
        <v>27</v>
      </c>
      <c r="C12" s="8" t="s">
        <v>48</v>
      </c>
      <c r="D12" t="s">
        <v>34</v>
      </c>
      <c r="E12" s="6">
        <v>1800</v>
      </c>
      <c r="F12" s="6"/>
      <c r="G12" s="6">
        <f>G11+N(E12)-N(F12)</f>
        <v>1800</v>
      </c>
    </row>
    <row r="13" spans="1:7" x14ac:dyDescent="0.2">
      <c r="A13" s="8" t="s">
        <v>49</v>
      </c>
      <c r="B13" t="s">
        <v>27</v>
      </c>
      <c r="C13" s="8" t="s">
        <v>50</v>
      </c>
      <c r="D13" t="s">
        <v>34</v>
      </c>
      <c r="E13" s="6">
        <v>900</v>
      </c>
      <c r="F13" s="6"/>
      <c r="G13" s="6">
        <f>G12+N(E13)-N(F13)</f>
        <v>2700</v>
      </c>
    </row>
    <row r="14" spans="1:7" x14ac:dyDescent="0.2">
      <c r="A14" s="8" t="s">
        <v>51</v>
      </c>
      <c r="B14" t="s">
        <v>27</v>
      </c>
      <c r="C14" s="8" t="s">
        <v>52</v>
      </c>
      <c r="D14" t="s">
        <v>34</v>
      </c>
      <c r="E14" s="6">
        <v>900</v>
      </c>
      <c r="F14" s="6"/>
      <c r="G14" s="6">
        <f>G13+N(E14)-N(F14)</f>
        <v>3600</v>
      </c>
    </row>
    <row r="15" spans="1:7" x14ac:dyDescent="0.2">
      <c r="A15" s="8" t="s">
        <v>53</v>
      </c>
      <c r="B15" t="s">
        <v>23</v>
      </c>
      <c r="C15" s="8" t="s">
        <v>54</v>
      </c>
      <c r="D15" t="s">
        <v>55</v>
      </c>
      <c r="E15" s="6"/>
      <c r="F15" s="6">
        <v>3600</v>
      </c>
      <c r="G15" s="6">
        <f>G14+N(E15)-N(F15)</f>
        <v>0</v>
      </c>
    </row>
    <row r="16" spans="1:7" x14ac:dyDescent="0.2">
      <c r="A16" s="8" t="s">
        <v>56</v>
      </c>
      <c r="B16" t="s">
        <v>27</v>
      </c>
      <c r="C16" s="8" t="s">
        <v>57</v>
      </c>
      <c r="D16" t="s">
        <v>34</v>
      </c>
      <c r="E16" s="6">
        <v>900</v>
      </c>
      <c r="F16" s="6"/>
      <c r="G16" s="6">
        <f>G15+N(E16)-N(F16)</f>
        <v>900</v>
      </c>
    </row>
    <row r="17" spans="1:7" x14ac:dyDescent="0.2">
      <c r="A17" s="8" t="s">
        <v>58</v>
      </c>
      <c r="B17" t="s">
        <v>27</v>
      </c>
      <c r="C17" s="8" t="s">
        <v>59</v>
      </c>
      <c r="D17" t="s">
        <v>34</v>
      </c>
      <c r="E17" s="6">
        <v>1195</v>
      </c>
      <c r="F17" s="6"/>
      <c r="G17" s="6">
        <f>G16+N(E17)-N(F17)</f>
        <v>2095</v>
      </c>
    </row>
    <row r="18" spans="1:7" x14ac:dyDescent="0.2">
      <c r="A18" s="8" t="s">
        <v>60</v>
      </c>
      <c r="B18" t="s">
        <v>27</v>
      </c>
      <c r="C18" s="8" t="s">
        <v>61</v>
      </c>
      <c r="D18" t="s">
        <v>62</v>
      </c>
      <c r="E18" s="6">
        <v>900</v>
      </c>
      <c r="F18" s="6"/>
      <c r="G18" s="6">
        <f>G17+N(E18)-N(F18)</f>
        <v>2995</v>
      </c>
    </row>
    <row r="19" spans="1:7" x14ac:dyDescent="0.2">
      <c r="A19" s="8" t="s">
        <v>63</v>
      </c>
      <c r="B19" t="s">
        <v>27</v>
      </c>
      <c r="C19" s="8" t="s">
        <v>64</v>
      </c>
      <c r="D19" t="s">
        <v>34</v>
      </c>
      <c r="E19" s="6">
        <v>900</v>
      </c>
      <c r="F19" s="6"/>
      <c r="G19" s="6">
        <f>G18+N(E19)-N(F19)</f>
        <v>3895</v>
      </c>
    </row>
    <row r="20" spans="1:7" x14ac:dyDescent="0.2">
      <c r="A20" s="8" t="s">
        <v>65</v>
      </c>
      <c r="B20" t="s">
        <v>27</v>
      </c>
      <c r="C20" s="8" t="s">
        <v>66</v>
      </c>
      <c r="D20" t="s">
        <v>67</v>
      </c>
      <c r="E20" s="6">
        <v>450</v>
      </c>
      <c r="F20" s="6"/>
      <c r="G20" s="6">
        <f>G19+N(E20)-N(F20)</f>
        <v>4345</v>
      </c>
    </row>
    <row r="21" spans="1:7" x14ac:dyDescent="0.2">
      <c r="A21" s="8" t="s">
        <v>68</v>
      </c>
      <c r="B21" t="s">
        <v>27</v>
      </c>
      <c r="C21" s="8" t="s">
        <v>69</v>
      </c>
      <c r="D21" t="s">
        <v>70</v>
      </c>
      <c r="E21" s="6">
        <v>900</v>
      </c>
      <c r="F21" s="6"/>
      <c r="G21" s="6">
        <f>G20+N(E21)-N(F21)</f>
        <v>5245</v>
      </c>
    </row>
    <row r="22" spans="1:7" x14ac:dyDescent="0.2">
      <c r="A22" s="8" t="s">
        <v>68</v>
      </c>
      <c r="B22" t="s">
        <v>27</v>
      </c>
      <c r="C22" s="8" t="s">
        <v>71</v>
      </c>
      <c r="D22" t="s">
        <v>72</v>
      </c>
      <c r="E22" s="6">
        <v>1150</v>
      </c>
      <c r="F22" s="6"/>
      <c r="G22" s="6">
        <f>G21+N(E22)-N(F22)</f>
        <v>6395</v>
      </c>
    </row>
    <row r="23" spans="1:7" x14ac:dyDescent="0.2">
      <c r="A23" s="8" t="s">
        <v>68</v>
      </c>
      <c r="B23" t="s">
        <v>23</v>
      </c>
      <c r="C23" s="8" t="s">
        <v>73</v>
      </c>
      <c r="D23" t="s">
        <v>74</v>
      </c>
      <c r="E23" s="6"/>
      <c r="F23" s="6">
        <v>2250</v>
      </c>
      <c r="G23" s="6">
        <f>G22+N(E23)-N(F23)</f>
        <v>4145</v>
      </c>
    </row>
    <row r="24" spans="1:7" x14ac:dyDescent="0.2">
      <c r="A24" s="8" t="s">
        <v>75</v>
      </c>
      <c r="B24" t="s">
        <v>27</v>
      </c>
      <c r="C24" s="8" t="s">
        <v>76</v>
      </c>
      <c r="D24" t="s">
        <v>77</v>
      </c>
      <c r="E24" s="6">
        <v>900</v>
      </c>
      <c r="F24" s="6"/>
      <c r="G24" s="6">
        <f>G23+N(E24)-N(F24)</f>
        <v>5045</v>
      </c>
    </row>
    <row r="25" spans="1:7" x14ac:dyDescent="0.2">
      <c r="A25" s="8" t="s">
        <v>75</v>
      </c>
      <c r="B25" t="s">
        <v>27</v>
      </c>
      <c r="C25" s="8" t="s">
        <v>78</v>
      </c>
      <c r="D25" t="s">
        <v>67</v>
      </c>
      <c r="E25" s="6">
        <v>900</v>
      </c>
      <c r="F25" s="6"/>
      <c r="G25" s="6">
        <f>G24+N(E25)-N(F25)</f>
        <v>5945</v>
      </c>
    </row>
    <row r="26" spans="1:7" x14ac:dyDescent="0.2">
      <c r="A26" s="8" t="s">
        <v>75</v>
      </c>
      <c r="B26" t="s">
        <v>27</v>
      </c>
      <c r="C26" s="8" t="s">
        <v>79</v>
      </c>
      <c r="D26" t="s">
        <v>80</v>
      </c>
      <c r="E26" s="6">
        <v>900</v>
      </c>
      <c r="F26" s="6"/>
      <c r="G26" s="6">
        <f>G25+N(E26)-N(F26)</f>
        <v>6845</v>
      </c>
    </row>
    <row r="27" spans="1:7" x14ac:dyDescent="0.2">
      <c r="A27" s="8" t="s">
        <v>81</v>
      </c>
      <c r="B27" t="s">
        <v>23</v>
      </c>
      <c r="C27" s="8" t="s">
        <v>82</v>
      </c>
      <c r="D27" t="s">
        <v>83</v>
      </c>
      <c r="E27" s="6"/>
      <c r="F27" s="6">
        <v>4750</v>
      </c>
      <c r="G27" s="6">
        <f>G26+N(E27)-N(F27)</f>
        <v>2095</v>
      </c>
    </row>
    <row r="28" spans="1:7" x14ac:dyDescent="0.2">
      <c r="A28" s="8" t="s">
        <v>81</v>
      </c>
      <c r="B28" t="s">
        <v>23</v>
      </c>
      <c r="C28" s="8" t="s">
        <v>84</v>
      </c>
      <c r="D28" t="s">
        <v>85</v>
      </c>
      <c r="E28" s="6"/>
      <c r="F28" s="6">
        <v>2095</v>
      </c>
      <c r="G28" s="6">
        <f>G27+N(E28)-N(F28)</f>
        <v>0</v>
      </c>
    </row>
    <row r="29" spans="1:7" x14ac:dyDescent="0.2">
      <c r="A29" s="8" t="s">
        <v>86</v>
      </c>
      <c r="B29" t="s">
        <v>27</v>
      </c>
      <c r="C29" s="8" t="s">
        <v>87</v>
      </c>
      <c r="D29" t="s">
        <v>88</v>
      </c>
      <c r="E29" s="6">
        <v>1350</v>
      </c>
      <c r="F29" s="6"/>
      <c r="G29" s="6">
        <f>G28+N(E29)-N(F29)</f>
        <v>1350</v>
      </c>
    </row>
    <row r="30" spans="1:7" x14ac:dyDescent="0.2">
      <c r="A30" s="8" t="s">
        <v>89</v>
      </c>
      <c r="B30" t="s">
        <v>27</v>
      </c>
      <c r="C30" s="8" t="s">
        <v>90</v>
      </c>
      <c r="D30" t="s">
        <v>70</v>
      </c>
      <c r="E30" s="6">
        <v>1800</v>
      </c>
      <c r="F30" s="6"/>
      <c r="G30" s="6">
        <f>G29+N(E30)-N(F30)</f>
        <v>3150</v>
      </c>
    </row>
    <row r="31" spans="1:7" x14ac:dyDescent="0.2">
      <c r="A31" s="8" t="s">
        <v>89</v>
      </c>
      <c r="B31" t="s">
        <v>27</v>
      </c>
      <c r="C31" s="8" t="s">
        <v>91</v>
      </c>
      <c r="D31" t="s">
        <v>77</v>
      </c>
      <c r="E31" s="6">
        <v>1800</v>
      </c>
      <c r="F31" s="6"/>
      <c r="G31" s="6">
        <f>G30+N(E31)-N(F31)</f>
        <v>4950</v>
      </c>
    </row>
    <row r="32" spans="1:7" x14ac:dyDescent="0.2">
      <c r="A32" s="8" t="s">
        <v>92</v>
      </c>
      <c r="B32" t="s">
        <v>27</v>
      </c>
      <c r="C32" s="8" t="s">
        <v>93</v>
      </c>
      <c r="D32" t="s">
        <v>77</v>
      </c>
      <c r="E32" s="6">
        <v>450</v>
      </c>
      <c r="F32" s="6"/>
      <c r="G32" s="6">
        <f>G31+N(E32)-N(F32)</f>
        <v>5400</v>
      </c>
    </row>
    <row r="33" spans="1:7" x14ac:dyDescent="0.2">
      <c r="A33" s="8" t="s">
        <v>94</v>
      </c>
      <c r="B33" t="s">
        <v>23</v>
      </c>
      <c r="C33" s="8" t="s">
        <v>95</v>
      </c>
      <c r="D33" t="s">
        <v>96</v>
      </c>
      <c r="E33" s="6"/>
      <c r="F33" s="6">
        <v>3600</v>
      </c>
      <c r="G33" s="6">
        <f>G32+N(E33)-N(F33)</f>
        <v>1800</v>
      </c>
    </row>
    <row r="34" spans="1:7" x14ac:dyDescent="0.2">
      <c r="A34" s="8" t="s">
        <v>97</v>
      </c>
      <c r="B34" t="s">
        <v>27</v>
      </c>
      <c r="C34" s="8" t="s">
        <v>98</v>
      </c>
      <c r="D34" t="s">
        <v>34</v>
      </c>
      <c r="E34" s="6">
        <v>590</v>
      </c>
      <c r="F34" s="6"/>
      <c r="G34" s="6">
        <f>G33+N(E34)-N(F34)</f>
        <v>2390</v>
      </c>
    </row>
    <row r="35" spans="1:7" x14ac:dyDescent="0.2">
      <c r="A35" s="8" t="s">
        <v>99</v>
      </c>
      <c r="B35" t="s">
        <v>27</v>
      </c>
      <c r="C35" s="8" t="s">
        <v>100</v>
      </c>
      <c r="D35" t="s">
        <v>34</v>
      </c>
      <c r="E35" s="6">
        <v>2124</v>
      </c>
      <c r="F35" s="6"/>
      <c r="G35" s="6">
        <f>G34+N(E35)-N(F35)</f>
        <v>4514</v>
      </c>
    </row>
    <row r="36" spans="1:7" x14ac:dyDescent="0.2">
      <c r="A36" s="8" t="s">
        <v>101</v>
      </c>
      <c r="B36" t="s">
        <v>27</v>
      </c>
      <c r="C36" s="8" t="s">
        <v>102</v>
      </c>
      <c r="D36" t="s">
        <v>103</v>
      </c>
      <c r="E36" s="6">
        <v>354</v>
      </c>
      <c r="F36" s="6"/>
      <c r="G36" s="6">
        <f>G35+N(E36)-N(F36)</f>
        <v>4868</v>
      </c>
    </row>
    <row r="37" spans="1:7" x14ac:dyDescent="0.2">
      <c r="A37" s="8" t="s">
        <v>104</v>
      </c>
      <c r="B37" t="s">
        <v>27</v>
      </c>
      <c r="C37" s="8" t="s">
        <v>105</v>
      </c>
      <c r="D37" t="s">
        <v>67</v>
      </c>
      <c r="E37" s="6">
        <v>177</v>
      </c>
      <c r="F37" s="6"/>
      <c r="G37" s="6">
        <f>G36+N(E37)-N(F37)</f>
        <v>5045</v>
      </c>
    </row>
    <row r="38" spans="1:7" x14ac:dyDescent="0.2">
      <c r="A38" s="8" t="s">
        <v>106</v>
      </c>
      <c r="B38" t="s">
        <v>27</v>
      </c>
      <c r="C38" s="8" t="s">
        <v>107</v>
      </c>
      <c r="D38" t="s">
        <v>67</v>
      </c>
      <c r="E38" s="6">
        <v>1062</v>
      </c>
      <c r="F38" s="6"/>
      <c r="G38" s="6">
        <f>G37+N(E38)-N(F38)</f>
        <v>6107</v>
      </c>
    </row>
    <row r="39" spans="1:7" x14ac:dyDescent="0.2">
      <c r="A39" s="8" t="s">
        <v>106</v>
      </c>
      <c r="B39" t="s">
        <v>27</v>
      </c>
      <c r="C39" s="8" t="s">
        <v>108</v>
      </c>
      <c r="D39" t="s">
        <v>109</v>
      </c>
      <c r="E39" s="6">
        <v>1062</v>
      </c>
      <c r="F39" s="6"/>
      <c r="G39" s="6">
        <f>G38+N(E39)-N(F39)</f>
        <v>7169</v>
      </c>
    </row>
    <row r="40" spans="1:7" x14ac:dyDescent="0.2">
      <c r="A40" s="8" t="s">
        <v>110</v>
      </c>
      <c r="B40" t="s">
        <v>23</v>
      </c>
      <c r="C40" s="8" t="s">
        <v>111</v>
      </c>
      <c r="D40" t="s">
        <v>112</v>
      </c>
      <c r="E40" s="6"/>
      <c r="F40" s="6">
        <v>3245</v>
      </c>
      <c r="G40" s="6">
        <f>G39+N(E40)-N(F40)</f>
        <v>3924</v>
      </c>
    </row>
    <row r="41" spans="1:7" x14ac:dyDescent="0.2">
      <c r="A41" s="8" t="s">
        <v>110</v>
      </c>
      <c r="B41" t="s">
        <v>23</v>
      </c>
      <c r="C41" s="8" t="s">
        <v>113</v>
      </c>
      <c r="D41" t="s">
        <v>114</v>
      </c>
      <c r="E41" s="6"/>
      <c r="F41" s="6">
        <v>2124</v>
      </c>
      <c r="G41" s="6">
        <f>G40+N(E41)-N(F41)</f>
        <v>1800</v>
      </c>
    </row>
    <row r="42" spans="1:7" x14ac:dyDescent="0.2">
      <c r="A42" s="8" t="s">
        <v>115</v>
      </c>
      <c r="B42" t="s">
        <v>27</v>
      </c>
      <c r="C42" s="8" t="s">
        <v>116</v>
      </c>
      <c r="D42" t="s">
        <v>117</v>
      </c>
      <c r="E42" s="6">
        <v>531</v>
      </c>
      <c r="F42" s="6"/>
      <c r="G42" s="6">
        <f>G41+N(E42)-N(F42)</f>
        <v>2331</v>
      </c>
    </row>
    <row r="43" spans="1:7" x14ac:dyDescent="0.2">
      <c r="A43" s="8" t="s">
        <v>115</v>
      </c>
      <c r="B43" t="s">
        <v>27</v>
      </c>
      <c r="C43" s="8" t="s">
        <v>118</v>
      </c>
      <c r="D43" t="s">
        <v>119</v>
      </c>
      <c r="E43" s="6">
        <v>531</v>
      </c>
      <c r="F43" s="6"/>
      <c r="G43" s="6">
        <f>G42+N(E43)-N(F43)</f>
        <v>2862</v>
      </c>
    </row>
    <row r="44" spans="1:7" x14ac:dyDescent="0.2">
      <c r="A44" s="8" t="s">
        <v>120</v>
      </c>
      <c r="B44" t="s">
        <v>27</v>
      </c>
      <c r="C44" s="8" t="s">
        <v>121</v>
      </c>
      <c r="D44" t="s">
        <v>122</v>
      </c>
      <c r="E44" s="6">
        <v>531</v>
      </c>
      <c r="F44" s="6"/>
      <c r="G44" s="6">
        <f>G43+N(E44)-N(F44)</f>
        <v>3393</v>
      </c>
    </row>
    <row r="45" spans="1:7" x14ac:dyDescent="0.2">
      <c r="A45" s="8" t="s">
        <v>123</v>
      </c>
      <c r="B45" t="s">
        <v>23</v>
      </c>
      <c r="C45" s="8" t="s">
        <v>124</v>
      </c>
      <c r="D45" t="s">
        <v>125</v>
      </c>
      <c r="E45" s="6"/>
      <c r="F45" s="6">
        <v>1593</v>
      </c>
      <c r="G45" s="6">
        <f>G44+N(E45)-N(F45)</f>
        <v>1800</v>
      </c>
    </row>
    <row r="46" spans="1:7" x14ac:dyDescent="0.2">
      <c r="A46" s="8" t="s">
        <v>126</v>
      </c>
      <c r="B46" t="s">
        <v>27</v>
      </c>
      <c r="C46" s="8" t="s">
        <v>127</v>
      </c>
      <c r="D46" t="s">
        <v>122</v>
      </c>
      <c r="E46" s="6">
        <v>531</v>
      </c>
      <c r="F46" s="6"/>
      <c r="G46" s="6">
        <f>G45+N(E46)-N(F46)</f>
        <v>2331</v>
      </c>
    </row>
    <row r="47" spans="1:7" x14ac:dyDescent="0.2">
      <c r="A47" s="8" t="s">
        <v>126</v>
      </c>
      <c r="B47" t="s">
        <v>27</v>
      </c>
      <c r="C47" s="8" t="s">
        <v>128</v>
      </c>
      <c r="D47" t="s">
        <v>129</v>
      </c>
      <c r="E47" s="6">
        <v>1062</v>
      </c>
      <c r="F47" s="6"/>
      <c r="G47" s="6">
        <f>G46+N(E47)-N(F47)</f>
        <v>3393</v>
      </c>
    </row>
    <row r="48" spans="1:7" x14ac:dyDescent="0.2">
      <c r="A48" s="8" t="s">
        <v>130</v>
      </c>
      <c r="B48" t="s">
        <v>27</v>
      </c>
      <c r="C48" s="8" t="s">
        <v>131</v>
      </c>
      <c r="D48" t="s">
        <v>132</v>
      </c>
      <c r="E48" s="6">
        <v>1062</v>
      </c>
      <c r="F48" s="6"/>
      <c r="G48" s="6">
        <f>G47+N(E48)-N(F48)</f>
        <v>4455</v>
      </c>
    </row>
    <row r="49" spans="1:7" x14ac:dyDescent="0.2">
      <c r="A49" s="8" t="s">
        <v>133</v>
      </c>
      <c r="B49" t="s">
        <v>27</v>
      </c>
      <c r="C49" s="8" t="s">
        <v>134</v>
      </c>
      <c r="D49" t="s">
        <v>135</v>
      </c>
      <c r="E49" s="6">
        <v>1947</v>
      </c>
      <c r="F49" s="6"/>
      <c r="G49" s="6">
        <f>G48+N(E49)-N(F49)</f>
        <v>6402</v>
      </c>
    </row>
    <row r="50" spans="1:7" x14ac:dyDescent="0.2">
      <c r="A50" s="8" t="s">
        <v>136</v>
      </c>
      <c r="B50" t="s">
        <v>27</v>
      </c>
      <c r="C50" s="8" t="s">
        <v>137</v>
      </c>
      <c r="D50" t="s">
        <v>138</v>
      </c>
      <c r="E50" s="6">
        <v>649</v>
      </c>
      <c r="F50" s="6"/>
      <c r="G50" s="6">
        <f>G49+N(E50)-N(F50)</f>
        <v>7051</v>
      </c>
    </row>
    <row r="51" spans="1:7" ht="15" x14ac:dyDescent="0.25">
      <c r="A51" s="3"/>
      <c r="B51" s="3"/>
      <c r="C51" s="3"/>
      <c r="D51" s="3" t="s">
        <v>139</v>
      </c>
      <c r="E51" s="5">
        <f>SUM(E2:E50)</f>
        <v>41248</v>
      </c>
      <c r="F51" s="5">
        <f>SUM(F2:F50)</f>
        <v>34197</v>
      </c>
      <c r="G51" s="5">
        <f>E51-F51</f>
        <v>7051</v>
      </c>
    </row>
  </sheetData>
  <autoFilter ref="A1:G1" xr:uid="{958E872F-B286-4F04-9C12-605E1A14EEB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0E4B-71BD-4448-81EB-092144DC4F45}">
  <dimension ref="A1:E18"/>
  <sheetViews>
    <sheetView rightToLeft="1" workbookViewId="0"/>
  </sheetViews>
  <sheetFormatPr defaultRowHeight="14.25" x14ac:dyDescent="0.2"/>
  <cols>
    <col min="1" max="1" width="13.625" customWidth="1"/>
    <col min="2" max="2" width="14.625" customWidth="1"/>
    <col min="3" max="3" width="46.625" customWidth="1"/>
    <col min="4" max="4" width="14.625" customWidth="1"/>
    <col min="5" max="5" width="30.625" customWidth="1"/>
  </cols>
  <sheetData>
    <row r="1" spans="1:5" ht="15" x14ac:dyDescent="0.25">
      <c r="A1" s="11" t="s">
        <v>15</v>
      </c>
      <c r="B1" s="11" t="s">
        <v>140</v>
      </c>
      <c r="C1" s="11" t="s">
        <v>18</v>
      </c>
      <c r="D1" s="11" t="s">
        <v>141</v>
      </c>
      <c r="E1" s="11" t="s">
        <v>142</v>
      </c>
    </row>
    <row r="2" spans="1:5" x14ac:dyDescent="0.2">
      <c r="A2" s="8" t="s">
        <v>41</v>
      </c>
      <c r="B2" s="8" t="s">
        <v>42</v>
      </c>
      <c r="C2" s="8" t="s">
        <v>34</v>
      </c>
      <c r="D2" s="6">
        <v>900</v>
      </c>
      <c r="E2" s="8" t="s">
        <v>143</v>
      </c>
    </row>
    <row r="3" spans="1:5" x14ac:dyDescent="0.2">
      <c r="A3" s="8" t="s">
        <v>89</v>
      </c>
      <c r="B3" s="8" t="s">
        <v>90</v>
      </c>
      <c r="C3" s="8" t="s">
        <v>70</v>
      </c>
      <c r="D3" s="6">
        <v>1800</v>
      </c>
      <c r="E3" s="8" t="s">
        <v>143</v>
      </c>
    </row>
    <row r="4" spans="1:5" x14ac:dyDescent="0.2">
      <c r="A4" s="8" t="s">
        <v>126</v>
      </c>
      <c r="B4" s="8" t="s">
        <v>127</v>
      </c>
      <c r="C4" s="8" t="s">
        <v>122</v>
      </c>
      <c r="D4" s="6">
        <v>531</v>
      </c>
      <c r="E4" s="8" t="s">
        <v>143</v>
      </c>
    </row>
    <row r="5" spans="1:5" x14ac:dyDescent="0.2">
      <c r="A5" s="8" t="s">
        <v>126</v>
      </c>
      <c r="B5" s="8" t="s">
        <v>128</v>
      </c>
      <c r="C5" s="8" t="s">
        <v>129</v>
      </c>
      <c r="D5" s="6">
        <v>1062</v>
      </c>
      <c r="E5" s="8" t="s">
        <v>143</v>
      </c>
    </row>
    <row r="6" spans="1:5" x14ac:dyDescent="0.2">
      <c r="A6" s="8" t="s">
        <v>130</v>
      </c>
      <c r="B6" s="8" t="s">
        <v>131</v>
      </c>
      <c r="C6" s="8" t="s">
        <v>132</v>
      </c>
      <c r="D6" s="6">
        <v>1062</v>
      </c>
      <c r="E6" s="8" t="s">
        <v>143</v>
      </c>
    </row>
    <row r="7" spans="1:5" x14ac:dyDescent="0.2">
      <c r="A7" s="8" t="s">
        <v>133</v>
      </c>
      <c r="B7" s="8" t="s">
        <v>134</v>
      </c>
      <c r="C7" s="8" t="s">
        <v>144</v>
      </c>
      <c r="D7" s="6">
        <v>1947</v>
      </c>
      <c r="E7" s="8" t="s">
        <v>143</v>
      </c>
    </row>
    <row r="8" spans="1:5" x14ac:dyDescent="0.2">
      <c r="A8" s="8" t="s">
        <v>136</v>
      </c>
      <c r="B8" s="8" t="s">
        <v>137</v>
      </c>
      <c r="C8" s="8" t="s">
        <v>138</v>
      </c>
      <c r="D8" s="6">
        <v>649</v>
      </c>
      <c r="E8" s="8" t="s">
        <v>143</v>
      </c>
    </row>
    <row r="9" spans="1:5" ht="15" x14ac:dyDescent="0.25">
      <c r="A9" s="2"/>
      <c r="B9" s="2"/>
      <c r="C9" s="10" t="s">
        <v>145</v>
      </c>
      <c r="D9" s="4">
        <v>7951</v>
      </c>
      <c r="E9" s="2"/>
    </row>
    <row r="10" spans="1:5" x14ac:dyDescent="0.2">
      <c r="D10" s="6"/>
    </row>
    <row r="11" spans="1:5" x14ac:dyDescent="0.2">
      <c r="A11" s="8" t="s">
        <v>115</v>
      </c>
      <c r="B11" s="8" t="s">
        <v>116</v>
      </c>
      <c r="C11" s="8" t="s">
        <v>117</v>
      </c>
      <c r="D11" s="6">
        <v>531</v>
      </c>
      <c r="E11" s="8" t="s">
        <v>146</v>
      </c>
    </row>
    <row r="12" spans="1:5" x14ac:dyDescent="0.2">
      <c r="A12" s="8" t="s">
        <v>115</v>
      </c>
      <c r="B12" s="8" t="s">
        <v>118</v>
      </c>
      <c r="C12" s="8" t="s">
        <v>119</v>
      </c>
      <c r="D12" s="6">
        <v>531</v>
      </c>
      <c r="E12" s="8" t="s">
        <v>146</v>
      </c>
    </row>
    <row r="13" spans="1:5" x14ac:dyDescent="0.2">
      <c r="A13" s="8" t="s">
        <v>120</v>
      </c>
      <c r="B13" s="8" t="s">
        <v>121</v>
      </c>
      <c r="C13" s="8" t="s">
        <v>122</v>
      </c>
      <c r="D13" s="6">
        <v>531</v>
      </c>
      <c r="E13" s="8" t="s">
        <v>146</v>
      </c>
    </row>
    <row r="14" spans="1:5" ht="15" x14ac:dyDescent="0.25">
      <c r="A14" s="2"/>
      <c r="B14" s="2"/>
      <c r="C14" s="10" t="s">
        <v>147</v>
      </c>
      <c r="D14" s="4">
        <v>1593</v>
      </c>
      <c r="E14" s="2"/>
    </row>
    <row r="15" spans="1:5" x14ac:dyDescent="0.2">
      <c r="D15" s="6"/>
    </row>
    <row r="16" spans="1:5" x14ac:dyDescent="0.2">
      <c r="C16" s="8" t="s">
        <v>148</v>
      </c>
      <c r="D16" s="6">
        <v>9544</v>
      </c>
    </row>
    <row r="17" spans="1:5" x14ac:dyDescent="0.2">
      <c r="C17" s="8" t="s">
        <v>149</v>
      </c>
      <c r="D17" s="6">
        <v>-900</v>
      </c>
    </row>
    <row r="18" spans="1:5" ht="15" x14ac:dyDescent="0.25">
      <c r="A18" s="3"/>
      <c r="B18" s="3"/>
      <c r="C18" s="12" t="s">
        <v>150</v>
      </c>
      <c r="D18" s="5">
        <v>7051</v>
      </c>
      <c r="E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סיכום</vt:lpstr>
      <vt:lpstr>כרטסת</vt:lpstr>
      <vt:lpstr>חשבוניות פתוחות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2026-08-19T10:35:29Z</dcterms:created>
  <dcterms:modified xsi:type="dcterms:W3CDTF">2026-08-19T10:35:31Z</dcterms:modified>
</cp:coreProperties>
</file>