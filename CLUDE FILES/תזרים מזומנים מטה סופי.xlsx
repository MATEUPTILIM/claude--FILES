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950" yWindow="1950" windowWidth="21600" windowHeight="11295" tabRatio="600" firstSheet="0" activeTab="3" autoFilterDateGrouping="1"/>
  </bookViews>
  <sheets>
    <sheet xmlns:r="http://schemas.openxmlformats.org/officeDocument/2006/relationships" name="תזרים יולי 2026" sheetId="1" state="visible" r:id="rId1"/>
    <sheet xmlns:r="http://schemas.openxmlformats.org/officeDocument/2006/relationships" name="תזרים אוגוסט 2026" sheetId="2" state="visible" r:id="rId2"/>
    <sheet xmlns:r="http://schemas.openxmlformats.org/officeDocument/2006/relationships" name="תזרים ספטמבר 2026" sheetId="3" state="visible" r:id="rId3"/>
    <sheet xmlns:r="http://schemas.openxmlformats.org/officeDocument/2006/relationships" name="תזרים אוקטובר 2026" sheetId="4" state="visible" r:id="rId4"/>
    <sheet xmlns:r="http://schemas.openxmlformats.org/officeDocument/2006/relationships" name="תשלומים ממתינים" sheetId="5" state="visible" r:id="rId5"/>
    <sheet xmlns:r="http://schemas.openxmlformats.org/officeDocument/2006/relationships" name="יתרות הלוואות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Arial"/>
      <charset val="177"/>
      <family val="2"/>
      <color theme="1"/>
      <sz val="11"/>
      <scheme val="minor"/>
    </font>
    <font>
      <name val="Arial"/>
      <charset val="177"/>
      <family val="2"/>
      <color theme="1"/>
      <sz val="10"/>
      <scheme val="minor"/>
    </font>
    <font>
      <name val="Arial"/>
      <family val="2"/>
      <b val="1"/>
      <color rgb="FFFFFFFF"/>
      <sz val="14"/>
      <scheme val="minor"/>
    </font>
    <font>
      <name val="Arial"/>
      <family val="2"/>
      <b val="1"/>
      <color rgb="FFFFFFFF"/>
      <sz val="10"/>
      <scheme val="minor"/>
    </font>
    <font>
      <name val="Arial"/>
      <family val="2"/>
      <color rgb="FFFFFFFF"/>
      <sz val="10"/>
      <scheme val="minor"/>
    </font>
    <font>
      <name val="Arial"/>
      <family val="2"/>
      <b val="1"/>
      <color rgb="FF7F6000"/>
      <sz val="10"/>
      <scheme val="minor"/>
    </font>
    <font>
      <name val="Arial"/>
      <family val="2"/>
      <b val="1"/>
      <color rgb="FF3A3A3A"/>
      <sz val="10"/>
      <scheme val="minor"/>
    </font>
    <font>
      <name val="Arial"/>
      <family val="2"/>
      <color rgb="FF3A3A3A"/>
      <sz val="10"/>
      <scheme val="minor"/>
    </font>
    <font>
      <name val="Arial"/>
      <charset val="177"/>
      <family val="2"/>
      <color rgb="FF3A3A3A"/>
      <sz val="10"/>
      <scheme val="minor"/>
    </font>
    <font>
      <name val="Arial"/>
      <family val="2"/>
      <color rgb="FF3A3A3A"/>
      <sz val="11"/>
      <scheme val="minor"/>
    </font>
    <font>
      <name val="Arial"/>
      <family val="2"/>
      <b val="1"/>
      <color rgb="FF3A3A3A"/>
      <sz val="11"/>
      <scheme val="minor"/>
    </font>
    <font>
      <name val="Arial"/>
      <family val="2"/>
      <color rgb="FF3A3A3A"/>
      <sz val="9"/>
      <scheme val="minor"/>
    </font>
    <font>
      <name val="Arial"/>
      <family val="2"/>
      <b val="1"/>
      <color rgb="FF3A3A3A"/>
      <sz val="12"/>
      <scheme val="minor"/>
    </font>
    <font>
      <name val="Arial"/>
      <charset val="177"/>
      <family val="2"/>
      <color rgb="FF3A3A3A"/>
      <sz val="9"/>
      <scheme val="minor"/>
    </font>
    <font>
      <name val="Arial"/>
      <family val="2"/>
      <b val="1"/>
      <color rgb="FFFF0000"/>
      <sz val="10"/>
      <scheme val="minor"/>
    </font>
  </fonts>
  <fills count="10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2E4A63"/>
        <bgColor indexed="64"/>
      </patternFill>
    </fill>
    <fill>
      <patternFill patternType="solid">
        <fgColor rgb="FFE7EFF6"/>
        <bgColor indexed="64"/>
      </patternFill>
    </fill>
    <fill>
      <patternFill patternType="solid">
        <fgColor rgb="FF5A7D9A"/>
        <bgColor indexed="64"/>
      </patternFill>
    </fill>
    <fill>
      <patternFill patternType="solid">
        <fgColor rgb="FFF7F7FB"/>
        <bgColor indexed="64"/>
      </patternFill>
    </fill>
    <fill>
      <patternFill patternType="solid">
        <fgColor rgb="FFFFF6E0"/>
        <bgColor indexed="64"/>
      </patternFill>
    </fill>
    <fill>
      <patternFill patternType="solid">
        <fgColor rgb="FFCFDCEE"/>
        <bgColor indexed="64"/>
      </patternFill>
    </fill>
    <fill>
      <patternFill patternType="solid">
        <fgColor rgb="FFFBE8E5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/>
      <top style="thin">
        <color rgb="FFE6E6E6"/>
      </top>
      <bottom style="thin">
        <color rgb="FFE6E6E6"/>
      </bottom>
      <diagonal/>
    </border>
    <border>
      <left/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/>
      <top style="thin">
        <color rgb="FFE6E6E6"/>
      </top>
      <bottom/>
      <diagonal/>
    </border>
    <border>
      <left/>
      <right/>
      <top/>
      <bottom style="thin">
        <color rgb="FFE6E6E6"/>
      </bottom>
      <diagonal/>
    </border>
    <border>
      <left/>
      <right/>
      <top style="thin">
        <color rgb="FFE6E6E6"/>
      </top>
      <bottom style="thin">
        <color rgb="FFE6E6E6"/>
      </bottom>
      <diagonal/>
    </border>
    <border>
      <left/>
      <right/>
      <top style="thin">
        <color rgb="FFE6E6E6"/>
      </top>
      <bottom/>
      <diagonal/>
    </border>
    <border>
      <left/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/>
      <top/>
      <bottom style="thin">
        <color rgb="FFE6E6E6"/>
      </bottom>
      <diagonal/>
    </border>
  </borders>
  <cellStyleXfs count="1">
    <xf numFmtId="0" fontId="0" fillId="0" borderId="0"/>
  </cellStyleXfs>
  <cellXfs count="9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49" fontId="6" fillId="4" borderId="1" applyAlignment="1" pivotButton="0" quotePrefix="0" xfId="0">
      <alignment vertical="center"/>
    </xf>
    <xf numFmtId="49" fontId="6" fillId="4" borderId="2" applyAlignment="1" pivotButton="0" quotePrefix="0" xfId="0">
      <alignment vertical="center"/>
    </xf>
    <xf numFmtId="0" fontId="6" fillId="4" borderId="2" applyAlignment="1" pivotButton="0" quotePrefix="0" xfId="0">
      <alignment vertical="center"/>
    </xf>
    <xf numFmtId="39" fontId="6" fillId="4" borderId="2" applyAlignment="1" pivotButton="0" quotePrefix="0" xfId="0">
      <alignment vertical="center"/>
    </xf>
    <xf numFmtId="0" fontId="6" fillId="4" borderId="3" applyAlignment="1" pivotButton="0" quotePrefix="0" xfId="0">
      <alignment vertical="center"/>
    </xf>
    <xf numFmtId="49" fontId="3" fillId="5" borderId="1" applyAlignment="1" pivotButton="0" quotePrefix="0" xfId="0">
      <alignment vertical="center"/>
    </xf>
    <xf numFmtId="49" fontId="3" fillId="5" borderId="2" applyAlignment="1" pivotButton="0" quotePrefix="0" xfId="0">
      <alignment vertical="center"/>
    </xf>
    <xf numFmtId="49" fontId="3" fillId="5" borderId="3" applyAlignment="1" pivotButton="0" quotePrefix="0" xfId="0">
      <alignment vertical="center"/>
    </xf>
    <xf numFmtId="49" fontId="7" fillId="2" borderId="1" applyAlignment="1" pivotButton="0" quotePrefix="0" xfId="0">
      <alignment vertical="center"/>
    </xf>
    <xf numFmtId="49" fontId="7" fillId="2" borderId="2" applyAlignment="1" pivotButton="0" quotePrefix="0" xfId="0">
      <alignment vertical="center"/>
    </xf>
    <xf numFmtId="39" fontId="7" fillId="2" borderId="2" applyAlignment="1" pivotButton="0" quotePrefix="0" xfId="0">
      <alignment vertical="center"/>
    </xf>
    <xf numFmtId="0" fontId="7" fillId="2" borderId="3" applyAlignment="1" pivotButton="0" quotePrefix="0" xfId="0">
      <alignment vertical="center"/>
    </xf>
    <xf numFmtId="49" fontId="7" fillId="6" borderId="1" applyAlignment="1" pivotButton="0" quotePrefix="0" xfId="0">
      <alignment vertical="center"/>
    </xf>
    <xf numFmtId="49" fontId="7" fillId="6" borderId="2" applyAlignment="1" pivotButton="0" quotePrefix="0" xfId="0">
      <alignment vertical="center"/>
    </xf>
    <xf numFmtId="39" fontId="7" fillId="6" borderId="2" applyAlignment="1" pivotButton="0" quotePrefix="0" xfId="0">
      <alignment vertical="center"/>
    </xf>
    <xf numFmtId="0" fontId="7" fillId="6" borderId="3" applyAlignment="1" pivotButton="0" quotePrefix="0" xfId="0">
      <alignment vertical="center"/>
    </xf>
    <xf numFmtId="49" fontId="7" fillId="2" borderId="3" applyAlignment="1" pivotButton="0" quotePrefix="0" xfId="0">
      <alignment vertical="center"/>
    </xf>
    <xf numFmtId="49" fontId="7" fillId="6" borderId="3" applyAlignment="1" pivotButton="0" quotePrefix="0" xfId="0">
      <alignment vertical="center"/>
    </xf>
    <xf numFmtId="0" fontId="6" fillId="4" borderId="1" applyAlignment="1" pivotButton="0" quotePrefix="0" xfId="0">
      <alignment vertical="center"/>
    </xf>
    <xf numFmtId="49" fontId="8" fillId="2" borderId="4" applyAlignment="1" pivotButton="0" quotePrefix="0" xfId="0">
      <alignment vertical="center"/>
    </xf>
    <xf numFmtId="49" fontId="8" fillId="2" borderId="5" applyAlignment="1" pivotButton="0" quotePrefix="0" xfId="0">
      <alignment vertical="center"/>
    </xf>
    <xf numFmtId="0" fontId="8" fillId="2" borderId="5" applyAlignment="1" pivotButton="0" quotePrefix="0" xfId="0">
      <alignment vertical="center"/>
    </xf>
    <xf numFmtId="39" fontId="8" fillId="2" borderId="5" applyAlignment="1" pivotButton="0" quotePrefix="0" xfId="0">
      <alignment vertical="center"/>
    </xf>
    <xf numFmtId="0" fontId="8" fillId="2" borderId="6" applyAlignment="1" pivotButton="0" quotePrefix="0" xfId="0">
      <alignment vertical="center"/>
    </xf>
    <xf numFmtId="49" fontId="9" fillId="2" borderId="1" applyAlignment="1" pivotButton="0" quotePrefix="0" xfId="0">
      <alignment vertical="center"/>
    </xf>
    <xf numFmtId="49" fontId="9" fillId="2" borderId="2" applyAlignment="1" pivotButton="0" quotePrefix="0" xfId="0">
      <alignment vertical="center"/>
    </xf>
    <xf numFmtId="39" fontId="9" fillId="2" borderId="2" applyAlignment="1" pivotButton="0" quotePrefix="0" xfId="0">
      <alignment vertical="center"/>
    </xf>
    <xf numFmtId="0" fontId="9" fillId="2" borderId="3" applyAlignment="1" pivotButton="0" quotePrefix="0" xfId="0">
      <alignment vertical="center"/>
    </xf>
    <xf numFmtId="49" fontId="9" fillId="6" borderId="1" applyAlignment="1" pivotButton="0" quotePrefix="0" xfId="0">
      <alignment vertical="center"/>
    </xf>
    <xf numFmtId="49" fontId="9" fillId="6" borderId="2" applyAlignment="1" pivotButton="0" quotePrefix="0" xfId="0">
      <alignment vertical="center"/>
    </xf>
    <xf numFmtId="39" fontId="9" fillId="6" borderId="2" applyAlignment="1" pivotButton="0" quotePrefix="0" xfId="0">
      <alignment vertical="center"/>
    </xf>
    <xf numFmtId="0" fontId="9" fillId="6" borderId="3" applyAlignment="1" pivotButton="0" quotePrefix="0" xfId="0">
      <alignment vertical="center"/>
    </xf>
    <xf numFmtId="49" fontId="9" fillId="2" borderId="3" applyAlignment="1" pivotButton="0" quotePrefix="0" xfId="0">
      <alignment vertical="center"/>
    </xf>
    <xf numFmtId="49" fontId="9" fillId="6" borderId="3" applyAlignment="1" pivotButton="0" quotePrefix="0" xfId="0">
      <alignment vertical="center"/>
    </xf>
    <xf numFmtId="0" fontId="10" fillId="4" borderId="1" applyAlignment="1" pivotButton="0" quotePrefix="0" xfId="0">
      <alignment vertical="center"/>
    </xf>
    <xf numFmtId="49" fontId="10" fillId="4" borderId="2" applyAlignment="1" pivotButton="0" quotePrefix="0" xfId="0">
      <alignment vertical="center"/>
    </xf>
    <xf numFmtId="39" fontId="10" fillId="4" borderId="2" applyAlignment="1" pivotButton="0" quotePrefix="0" xfId="0">
      <alignment vertical="center"/>
    </xf>
    <xf numFmtId="0" fontId="10" fillId="4" borderId="3" applyAlignment="1" pivotButton="0" quotePrefix="0" xfId="0">
      <alignment vertical="center"/>
    </xf>
    <xf numFmtId="49" fontId="10" fillId="4" borderId="1" applyAlignment="1" pivotButton="0" quotePrefix="0" xfId="0">
      <alignment vertical="center"/>
    </xf>
    <xf numFmtId="0" fontId="10" fillId="4" borderId="2" applyAlignment="1" pivotButton="0" quotePrefix="0" xfId="0">
      <alignment vertical="center"/>
    </xf>
    <xf numFmtId="0" fontId="8" fillId="2" borderId="2" applyAlignment="1" pivotButton="0" quotePrefix="0" xfId="0">
      <alignment vertical="center"/>
    </xf>
    <xf numFmtId="0" fontId="8" fillId="2" borderId="3" applyAlignment="1" pivotButton="0" quotePrefix="0" xfId="0">
      <alignment vertical="center"/>
    </xf>
    <xf numFmtId="0" fontId="7" fillId="6" borderId="2" applyAlignment="1" pivotButton="0" quotePrefix="0" xfId="0">
      <alignment vertical="center"/>
    </xf>
    <xf numFmtId="0" fontId="8" fillId="2" borderId="1" applyAlignment="1" pivotButton="0" quotePrefix="0" xfId="0">
      <alignment vertical="center"/>
    </xf>
    <xf numFmtId="0" fontId="6" fillId="8" borderId="1" applyAlignment="1" pivotButton="0" quotePrefix="0" xfId="0">
      <alignment vertical="center"/>
    </xf>
    <xf numFmtId="49" fontId="6" fillId="8" borderId="2" applyAlignment="1" pivotButton="0" quotePrefix="0" xfId="0">
      <alignment vertical="center"/>
    </xf>
    <xf numFmtId="39" fontId="6" fillId="8" borderId="2" applyAlignment="1" pivotButton="0" quotePrefix="0" xfId="0">
      <alignment vertical="center"/>
    </xf>
    <xf numFmtId="0" fontId="6" fillId="8" borderId="2" applyAlignment="1" pivotButton="0" quotePrefix="0" xfId="0">
      <alignment vertical="center"/>
    </xf>
    <xf numFmtId="0" fontId="7" fillId="6" borderId="1" applyAlignment="1" pivotButton="0" quotePrefix="0" xfId="0">
      <alignment vertical="center"/>
    </xf>
    <xf numFmtId="49" fontId="6" fillId="9" borderId="1" applyAlignment="1" pivotButton="0" quotePrefix="0" xfId="0">
      <alignment vertical="center"/>
    </xf>
    <xf numFmtId="0" fontId="6" fillId="9" borderId="2" applyAlignment="1" pivotButton="0" quotePrefix="0" xfId="0">
      <alignment vertical="center"/>
    </xf>
    <xf numFmtId="39" fontId="6" fillId="9" borderId="2" applyAlignment="1" pivotButton="0" quotePrefix="0" xfId="0">
      <alignment vertical="center"/>
    </xf>
    <xf numFmtId="0" fontId="6" fillId="9" borderId="3" applyAlignment="1" pivotButton="0" quotePrefix="0" xfId="0">
      <alignment vertical="center"/>
    </xf>
    <xf numFmtId="49" fontId="6" fillId="8" borderId="1" applyAlignment="1" pivotButton="0" quotePrefix="0" xfId="0">
      <alignment vertical="center"/>
    </xf>
    <xf numFmtId="0" fontId="6" fillId="8" borderId="3" applyAlignment="1" pivotButton="0" quotePrefix="0" xfId="0">
      <alignment vertical="center"/>
    </xf>
    <xf numFmtId="49" fontId="12" fillId="8" borderId="1" applyAlignment="1" pivotButton="0" quotePrefix="0" xfId="0">
      <alignment vertical="center"/>
    </xf>
    <xf numFmtId="49" fontId="6" fillId="8" borderId="3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49" fontId="2" fillId="3" borderId="10" applyAlignment="1" pivotButton="0" quotePrefix="0" xfId="0">
      <alignment vertical="center"/>
    </xf>
    <xf numFmtId="0" fontId="3" fillId="3" borderId="11" applyAlignment="1" pivotButton="0" quotePrefix="0" xfId="0">
      <alignment vertical="center"/>
    </xf>
    <xf numFmtId="0" fontId="3" fillId="3" borderId="12" applyAlignment="1" pivotButton="0" quotePrefix="0" xfId="0">
      <alignment vertical="center"/>
    </xf>
    <xf numFmtId="49" fontId="4" fillId="3" borderId="1" applyAlignment="1" pivotButton="0" quotePrefix="0" xfId="0">
      <alignment vertical="center"/>
    </xf>
    <xf numFmtId="0" fontId="4" fillId="3" borderId="2" applyAlignment="1" pivotButton="0" quotePrefix="0" xfId="0">
      <alignment vertical="center"/>
    </xf>
    <xf numFmtId="0" fontId="4" fillId="3" borderId="3" applyAlignment="1" pivotButton="0" quotePrefix="0" xfId="0">
      <alignment vertical="center"/>
    </xf>
    <xf numFmtId="49" fontId="5" fillId="7" borderId="1" applyAlignment="1" pivotButton="0" quotePrefix="0" xfId="0">
      <alignment vertical="center"/>
    </xf>
    <xf numFmtId="0" fontId="6" fillId="7" borderId="2" applyAlignment="1" pivotButton="0" quotePrefix="0" xfId="0">
      <alignment vertical="center"/>
    </xf>
    <xf numFmtId="0" fontId="6" fillId="7" borderId="3" applyAlignment="1" pivotButton="0" quotePrefix="0" xfId="0">
      <alignment vertical="center"/>
    </xf>
    <xf numFmtId="39" fontId="1" fillId="0" borderId="2" applyAlignment="1" pivotButton="0" quotePrefix="0" xfId="0">
      <alignment vertical="center"/>
    </xf>
    <xf numFmtId="39" fontId="6" fillId="7" borderId="2" applyAlignment="1" pivotButton="0" quotePrefix="0" xfId="0">
      <alignment vertical="center"/>
    </xf>
    <xf numFmtId="14" fontId="7" fillId="6" borderId="1" applyAlignment="1" pivotButton="0" quotePrefix="0" xfId="0">
      <alignment vertical="center"/>
    </xf>
    <xf numFmtId="49" fontId="6" fillId="9" borderId="2" applyAlignment="1" pivotButton="0" quotePrefix="0" xfId="0">
      <alignment horizontal="right" vertical="center"/>
    </xf>
    <xf numFmtId="49" fontId="6" fillId="9" borderId="3" applyAlignment="1" pivotButton="0" quotePrefix="0" xfId="0">
      <alignment horizontal="right" vertical="center"/>
    </xf>
    <xf numFmtId="49" fontId="11" fillId="2" borderId="4" applyAlignment="1" pivotButton="0" quotePrefix="0" xfId="0">
      <alignment horizontal="right" vertical="center"/>
    </xf>
    <xf numFmtId="49" fontId="11" fillId="2" borderId="5" applyAlignment="1" pivotButton="0" quotePrefix="0" xfId="0">
      <alignment horizontal="right" vertical="center"/>
    </xf>
    <xf numFmtId="49" fontId="11" fillId="2" borderId="6" applyAlignment="1" pivotButton="0" quotePrefix="0" xfId="0">
      <alignment horizontal="right" vertical="center"/>
    </xf>
    <xf numFmtId="49" fontId="2" fillId="3" borderId="7" applyAlignment="1" pivotButton="0" quotePrefix="0" xfId="0">
      <alignment horizontal="right" vertical="center"/>
    </xf>
    <xf numFmtId="49" fontId="4" fillId="3" borderId="8" applyAlignment="1" pivotButton="0" quotePrefix="0" xfId="0">
      <alignment horizontal="right" vertical="center"/>
    </xf>
    <xf numFmtId="49" fontId="13" fillId="0" borderId="0" applyAlignment="1" pivotButton="0" quotePrefix="0" xfId="0">
      <alignment horizontal="right"/>
    </xf>
    <xf numFmtId="49" fontId="7" fillId="2" borderId="8" applyAlignment="1" pivotButton="0" quotePrefix="0" xfId="0">
      <alignment horizontal="right" vertical="center"/>
    </xf>
    <xf numFmtId="49" fontId="11" fillId="2" borderId="9" applyAlignment="1" pivotButton="0" quotePrefix="0" xfId="0">
      <alignment horizontal="right" vertical="center"/>
    </xf>
    <xf numFmtId="49" fontId="11" fillId="2" borderId="8" applyAlignment="1" pivotButton="0" quotePrefix="0" xfId="0">
      <alignment horizontal="right" vertical="center"/>
    </xf>
    <xf numFmtId="14" fontId="6" fillId="4" borderId="1" applyAlignment="1" pivotButton="0" quotePrefix="0" xfId="0">
      <alignment vertical="center"/>
    </xf>
    <xf numFmtId="49" fontId="14" fillId="9" borderId="1" applyAlignment="1" pivotButton="0" quotePrefix="0" xfId="0">
      <alignment horizontal="right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1" pivotButton="0" quotePrefix="0" xfId="0"/>
    <xf numFmtId="0" fontId="0" fillId="0" borderId="9" pivotButton="0" quotePrefix="0" xfId="0"/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showGridLines="0" rightToLeft="1" workbookViewId="0">
      <pane ySplit="4" topLeftCell="A5" activePane="bottomLeft" state="frozenSplit"/>
      <selection pane="bottomLeft" activeCell="A1" sqref="A1:E1"/>
    </sheetView>
  </sheetViews>
  <sheetFormatPr baseColWidth="8" defaultRowHeight="12.75"/>
  <cols>
    <col width="12.875" customWidth="1" style="1" min="1" max="1"/>
    <col width="34.625" customWidth="1" style="1" min="2" max="2"/>
    <col width="14.875" customWidth="1" style="1" min="3" max="4"/>
    <col width="62.625" customWidth="1" style="1" min="5" max="5"/>
    <col width="9" customWidth="1" style="1" min="6" max="16384"/>
  </cols>
  <sheetData>
    <row r="1" ht="27.95" customHeight="1">
      <c r="A1" s="79" t="inlineStr">
        <is>
          <t>מטה ופתילים – תזרים מזומנים יולי 2026</t>
        </is>
      </c>
      <c r="B1" s="87" t="n"/>
      <c r="C1" s="87" t="n"/>
      <c r="D1" s="87" t="n"/>
      <c r="E1" s="87" t="n"/>
    </row>
    <row r="2" ht="16.5" customHeight="1">
      <c r="A2" s="80" t="inlineStr">
        <is>
          <t>חשבון בנק לאומי 61920/01   |   מאומת במלואו מול דוח תנועות הבנק</t>
        </is>
      </c>
      <c r="B2" s="88" t="n"/>
      <c r="C2" s="88" t="n"/>
      <c r="D2" s="88" t="n"/>
      <c r="E2" s="88" t="n"/>
    </row>
    <row r="3" ht="16.5" customHeight="1">
      <c r="A3" s="2" t="inlineStr">
        <is>
          <t>01/07/2026</t>
        </is>
      </c>
      <c r="B3" s="3" t="inlineStr">
        <is>
          <t>יתרת פתיחה</t>
        </is>
      </c>
      <c r="C3" s="4" t="n"/>
      <c r="D3" s="5" t="n">
        <v>336025.82</v>
      </c>
      <c r="E3" s="6" t="n"/>
    </row>
    <row r="4" ht="16.5" customHeight="1">
      <c r="A4" s="7" t="inlineStr">
        <is>
          <t>תאריך</t>
        </is>
      </c>
      <c r="B4" s="8" t="inlineStr">
        <is>
          <t>תיאור</t>
        </is>
      </c>
      <c r="C4" s="8" t="inlineStr">
        <is>
          <t>חיוב (₪)</t>
        </is>
      </c>
      <c r="D4" s="8" t="inlineStr">
        <is>
          <t>זכות (₪)</t>
        </is>
      </c>
      <c r="E4" s="9" t="inlineStr">
        <is>
          <t>הערות – עבור מה?</t>
        </is>
      </c>
    </row>
    <row r="5" ht="16.5" customHeight="1">
      <c r="A5" s="10" t="inlineStr">
        <is>
          <t>01/07/2026</t>
        </is>
      </c>
      <c r="B5" s="11" t="inlineStr">
        <is>
          <t>עמ.הקצאת אשראי</t>
        </is>
      </c>
      <c r="C5" s="12" t="n">
        <v>90</v>
      </c>
      <c r="D5" s="12" t="n"/>
      <c r="E5" s="13" t="n"/>
    </row>
    <row r="6" ht="16.5" customHeight="1">
      <c r="A6" s="14" t="inlineStr">
        <is>
          <t>01/07/2026</t>
        </is>
      </c>
      <c r="B6" s="15" t="inlineStr">
        <is>
          <t>עמל.ערוץ ישי15</t>
        </is>
      </c>
      <c r="C6" s="16" t="n">
        <v>24.75</v>
      </c>
      <c r="D6" s="16" t="n"/>
      <c r="E6" s="17" t="n"/>
    </row>
    <row r="7" ht="16.5" customHeight="1">
      <c r="A7" s="10" t="inlineStr">
        <is>
          <t>01/07/2026</t>
        </is>
      </c>
      <c r="B7" s="11" t="inlineStr">
        <is>
          <t>העברה דיגיטל – משה ארגמן</t>
        </is>
      </c>
      <c r="C7" s="12" t="n">
        <v>6300</v>
      </c>
      <c r="D7" s="12" t="n"/>
      <c r="E7" s="18" t="inlineStr">
        <is>
          <t>שכירות – יהודה</t>
        </is>
      </c>
    </row>
    <row r="8" ht="16.5" customHeight="1">
      <c r="A8" s="14" t="inlineStr">
        <is>
          <t>01/07/2026</t>
        </is>
      </c>
      <c r="B8" s="15" t="inlineStr">
        <is>
          <t>העברה דיגיטל – עשירה ארגמן</t>
        </is>
      </c>
      <c r="C8" s="16" t="n">
        <v>6300</v>
      </c>
      <c r="D8" s="16" t="n"/>
      <c r="E8" s="19" t="inlineStr">
        <is>
          <t>שכירות – יהודה</t>
        </is>
      </c>
    </row>
    <row r="9" ht="16.5" customHeight="1">
      <c r="A9" s="10" t="inlineStr">
        <is>
          <t>02/07/2026</t>
        </is>
      </c>
      <c r="B9" s="11" t="inlineStr">
        <is>
          <t>ל.מאסטרקרד</t>
        </is>
      </c>
      <c r="C9" s="12" t="n">
        <v>8004</v>
      </c>
      <c r="D9" s="12" t="n"/>
      <c r="E9" s="13" t="n"/>
    </row>
    <row r="10" ht="16.5" customHeight="1">
      <c r="A10" s="14" t="inlineStr">
        <is>
          <t>02/07/2026</t>
        </is>
      </c>
      <c r="B10" s="15" t="inlineStr">
        <is>
          <t>העברה בין-חברתית ← ישר שק</t>
        </is>
      </c>
      <c r="C10" s="16" t="n">
        <v>30000</v>
      </c>
      <c r="D10" s="16" t="n"/>
      <c r="E10" s="17" t="n"/>
    </row>
    <row r="11" ht="16.5" customHeight="1">
      <c r="A11" s="10" t="inlineStr">
        <is>
          <t>07/07/2026</t>
        </is>
      </c>
      <c r="B11" s="11" t="inlineStr">
        <is>
          <t>העברה בין-חברתית ← ישר שק</t>
        </is>
      </c>
      <c r="C11" s="12" t="n">
        <v>25000</v>
      </c>
      <c r="D11" s="12" t="n"/>
      <c r="E11" s="18" t="inlineStr">
        <is>
          <t>אסמכתא 58916</t>
        </is>
      </c>
    </row>
    <row r="12" ht="16.5" customHeight="1">
      <c r="A12" s="14" t="inlineStr">
        <is>
          <t>07/07/2026</t>
        </is>
      </c>
      <c r="B12" s="15" t="inlineStr">
        <is>
          <t>העברה בין-חברתית ← ישר שק</t>
        </is>
      </c>
      <c r="C12" s="16" t="n">
        <v>25000</v>
      </c>
      <c r="D12" s="16" t="n"/>
      <c r="E12" s="19" t="inlineStr">
        <is>
          <t>אסמכתא 58917</t>
        </is>
      </c>
    </row>
    <row r="13" ht="16.5" customHeight="1">
      <c r="A13" s="10" t="inlineStr">
        <is>
          <t>07/07/2026</t>
        </is>
      </c>
      <c r="B13" s="11" t="inlineStr">
        <is>
          <t>העברה דיגיטל – ארפק די</t>
        </is>
      </c>
      <c r="C13" s="12" t="n">
        <v>5475.2</v>
      </c>
      <c r="D13" s="12" t="n"/>
      <c r="E13" s="18" t="inlineStr">
        <is>
          <t>פרויקט נווה יעקב</t>
        </is>
      </c>
    </row>
    <row r="14" ht="16.5" customHeight="1">
      <c r="A14" s="14" t="inlineStr">
        <is>
          <t>07/07/2026</t>
        </is>
      </c>
      <c r="B14" s="15" t="inlineStr">
        <is>
          <t>העברה דיגיטל – גור את שיפר</t>
        </is>
      </c>
      <c r="C14" s="16" t="n">
        <v>10282</v>
      </c>
      <c r="D14" s="16" t="n"/>
      <c r="E14" s="19" t="inlineStr">
        <is>
          <t>פרויקט נווה יעקב</t>
        </is>
      </c>
    </row>
    <row r="15" ht="16.5" customHeight="1">
      <c r="A15" s="10" t="inlineStr">
        <is>
          <t>12/07/2026</t>
        </is>
      </c>
      <c r="B15" s="11" t="inlineStr">
        <is>
          <t>העברה דיגיטל – איל גולן עו"ד</t>
        </is>
      </c>
      <c r="C15" s="12" t="n">
        <v>3540</v>
      </c>
      <c r="D15" s="12" t="n"/>
      <c r="E15" s="18" t="inlineStr">
        <is>
          <t>שכר טרחה עורך דין (הוצאה קבועה)</t>
        </is>
      </c>
    </row>
    <row r="16" ht="16.5" customHeight="1">
      <c r="A16" s="14" t="inlineStr">
        <is>
          <t>15/07/2026</t>
        </is>
      </c>
      <c r="B16" s="15" t="inlineStr">
        <is>
          <t>לאומי ויזה</t>
        </is>
      </c>
      <c r="C16" s="16" t="n">
        <v>1981.1</v>
      </c>
      <c r="D16" s="16" t="n"/>
      <c r="E16" s="17" t="n"/>
    </row>
    <row r="17" ht="16.5" customHeight="1">
      <c r="A17" s="10" t="inlineStr">
        <is>
          <t>15/07/2026</t>
        </is>
      </c>
      <c r="B17" s="11" t="inlineStr">
        <is>
          <t>העברת משכורת</t>
        </is>
      </c>
      <c r="C17" s="12" t="n">
        <v>12255</v>
      </c>
      <c r="D17" s="12" t="n"/>
      <c r="E17" s="18" t="inlineStr">
        <is>
          <t>משכורת – יהודה</t>
        </is>
      </c>
    </row>
    <row r="18" ht="16.5" customHeight="1">
      <c r="A18" s="14" t="inlineStr">
        <is>
          <t>16/07/2026</t>
        </is>
      </c>
      <c r="B18" s="15" t="inlineStr">
        <is>
          <t>בנק מזרחי – בית ירושלמי</t>
        </is>
      </c>
      <c r="C18" s="16" t="n"/>
      <c r="D18" s="16" t="n">
        <v>108862</v>
      </c>
      <c r="E18" s="19" t="inlineStr">
        <is>
          <t>לקוח – פרויקט בית ירושלמי</t>
        </is>
      </c>
    </row>
    <row r="19" ht="16.5" customHeight="1">
      <c r="A19" s="10" t="inlineStr">
        <is>
          <t>19/07/2026</t>
        </is>
      </c>
      <c r="B19" s="11" t="inlineStr">
        <is>
          <t>העברה דיגיטל – שי ראם אברהם</t>
        </is>
      </c>
      <c r="C19" s="12" t="n">
        <v>166796</v>
      </c>
      <c r="D19" s="12" t="n"/>
      <c r="E19" s="18" t="inlineStr">
        <is>
          <t>חאדר – פרויקט נווה יעקב. ⚠ ההעברה הוחזרה למחרת – מתקזזת מול השורה הבאה (לא הוצאה בפועל)</t>
        </is>
      </c>
    </row>
    <row r="20" ht="16.5" customHeight="1">
      <c r="A20" s="14" t="inlineStr">
        <is>
          <t>20/07/2026</t>
        </is>
      </c>
      <c r="B20" s="15" t="inlineStr">
        <is>
          <t>החזרת העברה – כ.י.א. אודם</t>
        </is>
      </c>
      <c r="C20" s="16" t="n"/>
      <c r="D20" s="16" t="n">
        <v>166796</v>
      </c>
      <c r="E20" s="19" t="inlineStr">
        <is>
          <t>⚠ החזר ההעברה מ-19/07 (צד לא קשור לעסקה, לבקשת הלקוח)</t>
        </is>
      </c>
    </row>
    <row r="21" ht="16.5" customHeight="1">
      <c r="A21" s="10" t="inlineStr">
        <is>
          <t>20/07/2026</t>
        </is>
      </c>
      <c r="B21" s="11" t="inlineStr">
        <is>
          <t>פרעון הלוואה 3083001</t>
        </is>
      </c>
      <c r="C21" s="12" t="n">
        <v>17647.57</v>
      </c>
      <c r="D21" s="12" t="n"/>
      <c r="E21" s="13" t="n"/>
    </row>
    <row r="22" ht="16.5" customHeight="1">
      <c r="A22" s="14" t="inlineStr">
        <is>
          <t>21/07/2026</t>
        </is>
      </c>
      <c r="B22" s="15" t="inlineStr">
        <is>
          <t>העברה דיגיטל – מנורה מבטחים</t>
        </is>
      </c>
      <c r="C22" s="16" t="n">
        <v>13740</v>
      </c>
      <c r="D22" s="16" t="n"/>
      <c r="E22" s="19" t="inlineStr">
        <is>
          <t>פנסיה – שלמה מינסקי</t>
        </is>
      </c>
    </row>
    <row r="23" ht="16.5" customHeight="1">
      <c r="A23" s="10" t="inlineStr">
        <is>
          <t>21/07/2026</t>
        </is>
      </c>
      <c r="B23" s="11" t="inlineStr">
        <is>
          <t>העברה דיגיטל – מגדל מקפת</t>
        </is>
      </c>
      <c r="C23" s="12" t="n">
        <v>7836</v>
      </c>
      <c r="D23" s="12" t="n"/>
      <c r="E23" s="18" t="inlineStr">
        <is>
          <t>פנסיה – עדינה</t>
        </is>
      </c>
    </row>
    <row r="24" ht="16.5" customHeight="1">
      <c r="A24" s="14" t="inlineStr">
        <is>
          <t>22/07/2026</t>
        </is>
      </c>
      <c r="B24" s="15" t="inlineStr">
        <is>
          <t>עמ.גל"י לבנקים</t>
        </is>
      </c>
      <c r="C24" s="16" t="n">
        <v>3.85</v>
      </c>
      <c r="D24" s="16" t="n"/>
      <c r="E24" s="17" t="n"/>
    </row>
    <row r="25" ht="16.5" customHeight="1">
      <c r="A25" s="10" t="inlineStr">
        <is>
          <t>22/07/2026</t>
        </is>
      </c>
      <c r="B25" s="11" t="inlineStr">
        <is>
          <t>העברת זה"ב – AVRAHAM RAM</t>
        </is>
      </c>
      <c r="C25" s="12" t="n">
        <v>166796.54</v>
      </c>
      <c r="D25" s="12" t="n"/>
      <c r="E25" s="18" t="inlineStr">
        <is>
          <t>חאדר – פרויקט נווה יעקב. ביצוע חוזר של ההעברה שהוחזרה ב-19-20/07</t>
        </is>
      </c>
    </row>
    <row r="26" ht="16.5" customHeight="1">
      <c r="A26" s="14" t="inlineStr">
        <is>
          <t>26/07/2026</t>
        </is>
      </c>
      <c r="B26" s="15" t="inlineStr">
        <is>
          <t>ביטוח לאומי</t>
        </is>
      </c>
      <c r="C26" s="16" t="n">
        <v>4067</v>
      </c>
      <c r="D26" s="16" t="n"/>
      <c r="E26" s="17" t="inlineStr">
        <is>
          <t>תשלום 1 מתוך 5 ליום 26/07/2026</t>
        </is>
      </c>
    </row>
    <row r="27" ht="16.5" customHeight="1">
      <c r="A27" s="10" t="inlineStr">
        <is>
          <t>26/07/2026</t>
        </is>
      </c>
      <c r="B27" s="11" t="inlineStr">
        <is>
          <t>פרעון הלוואה 3807001</t>
        </is>
      </c>
      <c r="C27" s="12" t="n">
        <v>4334.12</v>
      </c>
      <c r="D27" s="12" t="n"/>
      <c r="E27" s="13" t="n"/>
    </row>
    <row r="28" ht="16.5" customHeight="1">
      <c r="A28" s="14" t="inlineStr">
        <is>
          <t>26/07/2026</t>
        </is>
      </c>
      <c r="B28" s="15" t="inlineStr">
        <is>
          <t>פרעון הלוואה 4278001</t>
        </is>
      </c>
      <c r="C28" s="16" t="n">
        <v>17581.7</v>
      </c>
      <c r="D28" s="16" t="n"/>
      <c r="E28" s="17" t="n"/>
    </row>
    <row r="29" ht="16.5" customHeight="1">
      <c r="A29" s="10" t="inlineStr">
        <is>
          <t>27/07/2026</t>
        </is>
      </c>
      <c r="B29" s="11" t="inlineStr">
        <is>
          <t>העברת משכורת</t>
        </is>
      </c>
      <c r="C29" s="12" t="n">
        <v>9600</v>
      </c>
      <c r="D29" s="12" t="n"/>
      <c r="E29" s="18" t="inlineStr">
        <is>
          <t>משכורת – יהודה פריימן</t>
        </is>
      </c>
    </row>
    <row r="30" ht="16.5" customHeight="1">
      <c r="A30" s="14" t="inlineStr">
        <is>
          <t>27/07/2026</t>
        </is>
      </c>
      <c r="B30" s="15" t="inlineStr">
        <is>
          <t>העברה דיגיטל – טובול יוסי</t>
        </is>
      </c>
      <c r="C30" s="16" t="n">
        <v>1357</v>
      </c>
      <c r="D30" s="16" t="n"/>
      <c r="E30" s="19" t="inlineStr">
        <is>
          <t>שכר טרחה – רואה חשבון</t>
        </is>
      </c>
    </row>
    <row r="31" ht="16.5" customHeight="1">
      <c r="A31" s="10" t="inlineStr">
        <is>
          <t>28/07/2026</t>
        </is>
      </c>
      <c r="B31" s="11" t="inlineStr">
        <is>
          <t>העברה בין-חברתית ← ישר שק</t>
        </is>
      </c>
      <c r="C31" s="12" t="n">
        <v>32951</v>
      </c>
      <c r="D31" s="12" t="n"/>
      <c r="E31" s="18" t="inlineStr">
        <is>
          <t>ההעברה הישירה לר. שאלתיאל סורבה – הכסף הועבר לישר, ושאלתיאל שולם בצ'ק 5000284 שנפרע מישר ב-10/08. סגור.</t>
        </is>
      </c>
    </row>
    <row r="32" ht="16.5" customHeight="1">
      <c r="A32" s="14" t="inlineStr">
        <is>
          <t>29/07/2026</t>
        </is>
      </c>
      <c r="B32" s="15" t="inlineStr">
        <is>
          <t>מס הכנסה ניכ-י</t>
        </is>
      </c>
      <c r="C32" s="16" t="n">
        <v>8638</v>
      </c>
      <c r="D32" s="16" t="n"/>
      <c r="E32" s="17" t="n"/>
    </row>
    <row r="33" ht="16.5" customHeight="1">
      <c r="A33" s="10" t="inlineStr">
        <is>
          <t>31/07/2026</t>
        </is>
      </c>
      <c r="B33" s="11" t="inlineStr">
        <is>
          <t>העברה בין-חברתית ← ישר שק</t>
        </is>
      </c>
      <c r="C33" s="12" t="n">
        <v>25000</v>
      </c>
      <c r="D33" s="12" t="n"/>
      <c r="E33" s="13" t="n"/>
    </row>
    <row r="34" ht="16.5" customHeight="1">
      <c r="A34" s="20" t="n"/>
      <c r="B34" s="3" t="inlineStr">
        <is>
          <t>סה"כ תנועות בפועל</t>
        </is>
      </c>
      <c r="C34" s="5" t="n">
        <v>610600.83</v>
      </c>
      <c r="D34" s="5" t="n">
        <v>275658</v>
      </c>
      <c r="E34" s="6" t="n"/>
    </row>
    <row r="35" ht="16.5" customHeight="1">
      <c r="A35" s="21" t="inlineStr">
        <is>
          <t>31/07/2026</t>
        </is>
      </c>
      <c r="B35" s="22" t="inlineStr">
        <is>
          <t>יתרת סגירה</t>
        </is>
      </c>
      <c r="C35" s="23" t="n"/>
      <c r="D35" s="24" t="n">
        <v>1082.99</v>
      </c>
      <c r="E35" s="25" t="n"/>
    </row>
  </sheetData>
  <mergeCells count="2">
    <mergeCell ref="A2:E2"/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rightToLeft="1" workbookViewId="0">
      <pane ySplit="4" topLeftCell="A5" activePane="bottomLeft" state="frozenSplit"/>
      <selection pane="bottomLeft" activeCell="A1" sqref="A1:E1"/>
    </sheetView>
  </sheetViews>
  <sheetFormatPr baseColWidth="8" defaultRowHeight="12.75"/>
  <cols>
    <col width="12.875" customWidth="1" style="1" min="1" max="1"/>
    <col width="34.625" customWidth="1" style="1" min="2" max="2"/>
    <col width="14.875" customWidth="1" style="1" min="3" max="4"/>
    <col width="62.625" customWidth="1" style="1" min="5" max="5"/>
    <col width="9" customWidth="1" style="1" min="6" max="16384"/>
  </cols>
  <sheetData>
    <row r="1" ht="27.95" customHeight="1">
      <c r="A1" s="79" t="inlineStr">
        <is>
          <t>מטה ופתילים – תזרים מזומנים אוגוסט 2026</t>
        </is>
      </c>
      <c r="B1" s="87" t="n"/>
      <c r="C1" s="87" t="n"/>
      <c r="D1" s="87" t="n"/>
      <c r="E1" s="87" t="n"/>
    </row>
    <row r="2" ht="16.5" customHeight="1">
      <c r="A2" s="80" t="inlineStr">
        <is>
          <t>חשבון בנק לאומי 61920/01   |   החודש הסתיים – מאומת במלואו מול דוח הבנק</t>
        </is>
      </c>
      <c r="B2" s="88" t="n"/>
      <c r="C2" s="88" t="n"/>
      <c r="D2" s="88" t="n"/>
      <c r="E2" s="88" t="n"/>
    </row>
    <row r="3" ht="16.5" customHeight="1">
      <c r="A3" s="2" t="inlineStr">
        <is>
          <t>01/08/2026</t>
        </is>
      </c>
      <c r="B3" s="3" t="inlineStr">
        <is>
          <t>יתרת פתיחה</t>
        </is>
      </c>
      <c r="C3" s="4" t="n"/>
      <c r="D3" s="5" t="n">
        <v>1082.99</v>
      </c>
      <c r="E3" s="6" t="n"/>
    </row>
    <row r="4" ht="16.5" customHeight="1">
      <c r="A4" s="7" t="inlineStr">
        <is>
          <t>תאריך</t>
        </is>
      </c>
      <c r="B4" s="8" t="inlineStr">
        <is>
          <t>תיאור</t>
        </is>
      </c>
      <c r="C4" s="8" t="inlineStr">
        <is>
          <t>חיוב (₪)</t>
        </is>
      </c>
      <c r="D4" s="8" t="inlineStr">
        <is>
          <t>זכות (₪)</t>
        </is>
      </c>
      <c r="E4" s="9" t="inlineStr">
        <is>
          <t>הערות – עבור מה?</t>
        </is>
      </c>
    </row>
    <row r="5" ht="16.5" customHeight="1">
      <c r="A5" s="26" t="inlineStr">
        <is>
          <t>02/08/2026</t>
        </is>
      </c>
      <c r="B5" s="27" t="inlineStr">
        <is>
          <t>ל.מאסטרקרד</t>
        </is>
      </c>
      <c r="C5" s="28" t="n">
        <v>8316.620000000001</v>
      </c>
      <c r="D5" s="28" t="n"/>
      <c r="E5" s="29" t="n"/>
    </row>
    <row r="6" ht="16.5" customHeight="1">
      <c r="A6" s="30" t="inlineStr">
        <is>
          <t>02/08/2026</t>
        </is>
      </c>
      <c r="B6" s="31" t="inlineStr">
        <is>
          <t>עמל.ערוץ ישי17</t>
        </is>
      </c>
      <c r="C6" s="32" t="n">
        <v>28.05</v>
      </c>
      <c r="D6" s="32" t="n"/>
      <c r="E6" s="33" t="n"/>
    </row>
    <row r="7" ht="16.5" customHeight="1">
      <c r="A7" s="26" t="inlineStr">
        <is>
          <t>03/08/2026</t>
        </is>
      </c>
      <c r="B7" s="27" t="inlineStr">
        <is>
          <t>המרה-אינטרנט</t>
        </is>
      </c>
      <c r="C7" s="28" t="n"/>
      <c r="D7" s="28" t="n">
        <v>771.37</v>
      </c>
      <c r="E7" s="34" t="inlineStr">
        <is>
          <t>המרה מ-260 דולר, שער 3.0346 בניכוי עמלה 17.61</t>
        </is>
      </c>
    </row>
    <row r="8" ht="16.5" customHeight="1">
      <c r="A8" s="30" t="inlineStr">
        <is>
          <t>03/08/2026</t>
        </is>
      </c>
      <c r="B8" s="31" t="inlineStr">
        <is>
          <t>העברה דיגיטל – מילי סויסה</t>
        </is>
      </c>
      <c r="C8" s="32" t="n">
        <v>10761.6</v>
      </c>
      <c r="D8" s="32" t="n"/>
      <c r="E8" s="35" t="inlineStr">
        <is>
          <t>פרופילים – פרויקט נווה יעקב</t>
        </is>
      </c>
    </row>
    <row r="9" ht="16.5" customHeight="1">
      <c r="A9" s="26" t="inlineStr">
        <is>
          <t>10/08/2026</t>
        </is>
      </c>
      <c r="B9" s="27" t="inlineStr">
        <is>
          <t>העברת זה"ב – בית ירושלמי שלי</t>
        </is>
      </c>
      <c r="C9" s="28" t="n"/>
      <c r="D9" s="28" t="n">
        <v>112968</v>
      </c>
      <c r="E9" s="34" t="inlineStr">
        <is>
          <t>לקוח – פרויקט בית ירושלמי</t>
        </is>
      </c>
    </row>
    <row r="10" ht="16.5" customHeight="1">
      <c r="A10" s="30" t="inlineStr">
        <is>
          <t>10/08/2026</t>
        </is>
      </c>
      <c r="B10" s="31" t="inlineStr">
        <is>
          <t>העברה דיגיטל – א.נ שירותי אדריכלות (מדידות עצמאות)</t>
        </is>
      </c>
      <c r="C10" s="32" t="n">
        <v>4130</v>
      </c>
      <c r="D10" s="32" t="n"/>
      <c r="E10" s="35" t="inlineStr">
        <is>
          <t>✅ זהו התשלום ל"מדידות עצמאות (רפי)" – אושר. כולל מע"מ. נמחק מרשימת הממתינים</t>
        </is>
      </c>
    </row>
    <row r="11" ht="16.5" customHeight="1">
      <c r="A11" s="26" t="inlineStr">
        <is>
          <t>10/08/2026</t>
        </is>
      </c>
      <c r="B11" s="27" t="inlineStr">
        <is>
          <t>העברה דיגיטל – ISRAEL CARGO LOGISTICS (ICL)</t>
        </is>
      </c>
      <c r="C11" s="28" t="n">
        <v>19300</v>
      </c>
      <c r="D11" s="28" t="n"/>
      <c r="E11" s="34" t="inlineStr">
        <is>
          <t>סוגר את תשלום ICL שעבר תאריך. ברשימה נרשם 19,350 – בפועל 19,300 (הפרש 50)</t>
        </is>
      </c>
    </row>
    <row r="12" ht="16.5" customHeight="1">
      <c r="A12" s="30" t="inlineStr">
        <is>
          <t>12/08/2026</t>
        </is>
      </c>
      <c r="B12" s="31" t="inlineStr">
        <is>
          <t>העברה דיגיטל – איל גולן עו"ד</t>
        </is>
      </c>
      <c r="C12" s="32" t="n">
        <v>10620</v>
      </c>
      <c r="D12" s="32" t="n"/>
      <c r="E12" s="35" t="inlineStr">
        <is>
          <t>ריטיינר חודשי + תביעת מוצרי אל. סוגר את הפריט הדחוף ברשימת הממתינים</t>
        </is>
      </c>
    </row>
    <row r="13" ht="16.5" customHeight="1">
      <c r="A13" s="26" t="inlineStr">
        <is>
          <t>16/08/2026</t>
        </is>
      </c>
      <c r="B13" s="27" t="inlineStr">
        <is>
          <t>לאומי ויזה</t>
        </is>
      </c>
      <c r="C13" s="28" t="n">
        <v>10</v>
      </c>
      <c r="D13" s="28" t="n"/>
      <c r="E13" s="29" t="n"/>
    </row>
    <row r="14" ht="16.5" customHeight="1">
      <c r="A14" s="30" t="inlineStr">
        <is>
          <t>17/08/2026</t>
        </is>
      </c>
      <c r="B14" s="31" t="inlineStr">
        <is>
          <t>העברה דיגיטל – טובול יוסי</t>
        </is>
      </c>
      <c r="C14" s="32" t="n">
        <v>1357</v>
      </c>
      <c r="D14" s="32" t="n"/>
      <c r="E14" s="35" t="inlineStr">
        <is>
          <t>שכר טרחה – רואה חשבון</t>
        </is>
      </c>
    </row>
    <row r="15" ht="16.5" customHeight="1">
      <c r="A15" s="26" t="inlineStr">
        <is>
          <t>18/08/2026</t>
        </is>
      </c>
      <c r="B15" s="27" t="inlineStr">
        <is>
          <t>העברת משכורת</t>
        </is>
      </c>
      <c r="C15" s="28" t="n">
        <v>9600</v>
      </c>
      <c r="D15" s="28" t="n"/>
      <c r="E15" s="34" t="inlineStr">
        <is>
          <t>משכורת – יהודה פריימן</t>
        </is>
      </c>
    </row>
    <row r="16" ht="16.5" customHeight="1">
      <c r="A16" s="30" t="inlineStr">
        <is>
          <t>20/08/2026</t>
        </is>
      </c>
      <c r="B16" s="31" t="inlineStr">
        <is>
          <t>בנק הפועלים – בית ירושלמי שלי</t>
        </is>
      </c>
      <c r="C16" s="32" t="n"/>
      <c r="D16" s="32" t="n">
        <v>232921</v>
      </c>
      <c r="E16" s="35" t="inlineStr">
        <is>
          <t>לקוח – פרויקט בית ירושלמי</t>
        </is>
      </c>
    </row>
    <row r="17" ht="16.5" customHeight="1">
      <c r="A17" s="26" t="inlineStr">
        <is>
          <t>20/08/2026</t>
        </is>
      </c>
      <c r="B17" s="27" t="inlineStr">
        <is>
          <t>פרעון הלוואה 3083001</t>
        </is>
      </c>
      <c r="C17" s="28" t="n">
        <v>18689.04</v>
      </c>
      <c r="D17" s="28" t="n"/>
      <c r="E17" s="34" t="inlineStr">
        <is>
          <t>בפועל 18,689.04 (בגיליון ההלוואות נרשם 18,748.63 – ריבית פריים משתנה)</t>
        </is>
      </c>
    </row>
    <row r="18" ht="16.5" customHeight="1">
      <c r="A18" s="30" t="inlineStr">
        <is>
          <t>23/08/2026</t>
        </is>
      </c>
      <c r="B18" s="31" t="inlineStr">
        <is>
          <t>העברה בין-חברתית ← ישר שק</t>
        </is>
      </c>
      <c r="C18" s="32" t="n">
        <v>58826</v>
      </c>
      <c r="D18" s="32" t="n"/>
      <c r="E18" s="35" t="inlineStr">
        <is>
          <t>✅ תשלום צק עבור רוטנברג – הועבר לישר כמתוכנן (ברשימה נרשם 58,836)</t>
        </is>
      </c>
    </row>
    <row r="19" ht="16.5" customHeight="1">
      <c r="A19" s="26" t="inlineStr">
        <is>
          <t>23/08/2026</t>
        </is>
      </c>
      <c r="B19" s="27" t="inlineStr">
        <is>
          <t>עמ.גל"י לבנקים</t>
        </is>
      </c>
      <c r="C19" s="28" t="n">
        <v>3.85</v>
      </c>
      <c r="D19" s="28" t="n"/>
      <c r="E19" s="29" t="n"/>
    </row>
    <row r="20" ht="16.5" customHeight="1">
      <c r="A20" s="30" t="inlineStr">
        <is>
          <t>23/08/2026</t>
        </is>
      </c>
      <c r="B20" s="31" t="inlineStr">
        <is>
          <t>העברת זה"ב – MESHI AVRAM (IBAN)</t>
        </is>
      </c>
      <c r="C20" s="32" t="n">
        <v>148359.04</v>
      </c>
      <c r="D20" s="32" t="n"/>
      <c r="E20" s="35" t="inlineStr">
        <is>
          <t>חאדר – פרויקט נווה יעקב</t>
        </is>
      </c>
    </row>
    <row r="21" ht="16.5" customHeight="1">
      <c r="A21" s="26" t="inlineStr">
        <is>
          <t>25/08/2026</t>
        </is>
      </c>
      <c r="B21" s="27" t="inlineStr">
        <is>
          <t>החזרי מע"מ לעוסקים</t>
        </is>
      </c>
      <c r="C21" s="28" t="n"/>
      <c r="D21" s="28" t="n">
        <v>56527</v>
      </c>
      <c r="E21" s="34" t="inlineStr">
        <is>
          <t>החזר מע"מ ממכס ומע"מ</t>
        </is>
      </c>
    </row>
    <row r="22" ht="16.5" customHeight="1">
      <c r="A22" s="30" t="inlineStr">
        <is>
          <t>25/08/2026</t>
        </is>
      </c>
      <c r="B22" s="31" t="inlineStr">
        <is>
          <t>פרעון הלוואה 4278001 – תשלום אחרון</t>
        </is>
      </c>
      <c r="C22" s="32" t="n">
        <v>17573.15</v>
      </c>
      <c r="D22" s="32" t="n"/>
      <c r="E22" s="35" t="inlineStr">
        <is>
          <t>✅ התשלום האחרון – ההלוואה סולקה. בלוח הסילוקין נרשם 17,620.02</t>
        </is>
      </c>
    </row>
    <row r="23" ht="16.5" customHeight="1">
      <c r="A23" s="26" t="inlineStr">
        <is>
          <t>25/08/2026</t>
        </is>
      </c>
      <c r="B23" s="27" t="inlineStr">
        <is>
          <t>פרעון הלוואה 3807001</t>
        </is>
      </c>
      <c r="C23" s="28" t="n">
        <v>4327.19</v>
      </c>
      <c r="D23" s="28" t="n"/>
      <c r="E23" s="34" t="inlineStr">
        <is>
          <t>בלוח הסילוקין נרשם 4,339.47</t>
        </is>
      </c>
    </row>
    <row r="24" ht="16.5" customHeight="1">
      <c r="A24" s="30" t="inlineStr">
        <is>
          <t>26/08/2026</t>
        </is>
      </c>
      <c r="B24" s="31" t="inlineStr">
        <is>
          <t>ביטוח לאומי</t>
        </is>
      </c>
      <c r="C24" s="32" t="n">
        <v>4136</v>
      </c>
      <c r="D24" s="32" t="n"/>
      <c r="E24" s="35" t="inlineStr">
        <is>
          <t>תשלום 2 מתוך 5 ליום 26/08/2026</t>
        </is>
      </c>
    </row>
    <row r="25" ht="16.5" customHeight="1">
      <c r="A25" s="26" t="inlineStr">
        <is>
          <t>27/08/2026</t>
        </is>
      </c>
      <c r="B25" s="27" t="inlineStr">
        <is>
          <t>ביטוח לאומי</t>
        </is>
      </c>
      <c r="C25" s="28" t="n">
        <v>3561</v>
      </c>
      <c r="D25" s="28" t="n"/>
      <c r="E25" s="34" t="inlineStr">
        <is>
          <t>דמי ביטוח לאומי שוטפים עבור חודש 07/2026 – נפרד מהסדר החוב</t>
        </is>
      </c>
    </row>
    <row r="26" ht="16.5" customHeight="1">
      <c r="A26" s="30" t="inlineStr">
        <is>
          <t>27/08/2026</t>
        </is>
      </c>
      <c r="B26" s="31" t="inlineStr">
        <is>
          <t>העברה בין-חברתית ← ישר שק</t>
        </is>
      </c>
      <c r="C26" s="32" t="n">
        <v>50000</v>
      </c>
      <c r="D26" s="32" t="n"/>
      <c r="E26" s="35" t="inlineStr">
        <is>
          <t>כולל את תשלום המע"מ של ישר (27,806)</t>
        </is>
      </c>
    </row>
    <row r="27" ht="16.5" customHeight="1">
      <c r="A27" s="26" t="inlineStr">
        <is>
          <t>28/08/2026</t>
        </is>
      </c>
      <c r="B27" s="27" t="inlineStr">
        <is>
          <t>העברה בין-חברתית ← ישר שק</t>
        </is>
      </c>
      <c r="C27" s="28" t="n">
        <v>30000</v>
      </c>
      <c r="D27" s="28" t="n"/>
      <c r="E27" s="34" t="n"/>
    </row>
    <row r="28" ht="16.5" customHeight="1">
      <c r="A28" s="36" t="n"/>
      <c r="B28" s="37" t="inlineStr">
        <is>
          <t>סה"כ תנועות בפועל</t>
        </is>
      </c>
      <c r="C28" s="38" t="n">
        <v>399598.54</v>
      </c>
      <c r="D28" s="38" t="n">
        <v>403187.37</v>
      </c>
      <c r="E28" s="39" t="n"/>
    </row>
    <row r="29" ht="16.5" customHeight="1">
      <c r="A29" s="40" t="inlineStr">
        <is>
          <t>31/08/2026</t>
        </is>
      </c>
      <c r="B29" s="37" t="inlineStr">
        <is>
          <t>יתרת סגירה – 31/08/2026</t>
        </is>
      </c>
      <c r="C29" s="41" t="n"/>
      <c r="D29" s="38" t="n">
        <v>4671.82</v>
      </c>
      <c r="E29" s="39" t="n"/>
    </row>
    <row r="30" ht="16.5" customHeight="1"/>
    <row r="31" ht="16.5" customHeight="1">
      <c r="A31" s="81" t="inlineStr">
        <is>
          <t>* תנועות עתידיות (ספטמבר ואילך) מנוהלות בגיליון "תזרים ספטמבר 2026".</t>
        </is>
      </c>
    </row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4.25" customHeight="1"/>
    <row r="61" ht="14.25" customHeight="1"/>
  </sheetData>
  <mergeCells count="3">
    <mergeCell ref="A2:E2"/>
    <mergeCell ref="A1:E1"/>
    <mergeCell ref="A31:E3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2"/>
  <sheetViews>
    <sheetView showGridLines="0" rightToLeft="1" workbookViewId="0">
      <pane ySplit="4" topLeftCell="A5" activePane="bottomLeft" state="frozenSplit"/>
      <selection pane="bottomLeft" activeCell="A15" sqref="A15:E18"/>
    </sheetView>
  </sheetViews>
  <sheetFormatPr baseColWidth="8" defaultRowHeight="12.75"/>
  <cols>
    <col width="13.625" customWidth="1" style="1" min="1" max="1"/>
    <col width="40.625" customWidth="1" style="1" min="2" max="2"/>
    <col width="14.875" customWidth="1" style="1" min="3" max="4"/>
    <col width="62.625" customWidth="1" style="1" min="5" max="5"/>
    <col width="9" customWidth="1" style="1" min="6" max="16384"/>
  </cols>
  <sheetData>
    <row r="1" ht="27.95" customHeight="1">
      <c r="A1" s="62" t="inlineStr">
        <is>
          <t>מטה ופתילים – תזרים מזומנים ספטמבר 2026</t>
        </is>
      </c>
      <c r="B1" s="63" t="n"/>
      <c r="C1" s="63" t="n"/>
      <c r="D1" s="63" t="n"/>
      <c r="E1" s="64" t="n"/>
    </row>
    <row r="2" ht="16.5" customHeight="1">
      <c r="A2" s="65" t="inlineStr">
        <is>
          <t>חשבון בנק לאומי 61920/01   |   מאומת מול דוח הבנק עד 30/09/2026</t>
        </is>
      </c>
      <c r="B2" s="66" t="n"/>
      <c r="C2" s="66" t="n"/>
      <c r="D2" s="66" t="n"/>
      <c r="E2" s="67" t="n"/>
    </row>
    <row r="3" ht="16.5" customHeight="1">
      <c r="A3" s="2" t="inlineStr">
        <is>
          <t>01/09/2026</t>
        </is>
      </c>
      <c r="B3" s="3" t="inlineStr">
        <is>
          <t>יתרת פתיחה</t>
        </is>
      </c>
      <c r="C3" s="4" t="n"/>
      <c r="D3" s="5" t="n">
        <v>4671.82</v>
      </c>
      <c r="E3" s="6" t="n"/>
    </row>
    <row r="4" ht="16.5" customHeight="1">
      <c r="A4" s="7" t="inlineStr">
        <is>
          <t>תאריך</t>
        </is>
      </c>
      <c r="B4" s="8" t="inlineStr">
        <is>
          <t>תיאור</t>
        </is>
      </c>
      <c r="C4" s="8" t="inlineStr">
        <is>
          <t>חיוב (₪)</t>
        </is>
      </c>
      <c r="D4" s="8" t="inlineStr">
        <is>
          <t>זכות (₪)</t>
        </is>
      </c>
      <c r="E4" s="9" t="inlineStr">
        <is>
          <t>הערות – עבור מה?</t>
        </is>
      </c>
    </row>
    <row r="5" ht="16.5" customHeight="1">
      <c r="A5" s="10" t="inlineStr">
        <is>
          <t>01/09/2026</t>
        </is>
      </c>
      <c r="B5" s="11" t="inlineStr">
        <is>
          <t>עמל.ערוץ ישיר</t>
        </is>
      </c>
      <c r="C5" s="12" t="n">
        <v>19.8</v>
      </c>
      <c r="D5" s="12" t="n"/>
      <c r="E5" s="13" t="n"/>
    </row>
    <row r="6" ht="16.5" customHeight="1">
      <c r="A6" s="14" t="inlineStr">
        <is>
          <t>02/09/2026</t>
        </is>
      </c>
      <c r="B6" s="15" t="inlineStr">
        <is>
          <t>ל.מאסטרקרד</t>
        </is>
      </c>
      <c r="C6" s="16" t="n">
        <v>8504.719999999999</v>
      </c>
      <c r="D6" s="16" t="n"/>
      <c r="E6" s="19" t="inlineStr">
        <is>
          <t>סופי. תחזית הבנק הייתה 6,833.84</t>
        </is>
      </c>
    </row>
    <row r="7" ht="16.5" customHeight="1">
      <c r="A7" s="10" t="inlineStr">
        <is>
          <t>02/09/2026</t>
        </is>
      </c>
      <c r="B7" s="11" t="inlineStr">
        <is>
          <t>העברה בין-חברתית ← ישר שק</t>
        </is>
      </c>
      <c r="C7" s="12" t="n">
        <v>16000</v>
      </c>
      <c r="D7" s="12" t="n"/>
      <c r="E7" s="18" t="inlineStr">
        <is>
          <t>בין חברות</t>
        </is>
      </c>
    </row>
    <row r="8" ht="16.5" customHeight="1">
      <c r="A8" s="14" t="inlineStr">
        <is>
          <t>03/09/2026</t>
        </is>
      </c>
      <c r="B8" s="15" t="inlineStr">
        <is>
          <t>העברה דיגיטל – מגדל מקפת</t>
        </is>
      </c>
      <c r="C8" s="16" t="n">
        <v>27</v>
      </c>
      <c r="D8" s="16" t="n"/>
      <c r="E8" s="19" t="inlineStr">
        <is>
          <t>הפרש גמל עדאלה קארו</t>
        </is>
      </c>
    </row>
    <row r="9" ht="16.5" customHeight="1">
      <c r="A9" s="10" t="inlineStr">
        <is>
          <t>08/09/2026</t>
        </is>
      </c>
      <c r="B9" s="11" t="inlineStr">
        <is>
          <t>העברה בין-חברתית – מישר</t>
        </is>
      </c>
      <c r="C9" s="12" t="n"/>
      <c r="D9" s="12">
        <f>19700</f>
        <v/>
      </c>
      <c r="E9" s="13" t="inlineStr">
        <is>
          <t>העברה מישר</t>
        </is>
      </c>
    </row>
    <row r="10" ht="16.5" customHeight="1">
      <c r="A10" s="14" t="inlineStr">
        <is>
          <t>16/09/2026</t>
        </is>
      </c>
      <c r="B10" s="15" t="inlineStr">
        <is>
          <t>העברה בין-חברתית – מישר</t>
        </is>
      </c>
      <c r="C10" s="16" t="n"/>
      <c r="D10" s="16">
        <f>19770</f>
        <v/>
      </c>
      <c r="E10" s="19" t="inlineStr">
        <is>
          <t>למימון תשלום ICL</t>
        </is>
      </c>
    </row>
    <row r="11" ht="16.5" customHeight="1">
      <c r="A11" s="10" t="inlineStr">
        <is>
          <t>16/09/2026</t>
        </is>
      </c>
      <c r="B11" s="11" t="inlineStr">
        <is>
          <t>העברה דיגיטל – טובול יוסי</t>
        </is>
      </c>
      <c r="C11" s="12">
        <f>1357</f>
        <v/>
      </c>
      <c r="D11" s="12" t="n"/>
      <c r="E11" s="13" t="inlineStr">
        <is>
          <t>ריטיינר חודשי</t>
        </is>
      </c>
    </row>
    <row r="12" ht="16.5" customHeight="1">
      <c r="A12" s="14" t="inlineStr">
        <is>
          <t>16/09/2026</t>
        </is>
      </c>
      <c r="B12" s="15" t="inlineStr">
        <is>
          <t>העברה דיגיטל – ISRAEL CARGO LOG (ICL)</t>
        </is>
      </c>
      <c r="C12" s="16">
        <f>19770</f>
        <v/>
      </c>
      <c r="D12" s="16" t="n"/>
      <c r="E12" s="19" t="inlineStr">
        <is>
          <t>ההעברה חזרה ב-17/09</t>
        </is>
      </c>
    </row>
    <row r="13" ht="16.5" customHeight="1">
      <c r="A13" s="10" t="inlineStr">
        <is>
          <t>17/09/2026</t>
        </is>
      </c>
      <c r="B13" s="11" t="inlineStr">
        <is>
          <t>החזר זיכוי – ICL</t>
        </is>
      </c>
      <c r="C13" s="12" t="n"/>
      <c r="D13" s="12">
        <f>19770</f>
        <v/>
      </c>
      <c r="E13" s="13" t="inlineStr">
        <is>
          <t>ההעברה ל-ICL חזרה. מעכשיו ICL משולם מחשבון ישר</t>
        </is>
      </c>
    </row>
    <row r="14" ht="16.5" customHeight="1">
      <c r="A14" s="14" t="inlineStr">
        <is>
          <t>22/09/2026</t>
        </is>
      </c>
      <c r="B14" s="15" t="inlineStr">
        <is>
          <t>פרעון הלוואה 3083001</t>
        </is>
      </c>
      <c r="C14" s="16">
        <f>18895.54</f>
        <v/>
      </c>
      <c r="D14" s="16" t="n"/>
      <c r="E14" s="19" t="inlineStr">
        <is>
          <t>תחזית הבנק הייתה 18,912.76</t>
        </is>
      </c>
    </row>
    <row r="15" ht="16.5" customHeight="1">
      <c r="A15" s="14" t="inlineStr">
        <is>
          <t>25/09/2026</t>
        </is>
      </c>
      <c r="B15" s="15" t="inlineStr">
        <is>
          <t>פרעון הלוואה 3807001</t>
        </is>
      </c>
      <c r="C15" s="16" t="n">
        <v>4329.51</v>
      </c>
      <c r="D15" s="16" t="n"/>
      <c r="E15" s="19" t="inlineStr">
        <is>
          <t>תחזית הבנק הייתה 4,330.75</t>
        </is>
      </c>
    </row>
    <row r="16" ht="16.5" customHeight="1">
      <c r="A16" s="14" t="inlineStr">
        <is>
          <t>27/09/2026</t>
        </is>
      </c>
      <c r="B16" s="15" t="inlineStr">
        <is>
          <t>ביטוח לאומי</t>
        </is>
      </c>
      <c r="C16" s="16" t="n">
        <v>4136</v>
      </c>
      <c r="D16" s="16" t="n"/>
      <c r="E16" s="19" t="inlineStr">
        <is>
          <t>תשלום 3 מתוך 5 של הסדר החוב</t>
        </is>
      </c>
    </row>
    <row r="17" ht="16.5" customHeight="1">
      <c r="A17" s="14" t="inlineStr">
        <is>
          <t>29/09/2026</t>
        </is>
      </c>
      <c r="B17" s="15" t="inlineStr">
        <is>
          <t>בנק הפועלים – בית ירושלמי שלי</t>
        </is>
      </c>
      <c r="C17" s="16" t="n"/>
      <c r="D17" s="16" t="n">
        <v>150000</v>
      </c>
      <c r="E17" s="19" t="inlineStr">
        <is>
          <t>הכנסה מבית ירושלמי שלי</t>
        </is>
      </c>
    </row>
    <row r="18" ht="16.5" customHeight="1">
      <c r="A18" s="14" t="inlineStr">
        <is>
          <t>30/09/2026</t>
        </is>
      </c>
      <c r="B18" s="15" t="inlineStr">
        <is>
          <t>ריבית חובה</t>
        </is>
      </c>
      <c r="C18" s="16" t="n">
        <v>82.31999999999999</v>
      </c>
      <c r="D18" s="16" t="n"/>
      <c r="E18" s="19" t="inlineStr">
        <is>
          <t>החשבון היה במינוס עד 29/09</t>
        </is>
      </c>
    </row>
    <row r="19" ht="16.5" customHeight="1">
      <c r="A19" s="20" t="n"/>
      <c r="B19" s="3" t="inlineStr">
        <is>
          <t>סה"כ תנועות בפועל</t>
        </is>
      </c>
      <c r="C19" s="5">
        <f>SUM(C5:C18)</f>
        <v/>
      </c>
      <c r="D19" s="5">
        <f>SUM(D5:D18)</f>
        <v/>
      </c>
      <c r="E19" s="6" t="n"/>
    </row>
    <row r="20" ht="16.5" customHeight="1">
      <c r="A20" s="2" t="inlineStr">
        <is>
          <t>30/09/2026</t>
        </is>
      </c>
      <c r="B20" s="3" t="inlineStr">
        <is>
          <t>יתרה בפועל בבנק – 30/09/2026</t>
        </is>
      </c>
      <c r="C20" s="5" t="n"/>
      <c r="D20" s="5">
        <f>D3-C19+D19</f>
        <v/>
      </c>
      <c r="E20" s="6" t="n"/>
    </row>
    <row r="21" ht="16.5" customHeight="1">
      <c r="A21" s="59" t="n"/>
      <c r="B21" s="60" t="n"/>
      <c r="C21" s="71" t="n"/>
      <c r="D21" s="71" t="n"/>
      <c r="E21" s="61" t="n"/>
    </row>
    <row r="22">
      <c r="A22" s="1" t="inlineStr">
        <is>
          <t>✅ כל תנועות ספטמבר מאומתות מול הבנק. פרעון 3807001 וביטוח לאומי (3/5) ירדו כצפוי, ונכנסו 150,000 ₪ מבית ירושלמי שלי ב-29/09. אייל גולן (3,540) שולם ב-15/09 מחשבון ישר. משכורת יהודה פריימן (9,600) לא ירדה מחשבון מטה בספטמבר - לבדוק.</t>
        </is>
      </c>
    </row>
  </sheetData>
  <pageMargins left="0.7" right="0.7" top="0.75" bottom="0.75" header="0.3" footer="0.3"/>
  <pageSetup orientation="landscape" paperSize="9" scale="69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45"/>
  <sheetViews>
    <sheetView showGridLines="0" rightToLeft="1" tabSelected="1" workbookViewId="0">
      <pane ySplit="4" topLeftCell="A5" activePane="bottomLeft" state="frozenSplit"/>
      <selection pane="bottomLeft" activeCell="A9" sqref="A9:XFD24"/>
    </sheetView>
  </sheetViews>
  <sheetFormatPr baseColWidth="8" defaultRowHeight="12.75"/>
  <cols>
    <col width="13.625" customWidth="1" style="1" min="1" max="1"/>
    <col width="40.625" customWidth="1" style="1" min="2" max="2"/>
    <col width="14.875" customWidth="1" style="1" min="3" max="4"/>
    <col width="62.625" customWidth="1" style="1" min="5" max="5"/>
    <col width="9" customWidth="1" style="1" min="6" max="16384"/>
  </cols>
  <sheetData>
    <row r="1" ht="27.95" customHeight="1">
      <c r="A1" s="62" t="inlineStr">
        <is>
          <t>מטה ופתילים – תזרים מזומנים אוקטובר 2026</t>
        </is>
      </c>
      <c r="B1" s="63" t="n"/>
      <c r="C1" s="63" t="n"/>
      <c r="D1" s="63" t="n"/>
      <c r="E1" s="64" t="n"/>
    </row>
    <row r="2" ht="16.5" customHeight="1">
      <c r="A2" s="65" t="inlineStr">
        <is>
          <t>חשבון בנק לאומי 61920/01   |   מאומת מול דוח הבנק עד 14/10/2026   |   * תנועות עתידיות מסומנות בצהוב</t>
        </is>
      </c>
      <c r="B2" s="66" t="n"/>
      <c r="C2" s="66" t="n"/>
      <c r="D2" s="66" t="n"/>
      <c r="E2" s="67" t="n"/>
    </row>
    <row r="3" ht="16.5" customHeight="1">
      <c r="A3" s="2" t="inlineStr">
        <is>
          <t>01/10/2026</t>
        </is>
      </c>
      <c r="B3" s="3" t="inlineStr">
        <is>
          <t>יתרת פתיחה</t>
        </is>
      </c>
      <c r="C3" s="4" t="n"/>
      <c r="D3" s="5">
        <f>'תזרים ספטמבר 2026'!D20</f>
        <v/>
      </c>
      <c r="E3" s="6" t="n"/>
    </row>
    <row r="4" ht="16.5" customHeight="1">
      <c r="A4" s="7" t="inlineStr">
        <is>
          <t>תאריך</t>
        </is>
      </c>
      <c r="B4" s="8" t="inlineStr">
        <is>
          <t>תיאור</t>
        </is>
      </c>
      <c r="C4" s="8" t="inlineStr">
        <is>
          <t>חיוב (₪)</t>
        </is>
      </c>
      <c r="D4" s="8" t="inlineStr">
        <is>
          <t>זכות (₪)</t>
        </is>
      </c>
      <c r="E4" s="9" t="inlineStr">
        <is>
          <t>הערות – עבור מה?</t>
        </is>
      </c>
    </row>
    <row r="5" ht="16.5" customHeight="1">
      <c r="A5" s="10" t="inlineStr">
        <is>
          <t>01/10/2026</t>
        </is>
      </c>
      <c r="B5" s="11" t="inlineStr">
        <is>
          <t>עמ.הקצאת אשראי</t>
        </is>
      </c>
      <c r="C5" s="12" t="n">
        <v>3.91</v>
      </c>
      <c r="D5" s="12" t="n"/>
      <c r="E5" s="13" t="n"/>
    </row>
    <row r="6" ht="16.5" customHeight="1">
      <c r="A6" s="14" t="inlineStr">
        <is>
          <t>01/10/2026</t>
        </is>
      </c>
      <c r="B6" s="15" t="inlineStr">
        <is>
          <t>עמל.ערוץ ישיר</t>
        </is>
      </c>
      <c r="C6" s="16" t="n">
        <v>9.9</v>
      </c>
      <c r="D6" s="16" t="n"/>
      <c r="E6" s="19" t="n"/>
    </row>
    <row r="7" ht="16.5" customHeight="1">
      <c r="A7" s="10" t="inlineStr">
        <is>
          <t>02/10/2026</t>
        </is>
      </c>
      <c r="B7" s="11" t="inlineStr">
        <is>
          <t>ל.מאסטרקרד</t>
        </is>
      </c>
      <c r="C7" s="12" t="n">
        <v>2989.35</v>
      </c>
      <c r="D7" s="12" t="n"/>
      <c r="E7" s="18" t="n"/>
    </row>
    <row r="8" ht="16.5" customHeight="1">
      <c r="A8" s="14" t="inlineStr">
        <is>
          <t>04/10/2026</t>
        </is>
      </c>
      <c r="B8" s="15" t="inlineStr">
        <is>
          <t>מס הכנסה – ניכויים</t>
        </is>
      </c>
      <c r="C8" s="16" t="n">
        <v>2090</v>
      </c>
      <c r="D8" s="16" t="n"/>
      <c r="E8" s="19" t="n"/>
    </row>
    <row r="9" ht="16.5" customHeight="1">
      <c r="A9" s="73" t="n">
        <v>46300</v>
      </c>
      <c r="B9" s="15" t="inlineStr">
        <is>
          <t>עמלת יבוא ישיר</t>
        </is>
      </c>
      <c r="C9" s="16" t="n">
        <v>82.62</v>
      </c>
      <c r="D9" s="16" t="n"/>
      <c r="E9" s="19" t="inlineStr">
        <is>
          <t>עמלה על התשלום ל-MURAT SERVET ERER</t>
        </is>
      </c>
    </row>
    <row r="10" ht="16.5" customHeight="1">
      <c r="A10" s="73" t="n">
        <v>46300</v>
      </c>
      <c r="B10" s="15" t="inlineStr">
        <is>
          <t>ביטוח לאומי</t>
        </is>
      </c>
      <c r="C10" s="16" t="n">
        <v>1358</v>
      </c>
      <c r="D10" s="16" t="n"/>
      <c r="E10" s="19" t="inlineStr">
        <is>
          <t>תשלום שוטף (לא הסדר החוב)</t>
        </is>
      </c>
    </row>
    <row r="11" ht="16.5" customHeight="1">
      <c r="A11" s="73" t="n">
        <v>46300</v>
      </c>
      <c r="B11" s="15" t="inlineStr">
        <is>
          <t>תשלום ביבוא ישיר – MURAT SERVET ERER (טורקיה)</t>
        </is>
      </c>
      <c r="C11" s="16" t="n">
        <v>3409.28</v>
      </c>
      <c r="D11" s="16" t="n"/>
      <c r="E11" s="19" t="inlineStr">
        <is>
          <t>ספק של מטה</t>
        </is>
      </c>
    </row>
    <row r="12" ht="16.5" customHeight="1">
      <c r="A12" s="73" t="n">
        <v>46300</v>
      </c>
      <c r="B12" s="15" t="inlineStr">
        <is>
          <t>העברה דיגיטל – אברהם משי</t>
        </is>
      </c>
      <c r="C12" s="16" t="n">
        <v>60000</v>
      </c>
      <c r="D12" s="16" t="n"/>
      <c r="E12" s="19" t="inlineStr">
        <is>
          <t>תשלום חלקי עבור חן 20124 - חזר למחרת</t>
        </is>
      </c>
    </row>
    <row r="13" ht="16.5" customHeight="1">
      <c r="A13" s="73" t="n">
        <v>46301</v>
      </c>
      <c r="B13" s="15" t="inlineStr">
        <is>
          <t>החזר זיכוי</t>
        </is>
      </c>
      <c r="C13" s="16" t="n"/>
      <c r="D13" s="16" t="n">
        <v>60000</v>
      </c>
      <c r="E13" s="19" t="inlineStr">
        <is>
          <t>ההעברה של 05/10 חזרה</t>
        </is>
      </c>
    </row>
    <row r="14" ht="16.5" customHeight="1">
      <c r="A14" s="73" t="n">
        <v>46301</v>
      </c>
      <c r="B14" s="15" t="inlineStr">
        <is>
          <t>העברה דיגיטל – אברהם משי</t>
        </is>
      </c>
      <c r="C14" s="16" t="n">
        <v>43023.44</v>
      </c>
      <c r="D14" s="16" t="n"/>
      <c r="E14" s="19" t="inlineStr">
        <is>
          <t>תשלום חלקי - חזר למחרת</t>
        </is>
      </c>
    </row>
    <row r="15" ht="16.5" customHeight="1">
      <c r="A15" s="73" t="n">
        <v>46302</v>
      </c>
      <c r="B15" s="15" t="inlineStr">
        <is>
          <t>החזר זיכוי</t>
        </is>
      </c>
      <c r="C15" s="16" t="n"/>
      <c r="D15" s="16" t="n">
        <v>43023.44</v>
      </c>
      <c r="E15" s="19" t="inlineStr">
        <is>
          <t>ההעברה של 06/10 חזרה</t>
        </is>
      </c>
    </row>
    <row r="16" ht="16.5" customHeight="1">
      <c r="A16" s="73" t="n">
        <v>46302</v>
      </c>
      <c r="B16" s="15" t="inlineStr">
        <is>
          <t>העברה דיגיטל – גור את שיפר</t>
        </is>
      </c>
      <c r="C16" s="16" t="n">
        <v>22212</v>
      </c>
      <c r="D16" s="16" t="n"/>
      <c r="E16" s="19" t="inlineStr">
        <is>
          <t>תשלום עבור פרופילים נווה יעקב</t>
        </is>
      </c>
    </row>
    <row r="17" ht="16.5" customHeight="1">
      <c r="A17" s="73" t="n">
        <v>46302</v>
      </c>
      <c r="B17" s="15" t="inlineStr">
        <is>
          <t>עמלת העברת זה"ב</t>
        </is>
      </c>
      <c r="C17" s="16" t="n">
        <v>3.85</v>
      </c>
      <c r="D17" s="16" t="n"/>
      <c r="E17" s="19" t="inlineStr"/>
    </row>
    <row r="18" ht="16.5" customHeight="1">
      <c r="A18" s="73" t="n">
        <v>46302</v>
      </c>
      <c r="B18" s="15" t="inlineStr">
        <is>
          <t>העברת זה"ב – MESHI AVRAM</t>
        </is>
      </c>
      <c r="C18" s="16" t="n">
        <v>60000</v>
      </c>
      <c r="D18" s="16" t="n"/>
      <c r="E18" s="19" t="inlineStr">
        <is>
          <t>תשלום חאדר חן 20124</t>
        </is>
      </c>
    </row>
    <row r="19" ht="16.5" customHeight="1">
      <c r="A19" s="73" t="n">
        <v>46303</v>
      </c>
      <c r="B19" s="15" t="inlineStr">
        <is>
          <t>העברה לישר</t>
        </is>
      </c>
      <c r="C19" s="16" t="n">
        <v>20000</v>
      </c>
      <c r="D19" s="16" t="n"/>
      <c r="E19" s="19" t="inlineStr">
        <is>
          <t>חזרה מישר ב-11/10</t>
        </is>
      </c>
    </row>
    <row r="20" ht="16.5" customHeight="1">
      <c r="A20" s="73" t="n">
        <v>46303</v>
      </c>
      <c r="B20" s="15" t="inlineStr">
        <is>
          <t>הפקדה לחיסכון</t>
        </is>
      </c>
      <c r="C20" s="16" t="n">
        <v>20000</v>
      </c>
      <c r="D20" s="16" t="n"/>
      <c r="E20" s="19" t="inlineStr">
        <is>
          <t>🔒 פיקדון 10% להלוואה בערבות מדינה</t>
        </is>
      </c>
    </row>
    <row r="21" ht="16.5" customHeight="1">
      <c r="A21" s="73" t="n">
        <v>46306</v>
      </c>
      <c r="B21" s="15" t="inlineStr">
        <is>
          <t>העברה עצמית מישר – החזר העברה</t>
        </is>
      </c>
      <c r="C21" s="16" t="n"/>
      <c r="D21" s="16" t="n">
        <v>20000</v>
      </c>
      <c r="E21" s="19" t="inlineStr">
        <is>
          <t>החזר ה-20,000 מ-08/10</t>
        </is>
      </c>
    </row>
    <row r="22" ht="16.5" customHeight="1">
      <c r="A22" s="73" t="n">
        <v>46306</v>
      </c>
      <c r="B22" s="15" t="inlineStr">
        <is>
          <t>עמ.הקצאת אשראי</t>
        </is>
      </c>
      <c r="C22" s="16" t="n">
        <v>86.09</v>
      </c>
      <c r="D22" s="16" t="n"/>
      <c r="E22" s="19" t="inlineStr"/>
    </row>
    <row r="23" ht="16.5" customHeight="1">
      <c r="A23" s="73" t="n">
        <v>46307</v>
      </c>
      <c r="B23" s="15" t="inlineStr">
        <is>
          <t>עמלת העברת זה"ב</t>
        </is>
      </c>
      <c r="C23" s="16" t="n">
        <v>3.85</v>
      </c>
      <c r="D23" s="16" t="n"/>
      <c r="E23" s="19" t="inlineStr"/>
    </row>
    <row r="24" ht="16.5" customHeight="1">
      <c r="A24" s="73" t="n">
        <v>46307</v>
      </c>
      <c r="B24" s="15" t="inlineStr">
        <is>
          <t>העברת זה"ב – MESHI AVRAM</t>
        </is>
      </c>
      <c r="C24" s="16" t="n">
        <v>43023.44</v>
      </c>
      <c r="D24" s="16" t="n"/>
      <c r="E24" s="19" t="inlineStr">
        <is>
          <t>תשלום חאדר חן 20124 (יחד עם 07/10: 103,023.44)</t>
        </is>
      </c>
    </row>
    <row r="25" ht="16.5" customHeight="1">
      <c r="A25" s="73" t="inlineStr">
        <is>
          <t>14/10/26</t>
        </is>
      </c>
      <c r="B25" s="15" t="inlineStr">
        <is>
          <t>הלוואה בערבות מדינה – העברה מחשבון ההלוואה 902-008892348</t>
        </is>
      </c>
      <c r="C25" s="16" t="n"/>
      <c r="D25" s="16" t="n">
        <v>197850</v>
      </c>
      <c r="E25" s="19" t="inlineStr">
        <is>
          <t>✅ כספי ההלוואה בערבות מדינה (אושר ע"י שמואל 14/10). פיקדון 10% (20,000) הופקד בחיסכון 08/10</t>
        </is>
      </c>
    </row>
    <row r="26" ht="16.5" customHeight="1">
      <c r="A26" s="20" t="n"/>
      <c r="B26" s="3" t="inlineStr">
        <is>
          <t>סה"כ תנועות בפועל</t>
        </is>
      </c>
      <c r="C26" s="5">
        <f>SUM(C5:C25)</f>
        <v/>
      </c>
      <c r="D26" s="5">
        <f>SUM(D5:D25)</f>
        <v/>
      </c>
      <c r="E26" s="6" t="n"/>
    </row>
    <row r="27" ht="16.5" customHeight="1">
      <c r="A27" s="85" t="inlineStr">
        <is>
          <t>14/10/26</t>
        </is>
      </c>
      <c r="B27" s="3" t="inlineStr">
        <is>
          <t>יתרה בפועל בבנק – 14/10/2026</t>
        </is>
      </c>
      <c r="C27" s="5" t="n"/>
      <c r="D27" s="5">
        <f>D3-C26+D26</f>
        <v/>
      </c>
      <c r="E27" s="6" t="n"/>
    </row>
    <row r="28" ht="16.5" customHeight="1">
      <c r="A28" s="59" t="n"/>
      <c r="B28" s="60" t="n"/>
      <c r="C28" s="71" t="n"/>
      <c r="D28" s="71" t="n"/>
      <c r="E28" s="61" t="n"/>
    </row>
    <row r="29" ht="16.5" customHeight="1">
      <c r="A29" s="68" t="inlineStr">
        <is>
          <t>🏦 ודאי – תנועות עתידיות (הלוואות והסדר ביטוח לאומי)</t>
        </is>
      </c>
      <c r="B29" s="69" t="n"/>
      <c r="C29" s="72" t="n"/>
      <c r="D29" s="72" t="n"/>
      <c r="E29" s="70" t="n"/>
    </row>
    <row r="30" ht="16.5" customHeight="1">
      <c r="A30" s="14" t="inlineStr">
        <is>
          <t>20/10/2026</t>
        </is>
      </c>
      <c r="B30" s="15" t="inlineStr">
        <is>
          <t>פרעון הלוואה 3083001</t>
        </is>
      </c>
      <c r="C30" s="16" t="n">
        <v>18310.56</v>
      </c>
      <c r="D30" s="16" t="n"/>
      <c r="E30" s="19" t="inlineStr">
        <is>
          <t>לפי הבנק (תנועה עתידית 13/10); בספטמבר ירד 18,895.54</t>
        </is>
      </c>
    </row>
    <row r="31" ht="16.5" customHeight="1">
      <c r="A31" s="14" t="inlineStr">
        <is>
          <t>25/10/2026</t>
        </is>
      </c>
      <c r="B31" s="15" t="inlineStr">
        <is>
          <t>פרעון הלוואה 3807001</t>
        </is>
      </c>
      <c r="C31" s="16" t="n">
        <v>4325.67</v>
      </c>
      <c r="D31" s="16" t="n"/>
      <c r="E31" s="19" t="inlineStr">
        <is>
          <t>לפי הבנק (תנועה עתידית 13/10); בספטמבר ירד 4,329.51</t>
        </is>
      </c>
    </row>
    <row r="32" ht="16.5" customHeight="1">
      <c r="A32" s="14" t="inlineStr">
        <is>
          <t>26/10/2026</t>
        </is>
      </c>
      <c r="B32" s="15" t="inlineStr">
        <is>
          <t>ביטוח לאומי</t>
        </is>
      </c>
      <c r="C32" s="16" t="n">
        <v>4136</v>
      </c>
      <c r="D32" s="16" t="n"/>
      <c r="E32" s="19" t="inlineStr">
        <is>
          <t>תשלום 4 מתוך 5 של הסדר החוב</t>
        </is>
      </c>
    </row>
    <row r="33" ht="16.5" customHeight="1">
      <c r="A33" s="20" t="n"/>
      <c r="B33" s="3" t="inlineStr">
        <is>
          <t>סה"כ ודאי</t>
        </is>
      </c>
      <c r="C33" s="5">
        <f>SUM(C30:C32)</f>
        <v/>
      </c>
      <c r="D33" s="5" t="n"/>
      <c r="E33" s="6" t="n"/>
    </row>
    <row r="34" ht="16.5" customHeight="1">
      <c r="A34" s="59" t="n"/>
      <c r="B34" s="60" t="n"/>
      <c r="C34" s="71" t="n"/>
      <c r="D34" s="71" t="n"/>
      <c r="E34" s="61" t="n"/>
    </row>
    <row r="35" ht="16.5" customHeight="1">
      <c r="A35" s="68" t="inlineStr">
        <is>
          <t>🔁 הוצאות קבועות צפויות</t>
        </is>
      </c>
      <c r="B35" s="69" t="n"/>
      <c r="C35" s="72" t="n"/>
      <c r="D35" s="72" t="n"/>
      <c r="E35" s="70" t="n"/>
    </row>
    <row r="36" ht="16.5" customHeight="1">
      <c r="A36" s="10" t="inlineStr">
        <is>
          <t>16/10/2026</t>
        </is>
      </c>
      <c r="B36" s="11" t="inlineStr">
        <is>
          <t>העברה דיגיטל – טובול יוסי</t>
        </is>
      </c>
      <c r="C36" s="12" t="n">
        <v>1357</v>
      </c>
      <c r="D36" s="12" t="n"/>
      <c r="E36" s="18" t="inlineStr">
        <is>
          <t>ריטיינר חודשי</t>
        </is>
      </c>
    </row>
    <row r="37" ht="16.5" customHeight="1">
      <c r="A37" s="14" t="inlineStr">
        <is>
          <t>18/10/2026</t>
        </is>
      </c>
      <c r="B37" s="15" t="inlineStr">
        <is>
          <t>העברת משכורת</t>
        </is>
      </c>
      <c r="C37" s="16" t="n">
        <v>9600</v>
      </c>
      <c r="D37" s="16" t="n"/>
      <c r="E37" s="19" t="inlineStr">
        <is>
          <t>❓ משכורת יהודה פריימן - לא ירדה בספטמבר, לבדוק</t>
        </is>
      </c>
    </row>
    <row r="38" ht="16.5" customHeight="1">
      <c r="A38" s="20" t="n"/>
      <c r="B38" s="3" t="inlineStr">
        <is>
          <t>סה"כ קבועות</t>
        </is>
      </c>
      <c r="C38" s="5">
        <f>SUM(C36:C37)</f>
        <v/>
      </c>
      <c r="D38" s="5" t="n"/>
      <c r="E38" s="6" t="n"/>
    </row>
    <row r="39" ht="16.5" customHeight="1">
      <c r="A39" s="59" t="n"/>
      <c r="B39" s="60" t="n"/>
      <c r="C39" s="71" t="n"/>
      <c r="D39" s="71" t="n"/>
      <c r="E39" s="61" t="n"/>
    </row>
    <row r="40" ht="16.5" customHeight="1">
      <c r="A40" s="46" t="n"/>
      <c r="B40" s="47" t="inlineStr">
        <is>
          <t>סה"כ הוצאות עתידיות באוקטובר</t>
        </is>
      </c>
      <c r="C40" s="48">
        <f>C33+C38</f>
        <v/>
      </c>
      <c r="D40" s="48" t="n"/>
      <c r="E40" s="58" t="inlineStr">
        <is>
          <t>ודאי לפי הבנק + הוצאות קבועות צפויות</t>
        </is>
      </c>
    </row>
    <row r="41" ht="16.5" customHeight="1">
      <c r="A41" s="46" t="n"/>
      <c r="B41" s="47" t="inlineStr">
        <is>
          <t>הכנסות צפויות</t>
        </is>
      </c>
      <c r="C41" s="48" t="n"/>
      <c r="D41" s="48" t="n"/>
      <c r="E41" s="58" t="inlineStr">
        <is>
          <t>❓ טרם ידוע. מקור ההכנסה היחיד הוא "בית ירושלמי שלי" (150,000 ב-29/09)</t>
        </is>
      </c>
    </row>
    <row r="42" ht="16.5" customHeight="1">
      <c r="A42" s="2" t="inlineStr">
        <is>
          <t>31/10/2026</t>
        </is>
      </c>
      <c r="B42" s="3" t="inlineStr">
        <is>
          <t>יתרה צפויה בסוף אוקטובר (ללא הכנסות)</t>
        </is>
      </c>
      <c r="C42" s="5" t="n"/>
      <c r="D42" s="5">
        <f>D27-C40</f>
        <v/>
      </c>
      <c r="E42" s="6" t="n"/>
    </row>
    <row r="43" ht="16.5" customHeight="1">
      <c r="A43" s="86" t="inlineStr">
        <is>
          <t>יתרה 14/10: 183,367.64 ₪ - אחרי קבלת ההלוואה בערבות מדינה 197,850 ב-14/10 (ב-12/10 היה −14,482.36, מינוס). סוף אוקטובר צפוי ב-145,638.41 ₪, לפני תשלומים ממתינים (מאיר הובלות, חומר לבית ירושלמי). ⚠️ אברהם משי קיבל 103,023.44 עבור חן 20124. 20,000 הופקדו בחיסכון כפיקדון להלוואה בערבות מדינה. אייל גולן משולם מחשבון ישר.</t>
        </is>
      </c>
      <c r="B43" s="88" t="n"/>
      <c r="C43" s="88" t="n"/>
      <c r="D43" s="88" t="n"/>
      <c r="E43" s="89" t="n"/>
    </row>
    <row r="44">
      <c r="A44" s="59" t="n"/>
      <c r="B44" s="60" t="n"/>
      <c r="C44" s="60" t="n"/>
      <c r="D44" s="60" t="n"/>
      <c r="E44" s="61" t="n"/>
    </row>
    <row r="45" ht="16.5" customHeight="1">
      <c r="A45" s="76" t="inlineStr">
        <is>
          <t>* תשלומים ממתינים אינם נכללים כאן – הם מנוהלים בגיליון "תשלומים ממתינים" (73,946 ₪ פתוח).</t>
        </is>
      </c>
      <c r="B45" s="90" t="n"/>
      <c r="C45" s="90" t="n"/>
      <c r="D45" s="90" t="n"/>
      <c r="E45" s="91" t="n"/>
    </row>
  </sheetData>
  <mergeCells count="2">
    <mergeCell ref="A45:E45"/>
    <mergeCell ref="A43:E43"/>
  </mergeCells>
  <pageMargins left="0.7" right="0.7" top="0.75" bottom="0.75" header="0.3" footer="0.3"/>
  <pageSetup orientation="landscape" paperSize="9" scale="6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rightToLeft="1" workbookViewId="0">
      <pane ySplit="3" topLeftCell="A4" activePane="bottomLeft" state="frozenSplit"/>
      <selection pane="bottomLeft" activeCell="A1" sqref="A1:F1"/>
    </sheetView>
  </sheetViews>
  <sheetFormatPr baseColWidth="8" defaultRowHeight="12.75"/>
  <cols>
    <col width="13.875" customWidth="1" style="1" min="1" max="1"/>
    <col width="32.625" customWidth="1" style="1" min="2" max="2"/>
    <col width="15.875" customWidth="1" style="1" min="3" max="4"/>
    <col width="13.625" customWidth="1" style="1" min="5" max="5"/>
    <col width="64.625" customWidth="1" style="1" min="6" max="6"/>
    <col width="9" customWidth="1" style="1" min="7" max="16384"/>
  </cols>
  <sheetData>
    <row r="1" ht="27.95" customHeight="1">
      <c r="A1" s="79" t="inlineStr">
        <is>
          <t>מטה ופתילים – תשלומים ממתינים</t>
        </is>
      </c>
      <c r="B1" s="87" t="n"/>
      <c r="C1" s="87" t="n"/>
      <c r="D1" s="87" t="n"/>
      <c r="E1" s="87" t="n"/>
      <c r="F1" s="87" t="n"/>
    </row>
    <row r="2" ht="16.5" customHeight="1">
      <c r="A2" s="82" t="inlineStr">
        <is>
          <t>🟡 ממתין  🔴 דחוף   |   מסונכרן מול דוח הבנק ל-14/10/2026. תשלומים שבוצעו נמחקים מהרשימה. תשלומי ICL עברו לחשבון ישר.</t>
        </is>
      </c>
      <c r="B2" s="88" t="n"/>
      <c r="C2" s="88" t="n"/>
      <c r="D2" s="88" t="n"/>
      <c r="E2" s="88" t="n"/>
      <c r="F2" s="88" t="n"/>
    </row>
    <row r="3" ht="16.5" customHeight="1">
      <c r="A3" s="7" t="inlineStr">
        <is>
          <t>תאריך יעד</t>
        </is>
      </c>
      <c r="B3" s="8" t="inlineStr">
        <is>
          <t>מוטב / תיאור</t>
        </is>
      </c>
      <c r="C3" s="8" t="inlineStr">
        <is>
          <t>סכום (₪)</t>
        </is>
      </c>
      <c r="D3" s="8" t="inlineStr">
        <is>
          <t>אמצעי תשלום</t>
        </is>
      </c>
      <c r="E3" s="8" t="inlineStr">
        <is>
          <t>סטטוס</t>
        </is>
      </c>
      <c r="F3" s="9" t="inlineStr">
        <is>
          <t>הערות</t>
        </is>
      </c>
    </row>
    <row r="4" ht="16.5" customHeight="1">
      <c r="A4" s="50" t="n"/>
      <c r="B4" s="15" t="inlineStr">
        <is>
          <t>מאיר הובלות</t>
        </is>
      </c>
      <c r="C4" s="16" t="n">
        <v>21122</v>
      </c>
      <c r="D4" s="44" t="n"/>
      <c r="E4" s="15" t="inlineStr">
        <is>
          <t>🟡 ממתין</t>
        </is>
      </c>
      <c r="F4" s="19" t="inlineStr">
        <is>
          <t>עודכן 26/08 – סה"כ 21,122 (קודם נרשם 5,900)</t>
        </is>
      </c>
    </row>
    <row r="5" ht="16.5" customHeight="1">
      <c r="A5" s="10" t="inlineStr">
        <is>
          <t>טרם נקבע</t>
        </is>
      </c>
      <c r="B5" s="11" t="inlineStr">
        <is>
          <t>חומר לפרויקט בית ירושלמי</t>
        </is>
      </c>
      <c r="C5" s="12" t="n">
        <v>44554</v>
      </c>
      <c r="D5" s="11" t="inlineStr">
        <is>
          <t>העברה בנקאית</t>
        </is>
      </c>
      <c r="E5" s="11" t="inlineStr">
        <is>
          <t>🟡 ממתין</t>
        </is>
      </c>
      <c r="F5" s="18" t="inlineStr">
        <is>
          <t>💵 14,682 $ — הסכום בשקלים הוא הערכה לפי שער 3.0346 (ההמרה האחרונה, 03/08). ישתנה לפי השער ביום התשלום</t>
        </is>
      </c>
    </row>
    <row r="6" ht="16.5" customHeight="1">
      <c r="A6" s="10" t="inlineStr">
        <is>
          <t>26/10/2026</t>
        </is>
      </c>
      <c r="B6" s="11" t="inlineStr">
        <is>
          <t>ביטוח לאומי</t>
        </is>
      </c>
      <c r="C6" s="12" t="n">
        <v>4136</v>
      </c>
      <c r="D6" s="11" t="inlineStr">
        <is>
          <t>הוראת קבע</t>
        </is>
      </c>
      <c r="E6" s="11" t="inlineStr">
        <is>
          <t>🟡 ממתין</t>
        </is>
      </c>
      <c r="F6" s="18" t="inlineStr">
        <is>
          <t>תשלום 4 מתוך 5 ליום 26/10/2026</t>
        </is>
      </c>
    </row>
    <row r="7" ht="16.5" customHeight="1">
      <c r="A7" s="14" t="inlineStr">
        <is>
          <t>26/11/2026</t>
        </is>
      </c>
      <c r="B7" s="15" t="inlineStr">
        <is>
          <t>ביטוח לאומי</t>
        </is>
      </c>
      <c r="C7" s="16" t="n">
        <v>4134</v>
      </c>
      <c r="D7" s="15" t="inlineStr">
        <is>
          <t>הוראת קבע</t>
        </is>
      </c>
      <c r="E7" s="15" t="inlineStr">
        <is>
          <t>🟡 ממתין</t>
        </is>
      </c>
      <c r="F7" s="19" t="inlineStr">
        <is>
          <t>תשלום 5 מתוך 5 ליום 26/11/2026</t>
        </is>
      </c>
    </row>
    <row r="8" ht="16.5" customHeight="1">
      <c r="A8" s="45" t="n"/>
      <c r="B8" s="42" t="n"/>
      <c r="C8" s="42" t="n"/>
      <c r="D8" s="42" t="n"/>
      <c r="E8" s="42" t="n"/>
      <c r="F8" s="43" t="n"/>
    </row>
    <row r="9" ht="16.5" customHeight="1">
      <c r="A9" s="51" t="inlineStr">
        <is>
          <t>סה"כ דחוף / עבר תאריך 🔴</t>
        </is>
      </c>
      <c r="B9" s="52" t="n"/>
      <c r="C9" s="53">
        <f>SUMIF(E4:E7,"🔴*",C4:C7)</f>
        <v/>
      </c>
      <c r="D9" s="52" t="n"/>
      <c r="E9" s="52" t="n"/>
      <c r="F9" s="54" t="n"/>
    </row>
    <row r="10" ht="16.5" customHeight="1">
      <c r="A10" s="2" t="inlineStr">
        <is>
          <t>סה"כ ממתין לתשלום 🟡</t>
        </is>
      </c>
      <c r="B10" s="4" t="n"/>
      <c r="C10" s="5">
        <f>SUMIF(E4:E7,"🟡*",C4:C7)</f>
        <v/>
      </c>
      <c r="D10" s="4" t="n"/>
      <c r="E10" s="4" t="n"/>
      <c r="F10" s="6" t="n"/>
    </row>
    <row r="11" ht="16.5" customHeight="1">
      <c r="A11" s="55" t="inlineStr">
        <is>
          <t>סה"כ פתוח (דחוף + ממתין)</t>
        </is>
      </c>
      <c r="B11" s="49" t="n"/>
      <c r="C11" s="48">
        <f>C9+C10</f>
        <v/>
      </c>
      <c r="D11" s="49" t="n"/>
      <c r="E11" s="49" t="n"/>
      <c r="F11" s="56" t="n"/>
    </row>
    <row r="12" ht="16.5" customHeight="1">
      <c r="A12" s="45" t="n"/>
      <c r="B12" s="42" t="n"/>
      <c r="C12" s="42" t="n"/>
      <c r="D12" s="42" t="n"/>
      <c r="E12" s="42" t="n"/>
      <c r="F12" s="43" t="n"/>
    </row>
    <row r="13" ht="16.5" customHeight="1">
      <c r="A13" s="83" t="inlineStr">
        <is>
          <t>* כל הסכומים כוללים מע"מ ונקובים בשקלים. שורות במטבע חוץ מסומנות 💵 והסכום השקלי בהן הוא הערכה. פרעונות הלוואות אינם נכללים כאן – ראי גיליון "יתרות הלוואות".</t>
        </is>
      </c>
      <c r="B13" s="90" t="n"/>
      <c r="C13" s="90" t="n"/>
      <c r="D13" s="90" t="n"/>
      <c r="E13" s="90" t="n"/>
      <c r="F13" s="90" t="n"/>
    </row>
  </sheetData>
  <mergeCells count="3">
    <mergeCell ref="A13:F13"/>
    <mergeCell ref="A2:F2"/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rightToLeft="1" workbookViewId="0">
      <pane ySplit="3" topLeftCell="A4" activePane="bottomLeft" state="frozenSplit"/>
      <selection pane="bottomLeft" activeCell="A1" sqref="A1:H1"/>
    </sheetView>
  </sheetViews>
  <sheetFormatPr baseColWidth="8" defaultRowHeight="12.75"/>
  <cols>
    <col width="24.75" customWidth="1" style="1" min="1" max="1"/>
    <col width="15.625" customWidth="1" style="1" min="2" max="2"/>
    <col width="16.625" customWidth="1" style="1" min="3" max="3"/>
    <col width="15.625" customWidth="1" style="1" min="4" max="4"/>
    <col width="13.625" customWidth="1" style="1" min="5" max="5"/>
    <col width="12.625" customWidth="1" style="1" min="6" max="6"/>
    <col width="22.625" customWidth="1" style="1" min="7" max="7"/>
    <col width="70.625" customWidth="1" style="1" min="8" max="8"/>
    <col width="9" customWidth="1" style="1" min="9" max="16384"/>
  </cols>
  <sheetData>
    <row r="1" ht="27.95" customHeight="1">
      <c r="A1" s="79" t="inlineStr">
        <is>
          <t>מטה ופתילים – יתרות הלוואות</t>
        </is>
      </c>
      <c r="B1" s="87" t="n"/>
      <c r="C1" s="87" t="n"/>
      <c r="D1" s="87" t="n"/>
      <c r="E1" s="87" t="n"/>
      <c r="F1" s="87" t="n"/>
      <c r="G1" s="87" t="n"/>
      <c r="H1" s="87" t="n"/>
    </row>
    <row r="2" ht="16.5" customHeight="1">
      <c r="A2" s="80" t="inlineStr">
        <is>
          <t>יתרות לפי לוחות הסילוקין המקוריים של הבנק   |   תשלומים בפועל מאומתים מול דוח הבנק עד 26/08/2026</t>
        </is>
      </c>
      <c r="B2" s="88" t="n"/>
      <c r="C2" s="88" t="n"/>
      <c r="D2" s="88" t="n"/>
      <c r="E2" s="88" t="n"/>
      <c r="F2" s="88" t="n"/>
      <c r="G2" s="88" t="n"/>
      <c r="H2" s="88" t="n"/>
    </row>
    <row r="3" ht="16.5" customHeight="1">
      <c r="A3" s="7" t="inlineStr">
        <is>
          <t>מספר הלוואה</t>
        </is>
      </c>
      <c r="B3" s="8" t="inlineStr">
        <is>
          <t>סכום מקורי (₪)</t>
        </is>
      </c>
      <c r="C3" s="8" t="inlineStr">
        <is>
          <t>יתרה נוכחית (₪)</t>
        </is>
      </c>
      <c r="D3" s="8" t="inlineStr">
        <is>
          <t>תשלום חודשי (₪)</t>
        </is>
      </c>
      <c r="E3" s="8" t="inlineStr">
        <is>
          <t>תאריך תשלום</t>
        </is>
      </c>
      <c r="F3" s="8" t="inlineStr">
        <is>
          <t>תאריך סיום</t>
        </is>
      </c>
      <c r="G3" s="8" t="inlineStr">
        <is>
          <t>ריבית</t>
        </is>
      </c>
      <c r="H3" s="9" t="inlineStr">
        <is>
          <t>הערות</t>
        </is>
      </c>
    </row>
    <row r="4" ht="16.5" customHeight="1">
      <c r="A4" s="14" t="inlineStr">
        <is>
          <t>3083-0001/4</t>
        </is>
      </c>
      <c r="B4" s="16" t="n">
        <v>500000</v>
      </c>
      <c r="C4" s="16" t="n">
        <v>470047.11</v>
      </c>
      <c r="D4" s="16" t="n">
        <v>18912.76</v>
      </c>
      <c r="E4" s="15" t="inlineStr">
        <is>
          <t>כל 20 לחודש</t>
        </is>
      </c>
      <c r="F4" s="15" t="inlineStr">
        <is>
          <t>20/12/2028</t>
        </is>
      </c>
      <c r="G4" s="15" t="inlineStr">
        <is>
          <t>9.02% (פריים + 3.77%)</t>
        </is>
      </c>
      <c r="H4" s="19" t="inlineStr">
        <is>
          <t>יתרה לפי לוח הסילוקין אחרי תשלום 20/08/26. 30 תשלומים, סה"כ להחזר 559,451.26. בפועל: 17,647.57 (20/07), 18,689.04 (20/08). הבא: 22/09 – 18,912.76 לפי הבנק (18,978.78 בלוח). | ✅ ירד 22/09: 18,895.54</t>
        </is>
      </c>
    </row>
    <row r="5" ht="16.5" customHeight="1">
      <c r="A5" s="10" t="inlineStr">
        <is>
          <t>3807-0001/6</t>
        </is>
      </c>
      <c r="B5" s="12" t="n">
        <v>50000</v>
      </c>
      <c r="C5" s="12" t="n">
        <v>17092.11</v>
      </c>
      <c r="D5" s="12" t="n">
        <v>4330.75</v>
      </c>
      <c r="E5" s="11" t="inlineStr">
        <is>
          <t>כל 25 לחודש</t>
        </is>
      </c>
      <c r="F5" s="11" t="inlineStr">
        <is>
          <t>25/12/2026</t>
        </is>
      </c>
      <c r="G5" s="11" t="inlineStr">
        <is>
          <t>7.65% (פריים + 1.90%)</t>
        </is>
      </c>
      <c r="H5" s="18" t="inlineStr">
        <is>
          <t>יתרה לפי לוח הסילוקין אחרי תשלום 25/08/26. 12 תשלומים, סה"כ להחזר 52,242.28 בלוח. בפועל: 4,334.12 (26/07), 4,327.19 (25/08). הבא: 25/09 – 4,330.75 לפי הבנק. | ✅ ירד 25/09: 4,329.51</t>
        </is>
      </c>
    </row>
    <row r="6" ht="16.5" customHeight="1">
      <c r="A6" s="14" t="inlineStr">
        <is>
          <t>4278-0001/3</t>
        </is>
      </c>
      <c r="B6" s="16" t="n">
        <v>170000</v>
      </c>
      <c r="C6" s="16" t="n">
        <v>0</v>
      </c>
      <c r="D6" s="16" t="n"/>
      <c r="E6" s="15" t="inlineStr">
        <is>
          <t>—</t>
        </is>
      </c>
      <c r="F6" s="15" t="inlineStr">
        <is>
          <t>25/08/2026</t>
        </is>
      </c>
      <c r="G6" s="15" t="inlineStr">
        <is>
          <t>7.90% (פריים + 1.90%)</t>
        </is>
      </c>
      <c r="H6" s="19" t="inlineStr">
        <is>
          <t>✅ סולקה במלואה. תשלום אחרון 25/08/26 בסך 17,573.15 בפועל (17,620.02 בלוח). בפועל גם: 17,581.70 (26/07).</t>
        </is>
      </c>
    </row>
    <row r="7" ht="16.5" customHeight="1">
      <c r="A7" s="10" t="inlineStr">
        <is>
          <t>ערבות מדינה (902-008892348)</t>
        </is>
      </c>
      <c r="B7" s="12" t="n">
        <v>200000</v>
      </c>
      <c r="C7" s="12" t="n">
        <v>200000</v>
      </c>
      <c r="D7" s="12" t="n">
        <v>3900</v>
      </c>
      <c r="E7" s="11" t="inlineStr">
        <is>
          <t>כל 28 לחודש</t>
        </is>
      </c>
      <c r="F7" s="11" t="inlineStr">
        <is>
          <t>28/10/2031 (משוער)</t>
        </is>
      </c>
      <c r="G7" s="11" t="inlineStr">
        <is>
          <t>≈6.36% שנתי (מחושב מ-60×3,900)</t>
        </is>
      </c>
      <c r="H7" s="18" t="inlineStr">
        <is>
          <t>התקבלה 14/10/2026 - נכנסו לחשבון 197,850 (2,150 עמלות/ניכויים). 60 תשלומים × 3,900 = 234,000 סה"כ להחזר (34,000 עלות). פיקדון 10% - 20,000 בחיסכון (08/10). תשלום ראשון משוער 28/11/2026 - לאמת מול הבנק</t>
        </is>
      </c>
    </row>
    <row r="8" ht="16.5" customHeight="1">
      <c r="A8" s="57" t="inlineStr">
        <is>
          <t>סה"כ יתרת הלוואות</t>
        </is>
      </c>
      <c r="B8" s="49" t="n"/>
      <c r="C8" s="48">
        <f>SUM(C4:C7)</f>
        <v/>
      </c>
      <c r="D8" s="49" t="n"/>
      <c r="E8" s="49" t="n"/>
      <c r="F8" s="49" t="n"/>
      <c r="G8" s="49" t="n"/>
      <c r="H8" s="56" t="n"/>
    </row>
    <row r="9" ht="16.5" customHeight="1">
      <c r="A9" s="45" t="n"/>
      <c r="B9" s="42" t="n"/>
      <c r="C9" s="42" t="n"/>
      <c r="D9" s="42" t="n"/>
      <c r="E9" s="42" t="n"/>
      <c r="F9" s="42" t="n"/>
      <c r="G9" s="42" t="n"/>
      <c r="H9" s="43" t="n"/>
    </row>
    <row r="10" ht="16.5" customHeight="1">
      <c r="A10" s="84" t="inlineStr">
        <is>
          <t>* הסכומים משתנים בהתאם לעדכוני ריבית הפריים. יש לעדכן יתרה מדי חודש.</t>
        </is>
      </c>
      <c r="B10" s="88" t="n"/>
      <c r="C10" s="88" t="n"/>
      <c r="D10" s="88" t="n"/>
      <c r="E10" s="88" t="n"/>
      <c r="F10" s="88" t="n"/>
      <c r="G10" s="88" t="n"/>
      <c r="H10" s="88" t="n"/>
    </row>
    <row r="11" ht="16.5" customHeight="1">
      <c r="A11" s="83" t="inlineStr">
        <is>
          <t>* היתרות מבוססות על לוחות הסילוקין המקוריים (מסמכי 106017). התשלומים בפועל סוטים מהלוח בעשרות שקלים בגלל עדכוני פריים, כך שהיתרה בפועל עשויה להיות שונה במעט.</t>
        </is>
      </c>
      <c r="B11" s="90" t="n"/>
      <c r="C11" s="90" t="n"/>
      <c r="D11" s="90" t="n"/>
      <c r="E11" s="90" t="n"/>
      <c r="F11" s="90" t="n"/>
      <c r="G11" s="90" t="n"/>
      <c r="H11" s="90" t="n"/>
    </row>
  </sheetData>
  <mergeCells count="4">
    <mergeCell ref="A2:H2"/>
    <mergeCell ref="A10:H10"/>
    <mergeCell ref="A11:H11"/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2026-08-24T09:40:08Z</dcterms:created>
  <dcterms:modified xmlns:dcterms="http://purl.org/dc/terms/" xmlns:xsi="http://www.w3.org/2001/XMLSchema-instance" xsi:type="dcterms:W3CDTF">2026-10-14T08:59:35Z</dcterms:modified>
  <cp:lastModifiedBy>user</cp:lastModifiedBy>
  <cp:lastPrinted>2026-08-26T07:52:03Z</cp:lastPrinted>
</cp:coreProperties>
</file>