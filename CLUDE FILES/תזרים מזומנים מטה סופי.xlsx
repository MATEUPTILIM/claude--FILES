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Documents\CLUDE FILES\"/>
    </mc:Choice>
  </mc:AlternateContent>
  <xr:revisionPtr revIDLastSave="0" documentId="13_ncr:1_{98F415A7-FF81-44DE-9628-A9FE0BFB7F5E}" xr6:coauthVersionLast="47" xr6:coauthVersionMax="47" xr10:uidLastSave="{00000000-0000-0000-0000-000000000000}"/>
  <bookViews>
    <workbookView xWindow="1950" yWindow="1950" windowWidth="21600" windowHeight="11295" activeTab="3" xr2:uid="{B1FAEAAD-B129-4E3A-9B3B-DFB462AEACC4}"/>
  </bookViews>
  <sheets>
    <sheet name="תזרים יולי 2026" sheetId="2" r:id="rId1"/>
    <sheet name="תזרים אוגוסט 2026" sheetId="3" r:id="rId2"/>
    <sheet name="תזרים ספטמבר 2026" sheetId="6" r:id="rId3"/>
    <sheet name="תזרים אוקטובר 2026" sheetId="7" r:id="rId4"/>
    <sheet name="תשלומים ממתינים" sheetId="4" r:id="rId5"/>
    <sheet name="יתרות הלוואות" sheetId="5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25" i="7" l="1"/>
  <c r="C25" i="7"/>
  <c r="C37" i="7"/>
  <c r="C32" i="7"/>
  <c r="C10" i="4"/>
  <c r="C9" i="4"/>
  <c r="C14" i="6"/>
  <c r="D13" i="6"/>
  <c r="C12" i="6"/>
  <c r="C11" i="6"/>
  <c r="C19" i="6" s="1"/>
  <c r="D10" i="6"/>
  <c r="D9" i="6"/>
  <c r="D19" i="6" s="1"/>
  <c r="C11" i="4" l="1"/>
  <c r="C39" i="7"/>
  <c r="D20" i="6"/>
  <c r="D3" i="7" s="1"/>
  <c r="D26" i="7" s="1"/>
  <c r="D41" i="7" l="1"/>
</calcChain>
</file>

<file path=xl/sharedStrings.xml><?xml version="1.0" encoding="utf-8"?>
<sst xmlns="http://schemas.openxmlformats.org/spreadsheetml/2006/main" count="355" uniqueCount="241">
  <si>
    <t>מטה ופתילים – תזרים מזומנים יולי 2026</t>
  </si>
  <si>
    <t>חשבון בנק לאומי 61920/01   |   מאומת במלואו מול דוח תנועות הבנק</t>
  </si>
  <si>
    <t>01/07/2026</t>
  </si>
  <si>
    <t>יתרת פתיחה</t>
  </si>
  <si>
    <t>תאריך</t>
  </si>
  <si>
    <t>תיאור</t>
  </si>
  <si>
    <t>חיוב (₪)</t>
  </si>
  <si>
    <t>זכות (₪)</t>
  </si>
  <si>
    <t>הערות – עבור מה?</t>
  </si>
  <si>
    <t>עמ.הקצאת אשראי</t>
  </si>
  <si>
    <t>עמל.ערוץ ישי15</t>
  </si>
  <si>
    <t>העברה דיגיטל – משה ארגמן</t>
  </si>
  <si>
    <t>שכירות – יהודה</t>
  </si>
  <si>
    <t>העברה דיגיטל – עשירה ארגמן</t>
  </si>
  <si>
    <t>02/07/2026</t>
  </si>
  <si>
    <t>ל.מאסטרקרד</t>
  </si>
  <si>
    <t>העברה בין-חברתית ← ישר שק</t>
  </si>
  <si>
    <t>07/07/2026</t>
  </si>
  <si>
    <t>אסמכתא 58916</t>
  </si>
  <si>
    <t>אסמכתא 58917</t>
  </si>
  <si>
    <t>העברה דיגיטל – ארפק די</t>
  </si>
  <si>
    <t>פרויקט נווה יעקב</t>
  </si>
  <si>
    <t>העברה דיגיטל – גור את שיפר</t>
  </si>
  <si>
    <t>12/07/2026</t>
  </si>
  <si>
    <t>העברה דיגיטל – איל גולן עו"ד</t>
  </si>
  <si>
    <t>שכר טרחה עורך דין (הוצאה קבועה)</t>
  </si>
  <si>
    <t>15/07/2026</t>
  </si>
  <si>
    <t>לאומי ויזה</t>
  </si>
  <si>
    <t>העברת משכורת</t>
  </si>
  <si>
    <t>משכורת – יהודה</t>
  </si>
  <si>
    <t>16/07/2026</t>
  </si>
  <si>
    <t>בנק מזרחי – בית ירושלמי</t>
  </si>
  <si>
    <t>לקוח – פרויקט בית ירושלמי</t>
  </si>
  <si>
    <t>19/07/2026</t>
  </si>
  <si>
    <t>העברה דיגיטל – שי ראם אברהם</t>
  </si>
  <si>
    <t>20/07/2026</t>
  </si>
  <si>
    <t>החזרת העברה – כ.י.א. אודם</t>
  </si>
  <si>
    <t>⚠ החזר ההעברה מ-19/07 (צד לא קשור לעסקה, לבקשת הלקוח)</t>
  </si>
  <si>
    <t>פרעון הלוואה 3083001</t>
  </si>
  <si>
    <t>21/07/2026</t>
  </si>
  <si>
    <t>העברה דיגיטל – מנורה מבטחים</t>
  </si>
  <si>
    <t>פנסיה – שלמה מינסקי</t>
  </si>
  <si>
    <t>העברה דיגיטל – מגדל מקפת</t>
  </si>
  <si>
    <t>פנסיה – עדינה</t>
  </si>
  <si>
    <t>22/07/2026</t>
  </si>
  <si>
    <t>עמ.גל"י לבנקים</t>
  </si>
  <si>
    <t>העברת זה"ב – AVRAHAM RAM</t>
  </si>
  <si>
    <t>26/07/2026</t>
  </si>
  <si>
    <t>ביטוח לאומי</t>
  </si>
  <si>
    <t>פרעון הלוואה 3807001</t>
  </si>
  <si>
    <t>פרעון הלוואה 4278001</t>
  </si>
  <si>
    <t>27/07/2026</t>
  </si>
  <si>
    <t>משכורת – יהודה פריימן</t>
  </si>
  <si>
    <t>העברה דיגיטל – טובול יוסי</t>
  </si>
  <si>
    <t>שכר טרחה – רואה חשבון</t>
  </si>
  <si>
    <t>28/07/2026</t>
  </si>
  <si>
    <t>29/07/2026</t>
  </si>
  <si>
    <t>מס הכנסה ניכ-י</t>
  </si>
  <si>
    <t>31/07/2026</t>
  </si>
  <si>
    <t>סה"כ תנועות בפועל</t>
  </si>
  <si>
    <t>יתרת סגירה</t>
  </si>
  <si>
    <t>מטה ופתילים – תזרים מזומנים אוגוסט 2026</t>
  </si>
  <si>
    <t>01/08/2026</t>
  </si>
  <si>
    <t>02/08/2026</t>
  </si>
  <si>
    <t>עמל.ערוץ ישי17</t>
  </si>
  <si>
    <t>03/08/2026</t>
  </si>
  <si>
    <t>המרה-אינטרנט</t>
  </si>
  <si>
    <t>המרה מ-260 דולר, שער 3.0346 בניכוי עמלה 17.61</t>
  </si>
  <si>
    <t>העברה דיגיטל – מילי סויסה</t>
  </si>
  <si>
    <t>10/08/2026</t>
  </si>
  <si>
    <t>העברת זה"ב – בית ירושלמי שלי</t>
  </si>
  <si>
    <t>העברה דיגיטל – ISRAEL CARGO LOGISTICS (ICL)</t>
  </si>
  <si>
    <t>סוגר את תשלום ICL שעבר תאריך. ברשימה נרשם 19,350 – בפועל 19,300 (הפרש 50)</t>
  </si>
  <si>
    <t>12/08/2026</t>
  </si>
  <si>
    <t>ריטיינר חודשי + תביעת מוצרי אל. סוגר את הפריט הדחוף ברשימת הממתינים</t>
  </si>
  <si>
    <t>16/08/2026</t>
  </si>
  <si>
    <t>17/08/2026</t>
  </si>
  <si>
    <t>18/08/2026</t>
  </si>
  <si>
    <t>20/08/2026</t>
  </si>
  <si>
    <t>בנק הפועלים – בית ירושלמי שלי</t>
  </si>
  <si>
    <t>בפועל 18,689.04 (בגיליון ההלוואות נרשם 18,748.63 – ריבית פריים משתנה)</t>
  </si>
  <si>
    <t>23/08/2026</t>
  </si>
  <si>
    <t>✅ תשלום צק עבור רוטנברג – הועבר לישר כמתוכנן (ברשימה נרשם 58,836)</t>
  </si>
  <si>
    <t>העברת זה"ב – MESHI AVRAM (IBAN)</t>
  </si>
  <si>
    <t>25/08/2026</t>
  </si>
  <si>
    <t>02/09/2026</t>
  </si>
  <si>
    <t>מטה ופתילים – תשלומים ממתינים</t>
  </si>
  <si>
    <t>תאריך יעד</t>
  </si>
  <si>
    <t>מוטב / תיאור</t>
  </si>
  <si>
    <t>סכום (₪)</t>
  </si>
  <si>
    <t>אמצעי תשלום</t>
  </si>
  <si>
    <t>סטטוס</t>
  </si>
  <si>
    <t>הערות</t>
  </si>
  <si>
    <t>העברה בנקאית</t>
  </si>
  <si>
    <t>מאיר הובלות</t>
  </si>
  <si>
    <t>🟡 ממתין</t>
  </si>
  <si>
    <t>סה"כ דחוף / עבר תאריך 🔴</t>
  </si>
  <si>
    <t>סה"כ ממתין לתשלום 🟡</t>
  </si>
  <si>
    <t>סה"כ פתוח (דחוף + ממתין)</t>
  </si>
  <si>
    <t>מטה ופתילים – יתרות הלוואות</t>
  </si>
  <si>
    <t>מספר הלוואה</t>
  </si>
  <si>
    <t>סכום מקורי (₪)</t>
  </si>
  <si>
    <t>יתרה נוכחית (₪)</t>
  </si>
  <si>
    <t>תשלום חודשי (₪)</t>
  </si>
  <si>
    <t>תאריך תשלום</t>
  </si>
  <si>
    <t>תאריך סיום</t>
  </si>
  <si>
    <t>ריבית</t>
  </si>
  <si>
    <t>3083-0001/4</t>
  </si>
  <si>
    <t>כל 20 לחודש</t>
  </si>
  <si>
    <t>20/12/2028</t>
  </si>
  <si>
    <t>9.02% (פריים + 3.77%)</t>
  </si>
  <si>
    <t>3807-0001/6</t>
  </si>
  <si>
    <t>כל 25 לחודש</t>
  </si>
  <si>
    <t>25/12/2026</t>
  </si>
  <si>
    <t>7.65% (פריים + 1.90%)</t>
  </si>
  <si>
    <t>4278-0001/3</t>
  </si>
  <si>
    <t>7.90% (פריים + 1.90%)</t>
  </si>
  <si>
    <t>סה"כ יתרת הלוואות</t>
  </si>
  <si>
    <t>* הסכומים משתנים בהתאם לעדכוני ריבית הפריים. יש לעדכן יתרה מדי חודש.</t>
  </si>
  <si>
    <t>ההעברה הישירה לר. שאלתיאל סורבה – הכסף הועבר לישר, ושאלתיאל שולם בצ'ק 5000284 שנפרע מישר ב-10/08. סגור.</t>
  </si>
  <si>
    <t>חאדר – פרויקט נווה יעקב. ⚠ ההעברה הוחזרה למחרת – מתקזזת מול השורה הבאה (לא הוצאה בפועל)</t>
  </si>
  <si>
    <t>חאדר – פרויקט נווה יעקב. ביצוע חוזר של ההעברה שהוחזרה ב-19-20/07</t>
  </si>
  <si>
    <t>חאדר – פרויקט נווה יעקב</t>
  </si>
  <si>
    <t>פרופילים – פרויקט נווה יעקב</t>
  </si>
  <si>
    <t>החזרי מע"מ לעוסקים</t>
  </si>
  <si>
    <t>החזר מע"מ ממכס ומע"מ</t>
  </si>
  <si>
    <t>22/09/2026</t>
  </si>
  <si>
    <t>—</t>
  </si>
  <si>
    <t>* היתרות מבוססות על לוחות הסילוקין המקוריים (מסמכי 106017). התשלומים בפועל סוטים מהלוח בעשרות שקלים בגלל עדכוני פריים, כך שהיתרה בפועל עשויה להיות שונה במעט.</t>
  </si>
  <si>
    <t>25/09/2026</t>
  </si>
  <si>
    <t>פרעון הלוואה 4278001 – תשלום אחרון</t>
  </si>
  <si>
    <t>✅ התשלום האחרון – ההלוואה סולקה. בלוח הסילוקין נרשם 17,620.02</t>
  </si>
  <si>
    <t>בלוח הסילוקין נרשם 4,339.47</t>
  </si>
  <si>
    <t>26/08/2026</t>
  </si>
  <si>
    <t>יתרות לפי לוחות הסילוקין המקוריים של הבנק   |   תשלומים בפועל מאומתים מול דוח הבנק עד 26/08/2026</t>
  </si>
  <si>
    <t>✅ סולקה במלואה. תשלום אחרון 25/08/26 בסך 17,573.15 בפועל (17,620.02 בלוח). בפועל גם: 17,581.70 (26/07).</t>
  </si>
  <si>
    <t>עודכן 26/08 – סה"כ 21,122 (קודם נרשם 5,900)</t>
  </si>
  <si>
    <t>01/09/2026</t>
  </si>
  <si>
    <t>עמל.ערוץ ישיר</t>
  </si>
  <si>
    <t>17/09/2026</t>
  </si>
  <si>
    <t>סה"כ קבועות</t>
  </si>
  <si>
    <t>טרם נקבע</t>
  </si>
  <si>
    <t>הכנסות צפויות</t>
  </si>
  <si>
    <t>30/09/2026</t>
  </si>
  <si>
    <t>העברה דיגיטל – א.נ שירותי אדריכלות (מדידות עצמאות)</t>
  </si>
  <si>
    <t>✅ זהו התשלום ל"מדידות עצמאות (רפי)" – אושר. כולל מע"מ. נמחק מרשימת הממתינים</t>
  </si>
  <si>
    <t>חומר לפרויקט בית ירושלמי</t>
  </si>
  <si>
    <t>💵 14,682 $ — הסכום בשקלים הוא הערכה לפי שער 3.0346 (ההמרה האחרונה, 03/08). ישתנה לפי השער ביום התשלום</t>
  </si>
  <si>
    <t>* כל הסכומים כוללים מע"מ ונקובים בשקלים. שורות במטבע חוץ מסומנות 💵 והסכום השקלי בהן הוא הערכה. פרעונות הלוואות אינם נכללים כאן – ראי גיליון "יתרות הלוואות".</t>
  </si>
  <si>
    <t>* תנועות עתידיות (ספטמבר ואילך) מנוהלות בגיליון "תזרים ספטמבר 2026".</t>
  </si>
  <si>
    <t>27/09/2026</t>
  </si>
  <si>
    <t>הוראת קבע</t>
  </si>
  <si>
    <t>26/10/2026</t>
  </si>
  <si>
    <t>26/11/2026</t>
  </si>
  <si>
    <t>תשלום 2 מתוך 5 ליום 26/08/2026</t>
  </si>
  <si>
    <t>תשלום 4 מתוך 5 ליום 26/10/2026</t>
  </si>
  <si>
    <t>תשלום 5 מתוך 5 ליום 26/11/2026</t>
  </si>
  <si>
    <t>תשלום 1 מתוך 5 ליום 26/07/2026</t>
  </si>
  <si>
    <t>27/08/2026</t>
  </si>
  <si>
    <t>דמי ביטוח לאומי שוטפים עבור חודש 07/2026 – נפרד מהסדר החוב</t>
  </si>
  <si>
    <t>28/08/2026</t>
  </si>
  <si>
    <t>כולל את תשלום המע"מ של ישר (27,806)</t>
  </si>
  <si>
    <t>31/08/2026</t>
  </si>
  <si>
    <t>יתרת סגירה – 31/08/2026</t>
  </si>
  <si>
    <t>חשבון בנק לאומי 61920/01   |   החודש הסתיים – מאומת במלואו מול דוח הבנק</t>
  </si>
  <si>
    <t>מטה ופתילים – תזרים מזומנים ספטמבר 2026</t>
  </si>
  <si>
    <t>ריטיינר חודשי</t>
  </si>
  <si>
    <t>ודאי לפי הבנק + הוצאות קבועות צפויות</t>
  </si>
  <si>
    <t>סופי. תחזית הבנק הייתה 6,833.84</t>
  </si>
  <si>
    <t>בין חברות</t>
  </si>
  <si>
    <t>03/09/2026</t>
  </si>
  <si>
    <t>הפרש גמל עדאלה קארו</t>
  </si>
  <si>
    <t>08/09/2026</t>
  </si>
  <si>
    <t>העברה מישר</t>
  </si>
  <si>
    <t>16/09/2026</t>
  </si>
  <si>
    <t>למימון תשלום ICL</t>
  </si>
  <si>
    <t>העברה דיגיטל – ISRAEL CARGO LOG (ICL)</t>
  </si>
  <si>
    <t>ההעברה חזרה ב-17/09</t>
  </si>
  <si>
    <t>החזר זיכוי – ICL</t>
  </si>
  <si>
    <t>ההעברה ל-ICL חזרה. מעכשיו ICL משולם מחשבון ישר</t>
  </si>
  <si>
    <t>תחזית הבנק הייתה 18,912.76</t>
  </si>
  <si>
    <t>העברה בין-חברתית – מישר</t>
  </si>
  <si>
    <t>תחזית הבנק הייתה 4,330.75</t>
  </si>
  <si>
    <t>תשלום 3 מתוך 5 של הסדר החוב</t>
  </si>
  <si>
    <t>29/09/2026</t>
  </si>
  <si>
    <t>הכנסה מבית ירושלמי שלי</t>
  </si>
  <si>
    <t>ריבית חובה</t>
  </si>
  <si>
    <t>החשבון היה במינוס עד 29/09</t>
  </si>
  <si>
    <t>יתרה בפועל בבנק – 30/09/2026</t>
  </si>
  <si>
    <t>חשבון בנק לאומי 61920/01   |   מאומת מול דוח הבנק עד 30/09/2026</t>
  </si>
  <si>
    <t>✅ כל תנועות ספטמבר מאומתות מול הבנק. פרעון 3807001 וביטוח לאומי (3/5) ירדו כצפוי, ונכנסו 150,000 ₪ מבית ירושלמי שלי ב-29/09. אייל גולן (3,540) שולם ב-15/09 מחשבון ישר. משכורת יהודה פריימן (9,600) לא ירדה מחשבון מטה בספטמבר - לבדוק.</t>
  </si>
  <si>
    <t>מטה ופתילים – תזרים מזומנים אוקטובר 2026</t>
  </si>
  <si>
    <t>01/10/2026</t>
  </si>
  <si>
    <t>02/10/2026</t>
  </si>
  <si>
    <t>04/10/2026</t>
  </si>
  <si>
    <t>מס הכנסה – ניכויים</t>
  </si>
  <si>
    <t>🏦 ודאי – תנועות עתידיות (הלוואות והסדר ביטוח לאומי)</t>
  </si>
  <si>
    <t>20/10/2026</t>
  </si>
  <si>
    <t>25/10/2026</t>
  </si>
  <si>
    <t>תשלום 4 מתוך 5 של הסדר החוב</t>
  </si>
  <si>
    <t>סה"כ ודאי</t>
  </si>
  <si>
    <t>16/10/2026</t>
  </si>
  <si>
    <t>18/10/2026</t>
  </si>
  <si>
    <t>❓ משכורת יהודה פריימן - לא ירדה בספטמבר, לבדוק</t>
  </si>
  <si>
    <t>❓ טרם ידוע. מקור ההכנסה היחיד הוא "בית ירושלמי שלי" (150,000 ב-29/09)</t>
  </si>
  <si>
    <t>31/10/2026</t>
  </si>
  <si>
    <t>יתרה צפויה בסוף אוקטובר (ללא הכנסות)</t>
  </si>
  <si>
    <t>יתרה לפי לוח הסילוקין אחרי תשלום 20/08/26. 30 תשלומים, סה"כ להחזר 559,451.26. בפועל: 17,647.57 (20/07), 18,689.04 (20/08). הבא: 22/09 – 18,912.76 לפי הבנק (18,978.78 בלוח). | ✅ ירד 22/09: 18,895.54</t>
  </si>
  <si>
    <t>יתרה לפי לוח הסילוקין אחרי תשלום 25/08/26. 12 תשלומים, סה"כ להחזר 52,242.28 בלוח. בפועל: 4,334.12 (26/07), 4,327.19 (25/08). הבא: 25/09 – 4,330.75 לפי הבנק. | ✅ ירד 25/09: 4,329.51</t>
  </si>
  <si>
    <t>סה"כ הוצאות עתידיות באוקטובר</t>
  </si>
  <si>
    <t>🔁 הוצאות קבועות צפויות</t>
  </si>
  <si>
    <t>* תשלומים ממתינים אינם נכללים כאן – הם מנוהלים בגיליון "תשלומים ממתינים" (73,946 ₪ פתוח).</t>
  </si>
  <si>
    <t>עמלת יבוא ישיר</t>
  </si>
  <si>
    <t>עמלה על התשלום ל-MURAT SERVET ERER</t>
  </si>
  <si>
    <t>תשלום שוטף (לא הסדר החוב)</t>
  </si>
  <si>
    <t>תשלום ביבוא ישיר – MURAT SERVET ERER (טורקיה)</t>
  </si>
  <si>
    <t>ספק של מטה</t>
  </si>
  <si>
    <t>העברה דיגיטל – אברהם משי</t>
  </si>
  <si>
    <t>תשלום חלקי עבור חן 20124 - חזר למחרת</t>
  </si>
  <si>
    <t>החזר זיכוי</t>
  </si>
  <si>
    <t>ההעברה של 05/10 חזרה</t>
  </si>
  <si>
    <t>תשלום חלקי - חזר למחרת</t>
  </si>
  <si>
    <t>ההעברה של 06/10 חזרה</t>
  </si>
  <si>
    <t>תשלום עבור פרופילים נווה יעקב</t>
  </si>
  <si>
    <t>עמלת העברת זה"ב</t>
  </si>
  <si>
    <t/>
  </si>
  <si>
    <t>העברת זה"ב – MESHI AVRAM</t>
  </si>
  <si>
    <t>תשלום חאדר חן 20124</t>
  </si>
  <si>
    <t>העברה לישר</t>
  </si>
  <si>
    <t>חזרה מישר ב-11/10</t>
  </si>
  <si>
    <t>הפקדה לחיסכון</t>
  </si>
  <si>
    <t>🔒 פיקדון 10% להלוואה בערבות מדינה</t>
  </si>
  <si>
    <t>העברה עצמית מישר – החזר העברה</t>
  </si>
  <si>
    <t>החזר ה-20,000 מ-08/10</t>
  </si>
  <si>
    <t>תשלום חאדר חן 20124 (יחד עם 07/10: 103,023.44)</t>
  </si>
  <si>
    <t>יתרה בפועל בבנק – 12/10/2026</t>
  </si>
  <si>
    <t>חשבון בנק לאומי 61920/01   |   מאומת מול דוח הבנק עד 12/10/2026   |   * תנועות עתידיות מסומנות בצהוב</t>
  </si>
  <si>
    <t>לפי הבנק (תנועה עתידית 13/10); בספטמבר ירד 18,895.54</t>
  </si>
  <si>
    <t>לפי הבנק (תנועה עתידית 13/10); בספטמבר ירד 4,329.51</t>
  </si>
  <si>
    <t>יתרה 12/10: −14,482.36 ₪ (מינוס! מסגרת אשראי 20,000). בלי הכנסה חדשה, סוף אוקטובר צפוי ב-−52,211.59 ₪ - כ-32,200 מעבר למסגרת, ועוד לפני תשלומים ממתינים (מאיר הובלות, חומר לבית ירושלמי). ⚠️ אברהם משי קיבל 103,023.44 עבור חן 20124. 20,000 הופקדו בחיסכון כפיקדון להלוואה בערבות מדינה. אייל גולן משולם מחשבון ישר.</t>
  </si>
  <si>
    <t>🟡 ממתין  🔴 דחוף   |   מסונכרן מול דוח הבנק ל-12/10/2026. תשלומים שבוצעו נמחקים מהרשימה. תשלומי ICL עברו לחשבון ישר.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</si>
</sst>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Arial"/>
      <family val="2"/>
      <charset val="177"/>
      <scheme val="minor"/>
    </font>
    <font>
      <sz val="10"/>
      <color theme="1"/>
      <name val="Arial"/>
      <family val="2"/>
      <charset val="177"/>
      <scheme val="minor"/>
    </font>
    <font>
      <b/>
      <sz val="14"/>
      <color rgb="FFFFFFFF"/>
      <name val="Arial"/>
      <family val="2"/>
      <scheme val="minor"/>
    </font>
    <font>
      <b/>
      <sz val="10"/>
      <color rgb="FFFFFFFF"/>
      <name val="Arial"/>
      <family val="2"/>
      <scheme val="minor"/>
    </font>
    <font>
      <sz val="10"/>
      <color rgb="FFFFFFFF"/>
      <name val="Arial"/>
      <family val="2"/>
      <scheme val="minor"/>
    </font>
    <font>
      <b/>
      <sz val="10"/>
      <color rgb="FF7F6000"/>
      <name val="Arial"/>
      <family val="2"/>
      <scheme val="minor"/>
    </font>
    <font>
      <b/>
      <sz val="10"/>
      <color rgb="FF3A3A3A"/>
      <name val="Arial"/>
      <family val="2"/>
      <scheme val="minor"/>
    </font>
    <font>
      <sz val="10"/>
      <color rgb="FF3A3A3A"/>
      <name val="Arial"/>
      <family val="2"/>
      <scheme val="minor"/>
    </font>
    <font>
      <sz val="10"/>
      <color rgb="FF3A3A3A"/>
      <name val="Arial"/>
      <family val="2"/>
      <charset val="177"/>
      <scheme val="minor"/>
    </font>
    <font>
      <sz val="11"/>
      <color rgb="FF3A3A3A"/>
      <name val="Arial"/>
      <family val="2"/>
      <scheme val="minor"/>
    </font>
    <font>
      <b/>
      <sz val="11"/>
      <color rgb="FF3A3A3A"/>
      <name val="Arial"/>
      <family val="2"/>
      <scheme val="minor"/>
    </font>
    <font>
      <sz val="9"/>
      <color rgb="FF3A3A3A"/>
      <name val="Arial"/>
      <family val="2"/>
      <scheme val="minor"/>
    </font>
    <font>
      <b/>
      <sz val="12"/>
      <color rgb="FF3A3A3A"/>
      <name val="Arial"/>
      <family val="2"/>
      <scheme val="minor"/>
    </font>
    <font>
      <sz val="9"/>
      <color rgb="FF3A3A3A"/>
      <name val="Arial"/>
      <family val="2"/>
      <charset val="177"/>
      <scheme val="minor"/>
    </font>
    <font>
      <b/>
      <sz val="10"/>
      <color rgb="FFFF0000"/>
      <name val="Arial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2E4A63"/>
        <bgColor indexed="64"/>
      </patternFill>
    </fill>
    <fill>
      <patternFill patternType="solid">
        <fgColor rgb="FFE7EFF6"/>
        <bgColor indexed="64"/>
      </patternFill>
    </fill>
    <fill>
      <patternFill patternType="solid">
        <fgColor rgb="FF5A7D9A"/>
        <bgColor indexed="64"/>
      </patternFill>
    </fill>
    <fill>
      <patternFill patternType="solid">
        <fgColor rgb="FFF7F7FB"/>
        <bgColor indexed="64"/>
      </patternFill>
    </fill>
    <fill>
      <patternFill patternType="solid">
        <fgColor rgb="FFFFF6E0"/>
        <bgColor indexed="64"/>
      </patternFill>
    </fill>
    <fill>
      <patternFill patternType="solid">
        <fgColor rgb="FFCFDCEE"/>
        <bgColor indexed="64"/>
      </patternFill>
    </fill>
    <fill>
      <patternFill patternType="solid">
        <fgColor rgb="FFFBE8E5"/>
        <bgColor indexed="64"/>
      </patternFill>
    </fill>
  </fills>
  <borders count="13">
    <border>
      <left/>
      <right/>
      <top/>
      <bottom/>
      <diagonal/>
    </border>
    <border>
      <left/>
      <right style="thin">
        <color rgb="FFE6E6E6"/>
      </right>
      <top style="thin">
        <color rgb="FFE6E6E6"/>
      </top>
      <bottom style="thin">
        <color rgb="FFE6E6E6"/>
      </bottom>
      <diagonal/>
    </border>
    <border>
      <left style="thin">
        <color rgb="FFE6E6E6"/>
      </left>
      <right style="thin">
        <color rgb="FFE6E6E6"/>
      </right>
      <top style="thin">
        <color rgb="FFE6E6E6"/>
      </top>
      <bottom style="thin">
        <color rgb="FFE6E6E6"/>
      </bottom>
      <diagonal/>
    </border>
    <border>
      <left style="thin">
        <color rgb="FFE6E6E6"/>
      </left>
      <right/>
      <top style="thin">
        <color rgb="FFE6E6E6"/>
      </top>
      <bottom style="thin">
        <color rgb="FFE6E6E6"/>
      </bottom>
      <diagonal/>
    </border>
    <border>
      <left/>
      <right style="thin">
        <color rgb="FFE6E6E6"/>
      </right>
      <top style="thin">
        <color rgb="FFE6E6E6"/>
      </top>
      <bottom/>
      <diagonal/>
    </border>
    <border>
      <left style="thin">
        <color rgb="FFE6E6E6"/>
      </left>
      <right style="thin">
        <color rgb="FFE6E6E6"/>
      </right>
      <top style="thin">
        <color rgb="FFE6E6E6"/>
      </top>
      <bottom/>
      <diagonal/>
    </border>
    <border>
      <left style="thin">
        <color rgb="FFE6E6E6"/>
      </left>
      <right/>
      <top style="thin">
        <color rgb="FFE6E6E6"/>
      </top>
      <bottom/>
      <diagonal/>
    </border>
    <border>
      <left/>
      <right/>
      <top/>
      <bottom style="thin">
        <color rgb="FFE6E6E6"/>
      </bottom>
      <diagonal/>
    </border>
    <border>
      <left/>
      <right/>
      <top style="thin">
        <color rgb="FFE6E6E6"/>
      </top>
      <bottom style="thin">
        <color rgb="FFE6E6E6"/>
      </bottom>
      <diagonal/>
    </border>
    <border>
      <left/>
      <right/>
      <top style="thin">
        <color rgb="FFE6E6E6"/>
      </top>
      <bottom/>
      <diagonal/>
    </border>
    <border>
      <left/>
      <right style="thin">
        <color rgb="FFE6E6E6"/>
      </right>
      <top/>
      <bottom style="thin">
        <color rgb="FFE6E6E6"/>
      </bottom>
      <diagonal/>
    </border>
    <border>
      <left style="thin">
        <color rgb="FFE6E6E6"/>
      </left>
      <right style="thin">
        <color rgb="FFE6E6E6"/>
      </right>
      <top/>
      <bottom style="thin">
        <color rgb="FFE6E6E6"/>
      </bottom>
      <diagonal/>
    </border>
    <border>
      <left style="thin">
        <color rgb="FFE6E6E6"/>
      </left>
      <right/>
      <top/>
      <bottom style="thin">
        <color rgb="FFE6E6E6"/>
      </bottom>
      <diagonal/>
    </border>
  </borders>
  <cellStyleXfs count="1">
    <xf numFmtId="0" fontId="0" fillId="0" borderId="0"/>
  </cellStyleXfs>
  <cellXfs count="87">
    <xf numFmtId="0" fontId="0" fillId="0" borderId="0" xfId="0"/>
    <xf numFmtId="0" fontId="1" fillId="0" borderId="0" xfId="0" applyFont="1" applyAlignment="1">
      <alignment vertical="center"/>
    </xf>
    <xf numFmtId="49" fontId="6" fillId="4" borderId="1" xfId="0" applyNumberFormat="1" applyFont="1" applyFill="1" applyBorder="1" applyAlignment="1">
      <alignment vertical="center"/>
    </xf>
    <xf numFmtId="49" fontId="6" fillId="4" borderId="2" xfId="0" applyNumberFormat="1" applyFont="1" applyFill="1" applyBorder="1" applyAlignment="1">
      <alignment vertical="center"/>
    </xf>
    <xf numFmtId="0" fontId="6" fillId="4" borderId="2" xfId="0" applyFont="1" applyFill="1" applyBorder="1" applyAlignment="1">
      <alignment vertical="center"/>
    </xf>
    <xf numFmtId="39" fontId="6" fillId="4" borderId="2" xfId="0" applyNumberFormat="1" applyFont="1" applyFill="1" applyBorder="1" applyAlignment="1">
      <alignment vertical="center"/>
    </xf>
    <xf numFmtId="0" fontId="6" fillId="4" borderId="3" xfId="0" applyFont="1" applyFill="1" applyBorder="1" applyAlignment="1">
      <alignment vertical="center"/>
    </xf>
    <xf numFmtId="49" fontId="3" fillId="5" borderId="1" xfId="0" applyNumberFormat="1" applyFont="1" applyFill="1" applyBorder="1" applyAlignment="1">
      <alignment vertical="center"/>
    </xf>
    <xf numFmtId="49" fontId="3" fillId="5" borderId="2" xfId="0" applyNumberFormat="1" applyFont="1" applyFill="1" applyBorder="1" applyAlignment="1">
      <alignment vertical="center"/>
    </xf>
    <xf numFmtId="49" fontId="3" fillId="5" borderId="3" xfId="0" applyNumberFormat="1" applyFont="1" applyFill="1" applyBorder="1" applyAlignment="1">
      <alignment vertical="center"/>
    </xf>
    <xf numFmtId="49" fontId="7" fillId="2" borderId="1" xfId="0" applyNumberFormat="1" applyFont="1" applyFill="1" applyBorder="1" applyAlignment="1">
      <alignment vertical="center"/>
    </xf>
    <xf numFmtId="49" fontId="7" fillId="2" borderId="2" xfId="0" applyNumberFormat="1" applyFont="1" applyFill="1" applyBorder="1" applyAlignment="1">
      <alignment vertical="center"/>
    </xf>
    <xf numFmtId="39" fontId="7" fillId="2" borderId="2" xfId="0" applyNumberFormat="1" applyFont="1" applyFill="1" applyBorder="1" applyAlignment="1">
      <alignment vertical="center"/>
    </xf>
    <xf numFmtId="0" fontId="7" fillId="2" borderId="3" xfId="0" applyFont="1" applyFill="1" applyBorder="1" applyAlignment="1">
      <alignment vertical="center"/>
    </xf>
    <xf numFmtId="49" fontId="7" fillId="6" borderId="1" xfId="0" applyNumberFormat="1" applyFont="1" applyFill="1" applyBorder="1" applyAlignment="1">
      <alignment vertical="center"/>
    </xf>
    <xf numFmtId="49" fontId="7" fillId="6" borderId="2" xfId="0" applyNumberFormat="1" applyFont="1" applyFill="1" applyBorder="1" applyAlignment="1">
      <alignment vertical="center"/>
    </xf>
    <xf numFmtId="39" fontId="7" fillId="6" borderId="2" xfId="0" applyNumberFormat="1" applyFont="1" applyFill="1" applyBorder="1" applyAlignment="1">
      <alignment vertical="center"/>
    </xf>
    <xf numFmtId="0" fontId="7" fillId="6" borderId="3" xfId="0" applyFont="1" applyFill="1" applyBorder="1" applyAlignment="1">
      <alignment vertical="center"/>
    </xf>
    <xf numFmtId="49" fontId="7" fillId="2" borderId="3" xfId="0" applyNumberFormat="1" applyFont="1" applyFill="1" applyBorder="1" applyAlignment="1">
      <alignment vertical="center"/>
    </xf>
    <xf numFmtId="49" fontId="7" fillId="6" borderId="3" xfId="0" applyNumberFormat="1" applyFont="1" applyFill="1" applyBorder="1" applyAlignment="1">
      <alignment vertical="center"/>
    </xf>
    <xf numFmtId="0" fontId="6" fillId="4" borderId="1" xfId="0" applyFont="1" applyFill="1" applyBorder="1" applyAlignment="1">
      <alignment vertical="center"/>
    </xf>
    <xf numFmtId="49" fontId="8" fillId="2" borderId="4" xfId="0" applyNumberFormat="1" applyFont="1" applyFill="1" applyBorder="1" applyAlignment="1">
      <alignment vertical="center"/>
    </xf>
    <xf numFmtId="49" fontId="8" fillId="2" borderId="5" xfId="0" applyNumberFormat="1" applyFont="1" applyFill="1" applyBorder="1" applyAlignment="1">
      <alignment vertical="center"/>
    </xf>
    <xf numFmtId="0" fontId="8" fillId="2" borderId="5" xfId="0" applyFont="1" applyFill="1" applyBorder="1" applyAlignment="1">
      <alignment vertical="center"/>
    </xf>
    <xf numFmtId="39" fontId="8" fillId="2" borderId="5" xfId="0" applyNumberFormat="1" applyFont="1" applyFill="1" applyBorder="1" applyAlignment="1">
      <alignment vertical="center"/>
    </xf>
    <xf numFmtId="0" fontId="8" fillId="2" borderId="6" xfId="0" applyFont="1" applyFill="1" applyBorder="1" applyAlignment="1">
      <alignment vertical="center"/>
    </xf>
    <xf numFmtId="49" fontId="9" fillId="2" borderId="1" xfId="0" applyNumberFormat="1" applyFont="1" applyFill="1" applyBorder="1" applyAlignment="1">
      <alignment vertical="center"/>
    </xf>
    <xf numFmtId="49" fontId="9" fillId="2" borderId="2" xfId="0" applyNumberFormat="1" applyFont="1" applyFill="1" applyBorder="1" applyAlignment="1">
      <alignment vertical="center"/>
    </xf>
    <xf numFmtId="39" fontId="9" fillId="2" borderId="2" xfId="0" applyNumberFormat="1" applyFont="1" applyFill="1" applyBorder="1" applyAlignment="1">
      <alignment vertical="center"/>
    </xf>
    <xf numFmtId="0" fontId="9" fillId="2" borderId="3" xfId="0" applyFont="1" applyFill="1" applyBorder="1" applyAlignment="1">
      <alignment vertical="center"/>
    </xf>
    <xf numFmtId="49" fontId="9" fillId="6" borderId="1" xfId="0" applyNumberFormat="1" applyFont="1" applyFill="1" applyBorder="1" applyAlignment="1">
      <alignment vertical="center"/>
    </xf>
    <xf numFmtId="49" fontId="9" fillId="6" borderId="2" xfId="0" applyNumberFormat="1" applyFont="1" applyFill="1" applyBorder="1" applyAlignment="1">
      <alignment vertical="center"/>
    </xf>
    <xf numFmtId="39" fontId="9" fillId="6" borderId="2" xfId="0" applyNumberFormat="1" applyFont="1" applyFill="1" applyBorder="1" applyAlignment="1">
      <alignment vertical="center"/>
    </xf>
    <xf numFmtId="0" fontId="9" fillId="6" borderId="3" xfId="0" applyFont="1" applyFill="1" applyBorder="1" applyAlignment="1">
      <alignment vertical="center"/>
    </xf>
    <xf numFmtId="49" fontId="9" fillId="2" borderId="3" xfId="0" applyNumberFormat="1" applyFont="1" applyFill="1" applyBorder="1" applyAlignment="1">
      <alignment vertical="center"/>
    </xf>
    <xf numFmtId="49" fontId="9" fillId="6" borderId="3" xfId="0" applyNumberFormat="1" applyFont="1" applyFill="1" applyBorder="1" applyAlignment="1">
      <alignment vertical="center"/>
    </xf>
    <xf numFmtId="0" fontId="10" fillId="4" borderId="1" xfId="0" applyFont="1" applyFill="1" applyBorder="1" applyAlignment="1">
      <alignment vertical="center"/>
    </xf>
    <xf numFmtId="49" fontId="10" fillId="4" borderId="2" xfId="0" applyNumberFormat="1" applyFont="1" applyFill="1" applyBorder="1" applyAlignment="1">
      <alignment vertical="center"/>
    </xf>
    <xf numFmtId="39" fontId="10" fillId="4" borderId="2" xfId="0" applyNumberFormat="1" applyFont="1" applyFill="1" applyBorder="1" applyAlignment="1">
      <alignment vertical="center"/>
    </xf>
    <xf numFmtId="0" fontId="10" fillId="4" borderId="3" xfId="0" applyFont="1" applyFill="1" applyBorder="1" applyAlignment="1">
      <alignment vertical="center"/>
    </xf>
    <xf numFmtId="49" fontId="10" fillId="4" borderId="1" xfId="0" applyNumberFormat="1" applyFont="1" applyFill="1" applyBorder="1" applyAlignment="1">
      <alignment vertical="center"/>
    </xf>
    <xf numFmtId="0" fontId="10" fillId="4" borderId="2" xfId="0" applyFont="1" applyFill="1" applyBorder="1" applyAlignment="1">
      <alignment vertical="center"/>
    </xf>
    <xf numFmtId="0" fontId="8" fillId="2" borderId="2" xfId="0" applyFont="1" applyFill="1" applyBorder="1" applyAlignment="1">
      <alignment vertical="center"/>
    </xf>
    <xf numFmtId="0" fontId="8" fillId="2" borderId="3" xfId="0" applyFont="1" applyFill="1" applyBorder="1" applyAlignment="1">
      <alignment vertical="center"/>
    </xf>
    <xf numFmtId="0" fontId="7" fillId="6" borderId="2" xfId="0" applyFont="1" applyFill="1" applyBorder="1" applyAlignment="1">
      <alignment vertical="center"/>
    </xf>
    <xf numFmtId="0" fontId="8" fillId="2" borderId="1" xfId="0" applyFont="1" applyFill="1" applyBorder="1" applyAlignment="1">
      <alignment vertical="center"/>
    </xf>
    <xf numFmtId="0" fontId="6" fillId="8" borderId="1" xfId="0" applyFont="1" applyFill="1" applyBorder="1" applyAlignment="1">
      <alignment vertical="center"/>
    </xf>
    <xf numFmtId="49" fontId="6" fillId="8" borderId="2" xfId="0" applyNumberFormat="1" applyFont="1" applyFill="1" applyBorder="1" applyAlignment="1">
      <alignment vertical="center"/>
    </xf>
    <xf numFmtId="39" fontId="6" fillId="8" borderId="2" xfId="0" applyNumberFormat="1" applyFont="1" applyFill="1" applyBorder="1" applyAlignment="1">
      <alignment vertical="center"/>
    </xf>
    <xf numFmtId="0" fontId="6" fillId="8" borderId="2" xfId="0" applyFont="1" applyFill="1" applyBorder="1" applyAlignment="1">
      <alignment vertical="center"/>
    </xf>
    <xf numFmtId="0" fontId="7" fillId="6" borderId="1" xfId="0" applyFont="1" applyFill="1" applyBorder="1" applyAlignment="1">
      <alignment vertical="center"/>
    </xf>
    <xf numFmtId="49" fontId="6" fillId="9" borderId="1" xfId="0" applyNumberFormat="1" applyFont="1" applyFill="1" applyBorder="1" applyAlignment="1">
      <alignment vertical="center"/>
    </xf>
    <xf numFmtId="0" fontId="6" fillId="9" borderId="2" xfId="0" applyFont="1" applyFill="1" applyBorder="1" applyAlignment="1">
      <alignment vertical="center"/>
    </xf>
    <xf numFmtId="39" fontId="6" fillId="9" borderId="2" xfId="0" applyNumberFormat="1" applyFont="1" applyFill="1" applyBorder="1" applyAlignment="1">
      <alignment vertical="center"/>
    </xf>
    <xf numFmtId="0" fontId="6" fillId="9" borderId="3" xfId="0" applyFont="1" applyFill="1" applyBorder="1" applyAlignment="1">
      <alignment vertical="center"/>
    </xf>
    <xf numFmtId="49" fontId="6" fillId="8" borderId="1" xfId="0" applyNumberFormat="1" applyFont="1" applyFill="1" applyBorder="1" applyAlignment="1">
      <alignment vertical="center"/>
    </xf>
    <xf numFmtId="0" fontId="6" fillId="8" borderId="3" xfId="0" applyFont="1" applyFill="1" applyBorder="1" applyAlignment="1">
      <alignment vertical="center"/>
    </xf>
    <xf numFmtId="49" fontId="12" fillId="8" borderId="1" xfId="0" applyNumberFormat="1" applyFont="1" applyFill="1" applyBorder="1" applyAlignment="1">
      <alignment vertical="center"/>
    </xf>
    <xf numFmtId="49" fontId="6" fillId="8" borderId="3" xfId="0" applyNumberFormat="1" applyFont="1" applyFill="1" applyBorder="1" applyAlignment="1">
      <alignment vertical="center"/>
    </xf>
    <xf numFmtId="0" fontId="1" fillId="0" borderId="1" xfId="0" applyFont="1" applyBorder="1" applyAlignment="1">
      <alignment vertical="center"/>
    </xf>
    <xf numFmtId="0" fontId="1" fillId="0" borderId="2" xfId="0" applyFont="1" applyBorder="1" applyAlignment="1">
      <alignment vertical="center"/>
    </xf>
    <xf numFmtId="0" fontId="1" fillId="0" borderId="3" xfId="0" applyFont="1" applyBorder="1" applyAlignment="1">
      <alignment vertical="center"/>
    </xf>
    <xf numFmtId="49" fontId="2" fillId="3" borderId="10" xfId="0" applyNumberFormat="1" applyFont="1" applyFill="1" applyBorder="1" applyAlignment="1">
      <alignment vertical="center"/>
    </xf>
    <xf numFmtId="0" fontId="3" fillId="3" borderId="11" xfId="0" applyFont="1" applyFill="1" applyBorder="1" applyAlignment="1">
      <alignment vertical="center"/>
    </xf>
    <xf numFmtId="0" fontId="3" fillId="3" borderId="12" xfId="0" applyFont="1" applyFill="1" applyBorder="1" applyAlignment="1">
      <alignment vertical="center"/>
    </xf>
    <xf numFmtId="49" fontId="4" fillId="3" borderId="1" xfId="0" applyNumberFormat="1" applyFont="1" applyFill="1" applyBorder="1" applyAlignment="1">
      <alignment vertical="center"/>
    </xf>
    <xf numFmtId="0" fontId="4" fillId="3" borderId="2" xfId="0" applyFont="1" applyFill="1" applyBorder="1" applyAlignment="1">
      <alignment vertical="center"/>
    </xf>
    <xf numFmtId="0" fontId="4" fillId="3" borderId="3" xfId="0" applyFont="1" applyFill="1" applyBorder="1" applyAlignment="1">
      <alignment vertical="center"/>
    </xf>
    <xf numFmtId="49" fontId="5" fillId="7" borderId="1" xfId="0" applyNumberFormat="1" applyFont="1" applyFill="1" applyBorder="1" applyAlignment="1">
      <alignment vertical="center"/>
    </xf>
    <xf numFmtId="0" fontId="6" fillId="7" borderId="2" xfId="0" applyFont="1" applyFill="1" applyBorder="1" applyAlignment="1">
      <alignment vertical="center"/>
    </xf>
    <xf numFmtId="0" fontId="6" fillId="7" borderId="3" xfId="0" applyFont="1" applyFill="1" applyBorder="1" applyAlignment="1">
      <alignment vertical="center"/>
    </xf>
    <xf numFmtId="39" fontId="1" fillId="0" borderId="2" xfId="0" applyNumberFormat="1" applyFont="1" applyBorder="1" applyAlignment="1">
      <alignment vertical="center"/>
    </xf>
    <xf numFmtId="39" fontId="6" fillId="7" borderId="2" xfId="0" applyNumberFormat="1" applyFont="1" applyFill="1" applyBorder="1" applyAlignment="1">
      <alignment vertical="center"/>
    </xf>
    <xf numFmtId="14" fontId="7" fillId="6" borderId="1" xfId="0" applyNumberFormat="1" applyFont="1" applyFill="1" applyBorder="1" applyAlignment="1">
      <alignment vertical="center"/>
    </xf>
    <xf numFmtId="49" fontId="6" fillId="9" borderId="2" xfId="0" applyNumberFormat="1" applyFont="1" applyFill="1" applyBorder="1" applyAlignment="1">
      <alignment horizontal="right" vertical="center"/>
    </xf>
    <xf numFmtId="49" fontId="6" fillId="9" borderId="3" xfId="0" applyNumberFormat="1" applyFont="1" applyFill="1" applyBorder="1" applyAlignment="1">
      <alignment horizontal="right" vertical="center"/>
    </xf>
    <xf numFmtId="49" fontId="11" fillId="2" borderId="4" xfId="0" applyNumberFormat="1" applyFont="1" applyFill="1" applyBorder="1" applyAlignment="1">
      <alignment horizontal="right" vertical="center"/>
    </xf>
    <xf numFmtId="49" fontId="11" fillId="2" borderId="5" xfId="0" applyNumberFormat="1" applyFont="1" applyFill="1" applyBorder="1" applyAlignment="1">
      <alignment horizontal="right" vertical="center"/>
    </xf>
    <xf numFmtId="49" fontId="11" fillId="2" borderId="6" xfId="0" applyNumberFormat="1" applyFont="1" applyFill="1" applyBorder="1" applyAlignment="1">
      <alignment horizontal="right" vertical="center"/>
    </xf>
    <xf numFmtId="49" fontId="2" fillId="3" borderId="7" xfId="0" applyNumberFormat="1" applyFont="1" applyFill="1" applyBorder="1" applyAlignment="1">
      <alignment horizontal="right" vertical="center"/>
    </xf>
    <xf numFmtId="49" fontId="4" fillId="3" borderId="8" xfId="0" applyNumberFormat="1" applyFont="1" applyFill="1" applyBorder="1" applyAlignment="1">
      <alignment horizontal="right" vertical="center"/>
    </xf>
    <xf numFmtId="49" fontId="13" fillId="0" borderId="0" xfId="0" applyNumberFormat="1" applyFont="1" applyAlignment="1">
      <alignment horizontal="right"/>
    </xf>
    <xf numFmtId="49" fontId="7" fillId="2" borderId="8" xfId="0" applyNumberFormat="1" applyFont="1" applyFill="1" applyBorder="1" applyAlignment="1">
      <alignment horizontal="right" vertical="center"/>
    </xf>
    <xf numFmtId="49" fontId="11" fillId="2" borderId="9" xfId="0" applyNumberFormat="1" applyFont="1" applyFill="1" applyBorder="1" applyAlignment="1">
      <alignment horizontal="right" vertical="center"/>
    </xf>
    <xf numFmtId="49" fontId="11" fillId="2" borderId="8" xfId="0" applyNumberFormat="1" applyFont="1" applyFill="1" applyBorder="1" applyAlignment="1">
      <alignment horizontal="right" vertical="center"/>
    </xf>
    <xf numFmtId="14" fontId="6" fillId="4" borderId="1" xfId="0" applyNumberFormat="1" applyFont="1" applyFill="1" applyBorder="1" applyAlignment="1">
      <alignment vertical="center"/>
    </xf>
    <xf numFmtId="49" fontId="14" fillId="9" borderId="1" xfId="0" applyNumberFormat="1" applyFont="1" applyFill="1" applyBorder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ערכת נושא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8EA1EA-69F3-4042-9124-2771AA7A2A9D}">
  <dimension ref="A1:E35"/>
  <sheetViews>
    <sheetView showGridLines="0" rightToLeft="1" workbookViewId="0">
      <pane ySplit="4" topLeftCell="A5" activePane="bottomLeft" state="frozenSplit"/>
      <selection pane="bottomLeft" sqref="A1:E1"/>
    </sheetView>
  </sheetViews>
  <sheetFormatPr defaultRowHeight="12.75" x14ac:dyDescent="0.2"/>
  <cols>
    <col min="1" max="1" width="12.875" style="1" customWidth="1"/>
    <col min="2" max="2" width="34.625" style="1" customWidth="1"/>
    <col min="3" max="4" width="14.875" style="1" customWidth="1"/>
    <col min="5" max="5" width="62.625" style="1" customWidth="1"/>
    <col min="6" max="16384" width="9" style="1"/>
  </cols>
  <sheetData>
    <row r="1" spans="1:5" ht="27.95" customHeight="1" x14ac:dyDescent="0.2">
      <c r="A1" s="79" t="s">
        <v>0</v>
      </c>
      <c r="B1" s="79"/>
      <c r="C1" s="79"/>
      <c r="D1" s="79"/>
      <c r="E1" s="79"/>
    </row>
    <row r="2" spans="1:5" ht="16.5" customHeight="1" x14ac:dyDescent="0.2">
      <c r="A2" s="80" t="s">
        <v>1</v>
      </c>
      <c r="B2" s="80"/>
      <c r="C2" s="80"/>
      <c r="D2" s="80"/>
      <c r="E2" s="80"/>
    </row>
    <row r="3" spans="1:5" ht="16.5" customHeight="1" x14ac:dyDescent="0.2">
      <c r="A3" s="2" t="s">
        <v>2</v>
      </c>
      <c r="B3" s="3" t="s">
        <v>3</v>
      </c>
      <c r="C3" s="4"/>
      <c r="D3" s="5">
        <v>336025.82</v>
      </c>
      <c r="E3" s="6"/>
    </row>
    <row r="4" spans="1:5" ht="16.5" customHeight="1" x14ac:dyDescent="0.2">
      <c r="A4" s="7" t="s">
        <v>4</v>
      </c>
      <c r="B4" s="8" t="s">
        <v>5</v>
      </c>
      <c r="C4" s="8" t="s">
        <v>6</v>
      </c>
      <c r="D4" s="8" t="s">
        <v>7</v>
      </c>
      <c r="E4" s="9" t="s">
        <v>8</v>
      </c>
    </row>
    <row r="5" spans="1:5" ht="16.5" customHeight="1" x14ac:dyDescent="0.2">
      <c r="A5" s="10" t="s">
        <v>2</v>
      </c>
      <c r="B5" s="11" t="s">
        <v>9</v>
      </c>
      <c r="C5" s="12">
        <v>90</v>
      </c>
      <c r="D5" s="12"/>
      <c r="E5" s="13"/>
    </row>
    <row r="6" spans="1:5" ht="16.5" customHeight="1" x14ac:dyDescent="0.2">
      <c r="A6" s="14" t="s">
        <v>2</v>
      </c>
      <c r="B6" s="15" t="s">
        <v>10</v>
      </c>
      <c r="C6" s="16">
        <v>24.75</v>
      </c>
      <c r="D6" s="16"/>
      <c r="E6" s="17"/>
    </row>
    <row r="7" spans="1:5" ht="16.5" customHeight="1" x14ac:dyDescent="0.2">
      <c r="A7" s="10" t="s">
        <v>2</v>
      </c>
      <c r="B7" s="11" t="s">
        <v>11</v>
      </c>
      <c r="C7" s="12">
        <v>6300</v>
      </c>
      <c r="D7" s="12"/>
      <c r="E7" s="18" t="s">
        <v>12</v>
      </c>
    </row>
    <row r="8" spans="1:5" ht="16.5" customHeight="1" x14ac:dyDescent="0.2">
      <c r="A8" s="14" t="s">
        <v>2</v>
      </c>
      <c r="B8" s="15" t="s">
        <v>13</v>
      </c>
      <c r="C8" s="16">
        <v>6300</v>
      </c>
      <c r="D8" s="16"/>
      <c r="E8" s="19" t="s">
        <v>12</v>
      </c>
    </row>
    <row r="9" spans="1:5" ht="16.5" customHeight="1" x14ac:dyDescent="0.2">
      <c r="A9" s="10" t="s">
        <v>14</v>
      </c>
      <c r="B9" s="11" t="s">
        <v>15</v>
      </c>
      <c r="C9" s="12">
        <v>8004</v>
      </c>
      <c r="D9" s="12"/>
      <c r="E9" s="13"/>
    </row>
    <row r="10" spans="1:5" ht="16.5" customHeight="1" x14ac:dyDescent="0.2">
      <c r="A10" s="14" t="s">
        <v>14</v>
      </c>
      <c r="B10" s="15" t="s">
        <v>16</v>
      </c>
      <c r="C10" s="16">
        <v>30000</v>
      </c>
      <c r="D10" s="16"/>
      <c r="E10" s="17"/>
    </row>
    <row r="11" spans="1:5" ht="16.5" customHeight="1" x14ac:dyDescent="0.2">
      <c r="A11" s="10" t="s">
        <v>17</v>
      </c>
      <c r="B11" s="11" t="s">
        <v>16</v>
      </c>
      <c r="C11" s="12">
        <v>25000</v>
      </c>
      <c r="D11" s="12"/>
      <c r="E11" s="18" t="s">
        <v>18</v>
      </c>
    </row>
    <row r="12" spans="1:5" ht="16.5" customHeight="1" x14ac:dyDescent="0.2">
      <c r="A12" s="14" t="s">
        <v>17</v>
      </c>
      <c r="B12" s="15" t="s">
        <v>16</v>
      </c>
      <c r="C12" s="16">
        <v>25000</v>
      </c>
      <c r="D12" s="16"/>
      <c r="E12" s="19" t="s">
        <v>19</v>
      </c>
    </row>
    <row r="13" spans="1:5" ht="16.5" customHeight="1" x14ac:dyDescent="0.2">
      <c r="A13" s="10" t="s">
        <v>17</v>
      </c>
      <c r="B13" s="11" t="s">
        <v>20</v>
      </c>
      <c r="C13" s="12">
        <v>5475.2</v>
      </c>
      <c r="D13" s="12"/>
      <c r="E13" s="18" t="s">
        <v>21</v>
      </c>
    </row>
    <row r="14" spans="1:5" ht="16.5" customHeight="1" x14ac:dyDescent="0.2">
      <c r="A14" s="14" t="s">
        <v>17</v>
      </c>
      <c r="B14" s="15" t="s">
        <v>22</v>
      </c>
      <c r="C14" s="16">
        <v>10282</v>
      </c>
      <c r="D14" s="16"/>
      <c r="E14" s="19" t="s">
        <v>21</v>
      </c>
    </row>
    <row r="15" spans="1:5" ht="16.5" customHeight="1" x14ac:dyDescent="0.2">
      <c r="A15" s="10" t="s">
        <v>23</v>
      </c>
      <c r="B15" s="11" t="s">
        <v>24</v>
      </c>
      <c r="C15" s="12">
        <v>3540</v>
      </c>
      <c r="D15" s="12"/>
      <c r="E15" s="18" t="s">
        <v>25</v>
      </c>
    </row>
    <row r="16" spans="1:5" ht="16.5" customHeight="1" x14ac:dyDescent="0.2">
      <c r="A16" s="14" t="s">
        <v>26</v>
      </c>
      <c r="B16" s="15" t="s">
        <v>27</v>
      </c>
      <c r="C16" s="16">
        <v>1981.1</v>
      </c>
      <c r="D16" s="16"/>
      <c r="E16" s="17"/>
    </row>
    <row r="17" spans="1:5" ht="16.5" customHeight="1" x14ac:dyDescent="0.2">
      <c r="A17" s="10" t="s">
        <v>26</v>
      </c>
      <c r="B17" s="11" t="s">
        <v>28</v>
      </c>
      <c r="C17" s="12">
        <v>12255</v>
      </c>
      <c r="D17" s="12"/>
      <c r="E17" s="18" t="s">
        <v>29</v>
      </c>
    </row>
    <row r="18" spans="1:5" ht="16.5" customHeight="1" x14ac:dyDescent="0.2">
      <c r="A18" s="14" t="s">
        <v>30</v>
      </c>
      <c r="B18" s="15" t="s">
        <v>31</v>
      </c>
      <c r="C18" s="16"/>
      <c r="D18" s="16">
        <v>108862</v>
      </c>
      <c r="E18" s="19" t="s">
        <v>32</v>
      </c>
    </row>
    <row r="19" spans="1:5" ht="16.5" customHeight="1" x14ac:dyDescent="0.2">
      <c r="A19" s="10" t="s">
        <v>33</v>
      </c>
      <c r="B19" s="11" t="s">
        <v>34</v>
      </c>
      <c r="C19" s="12">
        <v>166796</v>
      </c>
      <c r="D19" s="12"/>
      <c r="E19" s="18" t="s">
        <v>120</v>
      </c>
    </row>
    <row r="20" spans="1:5" ht="16.5" customHeight="1" x14ac:dyDescent="0.2">
      <c r="A20" s="14" t="s">
        <v>35</v>
      </c>
      <c r="B20" s="15" t="s">
        <v>36</v>
      </c>
      <c r="C20" s="16"/>
      <c r="D20" s="16">
        <v>166796</v>
      </c>
      <c r="E20" s="19" t="s">
        <v>37</v>
      </c>
    </row>
    <row r="21" spans="1:5" ht="16.5" customHeight="1" x14ac:dyDescent="0.2">
      <c r="A21" s="10" t="s">
        <v>35</v>
      </c>
      <c r="B21" s="11" t="s">
        <v>38</v>
      </c>
      <c r="C21" s="12">
        <v>17647.57</v>
      </c>
      <c r="D21" s="12"/>
      <c r="E21" s="13"/>
    </row>
    <row r="22" spans="1:5" ht="16.5" customHeight="1" x14ac:dyDescent="0.2">
      <c r="A22" s="14" t="s">
        <v>39</v>
      </c>
      <c r="B22" s="15" t="s">
        <v>40</v>
      </c>
      <c r="C22" s="16">
        <v>13740</v>
      </c>
      <c r="D22" s="16"/>
      <c r="E22" s="19" t="s">
        <v>41</v>
      </c>
    </row>
    <row r="23" spans="1:5" ht="16.5" customHeight="1" x14ac:dyDescent="0.2">
      <c r="A23" s="10" t="s">
        <v>39</v>
      </c>
      <c r="B23" s="11" t="s">
        <v>42</v>
      </c>
      <c r="C23" s="12">
        <v>7836</v>
      </c>
      <c r="D23" s="12"/>
      <c r="E23" s="18" t="s">
        <v>43</v>
      </c>
    </row>
    <row r="24" spans="1:5" ht="16.5" customHeight="1" x14ac:dyDescent="0.2">
      <c r="A24" s="14" t="s">
        <v>44</v>
      </c>
      <c r="B24" s="15" t="s">
        <v>45</v>
      </c>
      <c r="C24" s="16">
        <v>3.85</v>
      </c>
      <c r="D24" s="16"/>
      <c r="E24" s="17"/>
    </row>
    <row r="25" spans="1:5" ht="16.5" customHeight="1" x14ac:dyDescent="0.2">
      <c r="A25" s="10" t="s">
        <v>44</v>
      </c>
      <c r="B25" s="11" t="s">
        <v>46</v>
      </c>
      <c r="C25" s="12">
        <v>166796.54</v>
      </c>
      <c r="D25" s="12"/>
      <c r="E25" s="18" t="s">
        <v>121</v>
      </c>
    </row>
    <row r="26" spans="1:5" ht="16.5" customHeight="1" x14ac:dyDescent="0.2">
      <c r="A26" s="14" t="s">
        <v>47</v>
      </c>
      <c r="B26" s="15" t="s">
        <v>48</v>
      </c>
      <c r="C26" s="16">
        <v>4067</v>
      </c>
      <c r="D26" s="16"/>
      <c r="E26" s="17" t="s">
        <v>157</v>
      </c>
    </row>
    <row r="27" spans="1:5" ht="16.5" customHeight="1" x14ac:dyDescent="0.2">
      <c r="A27" s="10" t="s">
        <v>47</v>
      </c>
      <c r="B27" s="11" t="s">
        <v>49</v>
      </c>
      <c r="C27" s="12">
        <v>4334.12</v>
      </c>
      <c r="D27" s="12"/>
      <c r="E27" s="13"/>
    </row>
    <row r="28" spans="1:5" ht="16.5" customHeight="1" x14ac:dyDescent="0.2">
      <c r="A28" s="14" t="s">
        <v>47</v>
      </c>
      <c r="B28" s="15" t="s">
        <v>50</v>
      </c>
      <c r="C28" s="16">
        <v>17581.7</v>
      </c>
      <c r="D28" s="16"/>
      <c r="E28" s="17"/>
    </row>
    <row r="29" spans="1:5" ht="16.5" customHeight="1" x14ac:dyDescent="0.2">
      <c r="A29" s="10" t="s">
        <v>51</v>
      </c>
      <c r="B29" s="11" t="s">
        <v>28</v>
      </c>
      <c r="C29" s="12">
        <v>9600</v>
      </c>
      <c r="D29" s="12"/>
      <c r="E29" s="18" t="s">
        <v>52</v>
      </c>
    </row>
    <row r="30" spans="1:5" ht="16.5" customHeight="1" x14ac:dyDescent="0.2">
      <c r="A30" s="14" t="s">
        <v>51</v>
      </c>
      <c r="B30" s="15" t="s">
        <v>53</v>
      </c>
      <c r="C30" s="16">
        <v>1357</v>
      </c>
      <c r="D30" s="16"/>
      <c r="E30" s="19" t="s">
        <v>54</v>
      </c>
    </row>
    <row r="31" spans="1:5" ht="16.5" customHeight="1" x14ac:dyDescent="0.2">
      <c r="A31" s="10" t="s">
        <v>55</v>
      </c>
      <c r="B31" s="11" t="s">
        <v>16</v>
      </c>
      <c r="C31" s="12">
        <v>32951</v>
      </c>
      <c r="D31" s="12"/>
      <c r="E31" s="18" t="s">
        <v>119</v>
      </c>
    </row>
    <row r="32" spans="1:5" ht="16.5" customHeight="1" x14ac:dyDescent="0.2">
      <c r="A32" s="14" t="s">
        <v>56</v>
      </c>
      <c r="B32" s="15" t="s">
        <v>57</v>
      </c>
      <c r="C32" s="16">
        <v>8638</v>
      </c>
      <c r="D32" s="16"/>
      <c r="E32" s="17"/>
    </row>
    <row r="33" spans="1:5" ht="16.5" customHeight="1" x14ac:dyDescent="0.2">
      <c r="A33" s="10" t="s">
        <v>58</v>
      </c>
      <c r="B33" s="11" t="s">
        <v>16</v>
      </c>
      <c r="C33" s="12">
        <v>25000</v>
      </c>
      <c r="D33" s="12"/>
      <c r="E33" s="13"/>
    </row>
    <row r="34" spans="1:5" ht="16.5" customHeight="1" x14ac:dyDescent="0.2">
      <c r="A34" s="20"/>
      <c r="B34" s="3" t="s">
        <v>59</v>
      </c>
      <c r="C34" s="5">
        <v>610600.82999999996</v>
      </c>
      <c r="D34" s="5">
        <v>275658</v>
      </c>
      <c r="E34" s="6"/>
    </row>
    <row r="35" spans="1:5" ht="16.5" customHeight="1" x14ac:dyDescent="0.2">
      <c r="A35" s="21" t="s">
        <v>58</v>
      </c>
      <c r="B35" s="22" t="s">
        <v>60</v>
      </c>
      <c r="C35" s="23"/>
      <c r="D35" s="24">
        <v>1082.99</v>
      </c>
      <c r="E35" s="25"/>
    </row>
  </sheetData>
  <mergeCells count="2">
    <mergeCell ref="A1:E1"/>
    <mergeCell ref="A2:E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E52837-2054-410C-8877-64EAB80C703C}">
  <dimension ref="A1:E61"/>
  <sheetViews>
    <sheetView showGridLines="0" rightToLeft="1" workbookViewId="0">
      <pane ySplit="4" topLeftCell="A5" activePane="bottomLeft" state="frozenSplit"/>
      <selection pane="bottomLeft" sqref="A1:E1"/>
    </sheetView>
  </sheetViews>
  <sheetFormatPr defaultRowHeight="12.75" x14ac:dyDescent="0.2"/>
  <cols>
    <col min="1" max="1" width="12.875" style="1" customWidth="1"/>
    <col min="2" max="2" width="34.625" style="1" customWidth="1"/>
    <col min="3" max="4" width="14.875" style="1" customWidth="1"/>
    <col min="5" max="5" width="62.625" style="1" customWidth="1"/>
    <col min="6" max="16384" width="9" style="1"/>
  </cols>
  <sheetData>
    <row r="1" spans="1:5" ht="27.95" customHeight="1" x14ac:dyDescent="0.2">
      <c r="A1" s="79" t="s">
        <v>61</v>
      </c>
      <c r="B1" s="79"/>
      <c r="C1" s="79"/>
      <c r="D1" s="79"/>
      <c r="E1" s="79"/>
    </row>
    <row r="2" spans="1:5" ht="16.5" customHeight="1" x14ac:dyDescent="0.2">
      <c r="A2" s="80" t="s">
        <v>164</v>
      </c>
      <c r="B2" s="80"/>
      <c r="C2" s="80"/>
      <c r="D2" s="80"/>
      <c r="E2" s="80"/>
    </row>
    <row r="3" spans="1:5" ht="16.5" customHeight="1" x14ac:dyDescent="0.2">
      <c r="A3" s="2" t="s">
        <v>62</v>
      </c>
      <c r="B3" s="3" t="s">
        <v>3</v>
      </c>
      <c r="C3" s="4"/>
      <c r="D3" s="5">
        <v>1082.99</v>
      </c>
      <c r="E3" s="6"/>
    </row>
    <row r="4" spans="1:5" ht="16.5" customHeight="1" x14ac:dyDescent="0.2">
      <c r="A4" s="7" t="s">
        <v>4</v>
      </c>
      <c r="B4" s="8" t="s">
        <v>5</v>
      </c>
      <c r="C4" s="8" t="s">
        <v>6</v>
      </c>
      <c r="D4" s="8" t="s">
        <v>7</v>
      </c>
      <c r="E4" s="9" t="s">
        <v>8</v>
      </c>
    </row>
    <row r="5" spans="1:5" ht="16.5" customHeight="1" x14ac:dyDescent="0.2">
      <c r="A5" s="26" t="s">
        <v>63</v>
      </c>
      <c r="B5" s="27" t="s">
        <v>15</v>
      </c>
      <c r="C5" s="28">
        <v>8316.6200000000008</v>
      </c>
      <c r="D5" s="28"/>
      <c r="E5" s="29"/>
    </row>
    <row r="6" spans="1:5" ht="16.5" customHeight="1" x14ac:dyDescent="0.2">
      <c r="A6" s="30" t="s">
        <v>63</v>
      </c>
      <c r="B6" s="31" t="s">
        <v>64</v>
      </c>
      <c r="C6" s="32">
        <v>28.05</v>
      </c>
      <c r="D6" s="32"/>
      <c r="E6" s="33"/>
    </row>
    <row r="7" spans="1:5" ht="16.5" customHeight="1" x14ac:dyDescent="0.2">
      <c r="A7" s="26" t="s">
        <v>65</v>
      </c>
      <c r="B7" s="27" t="s">
        <v>66</v>
      </c>
      <c r="C7" s="28"/>
      <c r="D7" s="28">
        <v>771.37</v>
      </c>
      <c r="E7" s="34" t="s">
        <v>67</v>
      </c>
    </row>
    <row r="8" spans="1:5" ht="16.5" customHeight="1" x14ac:dyDescent="0.2">
      <c r="A8" s="30" t="s">
        <v>65</v>
      </c>
      <c r="B8" s="31" t="s">
        <v>68</v>
      </c>
      <c r="C8" s="32">
        <v>10761.6</v>
      </c>
      <c r="D8" s="32"/>
      <c r="E8" s="35" t="s">
        <v>123</v>
      </c>
    </row>
    <row r="9" spans="1:5" ht="16.5" customHeight="1" x14ac:dyDescent="0.2">
      <c r="A9" s="26" t="s">
        <v>69</v>
      </c>
      <c r="B9" s="27" t="s">
        <v>70</v>
      </c>
      <c r="C9" s="28"/>
      <c r="D9" s="28">
        <v>112968</v>
      </c>
      <c r="E9" s="34" t="s">
        <v>32</v>
      </c>
    </row>
    <row r="10" spans="1:5" ht="16.5" customHeight="1" x14ac:dyDescent="0.2">
      <c r="A10" s="30" t="s">
        <v>69</v>
      </c>
      <c r="B10" s="31" t="s">
        <v>144</v>
      </c>
      <c r="C10" s="32">
        <v>4130</v>
      </c>
      <c r="D10" s="32"/>
      <c r="E10" s="35" t="s">
        <v>145</v>
      </c>
    </row>
    <row r="11" spans="1:5" ht="16.5" customHeight="1" x14ac:dyDescent="0.2">
      <c r="A11" s="26" t="s">
        <v>69</v>
      </c>
      <c r="B11" s="27" t="s">
        <v>71</v>
      </c>
      <c r="C11" s="28">
        <v>19300</v>
      </c>
      <c r="D11" s="28"/>
      <c r="E11" s="34" t="s">
        <v>72</v>
      </c>
    </row>
    <row r="12" spans="1:5" ht="16.5" customHeight="1" x14ac:dyDescent="0.2">
      <c r="A12" s="30" t="s">
        <v>73</v>
      </c>
      <c r="B12" s="31" t="s">
        <v>24</v>
      </c>
      <c r="C12" s="32">
        <v>10620</v>
      </c>
      <c r="D12" s="32"/>
      <c r="E12" s="35" t="s">
        <v>74</v>
      </c>
    </row>
    <row r="13" spans="1:5" ht="16.5" customHeight="1" x14ac:dyDescent="0.2">
      <c r="A13" s="26" t="s">
        <v>75</v>
      </c>
      <c r="B13" s="27" t="s">
        <v>27</v>
      </c>
      <c r="C13" s="28">
        <v>10</v>
      </c>
      <c r="D13" s="28"/>
      <c r="E13" s="29"/>
    </row>
    <row r="14" spans="1:5" ht="16.5" customHeight="1" x14ac:dyDescent="0.2">
      <c r="A14" s="30" t="s">
        <v>76</v>
      </c>
      <c r="B14" s="31" t="s">
        <v>53</v>
      </c>
      <c r="C14" s="32">
        <v>1357</v>
      </c>
      <c r="D14" s="32"/>
      <c r="E14" s="35" t="s">
        <v>54</v>
      </c>
    </row>
    <row r="15" spans="1:5" ht="16.5" customHeight="1" x14ac:dyDescent="0.2">
      <c r="A15" s="26" t="s">
        <v>77</v>
      </c>
      <c r="B15" s="27" t="s">
        <v>28</v>
      </c>
      <c r="C15" s="28">
        <v>9600</v>
      </c>
      <c r="D15" s="28"/>
      <c r="E15" s="34" t="s">
        <v>52</v>
      </c>
    </row>
    <row r="16" spans="1:5" ht="16.5" customHeight="1" x14ac:dyDescent="0.2">
      <c r="A16" s="30" t="s">
        <v>78</v>
      </c>
      <c r="B16" s="31" t="s">
        <v>79</v>
      </c>
      <c r="C16" s="32"/>
      <c r="D16" s="32">
        <v>232921</v>
      </c>
      <c r="E16" s="35" t="s">
        <v>32</v>
      </c>
    </row>
    <row r="17" spans="1:5" ht="16.5" customHeight="1" x14ac:dyDescent="0.2">
      <c r="A17" s="26" t="s">
        <v>78</v>
      </c>
      <c r="B17" s="27" t="s">
        <v>38</v>
      </c>
      <c r="C17" s="28">
        <v>18689.04</v>
      </c>
      <c r="D17" s="28"/>
      <c r="E17" s="34" t="s">
        <v>80</v>
      </c>
    </row>
    <row r="18" spans="1:5" ht="16.5" customHeight="1" x14ac:dyDescent="0.2">
      <c r="A18" s="30" t="s">
        <v>81</v>
      </c>
      <c r="B18" s="31" t="s">
        <v>16</v>
      </c>
      <c r="C18" s="32">
        <v>58826</v>
      </c>
      <c r="D18" s="32"/>
      <c r="E18" s="35" t="s">
        <v>82</v>
      </c>
    </row>
    <row r="19" spans="1:5" ht="16.5" customHeight="1" x14ac:dyDescent="0.2">
      <c r="A19" s="26" t="s">
        <v>81</v>
      </c>
      <c r="B19" s="27" t="s">
        <v>45</v>
      </c>
      <c r="C19" s="28">
        <v>3.85</v>
      </c>
      <c r="D19" s="28"/>
      <c r="E19" s="29"/>
    </row>
    <row r="20" spans="1:5" ht="16.5" customHeight="1" x14ac:dyDescent="0.2">
      <c r="A20" s="30" t="s">
        <v>81</v>
      </c>
      <c r="B20" s="31" t="s">
        <v>83</v>
      </c>
      <c r="C20" s="32">
        <v>148359.04000000001</v>
      </c>
      <c r="D20" s="32"/>
      <c r="E20" s="35" t="s">
        <v>122</v>
      </c>
    </row>
    <row r="21" spans="1:5" ht="16.5" customHeight="1" x14ac:dyDescent="0.2">
      <c r="A21" s="26" t="s">
        <v>84</v>
      </c>
      <c r="B21" s="27" t="s">
        <v>124</v>
      </c>
      <c r="C21" s="28"/>
      <c r="D21" s="28">
        <v>56527</v>
      </c>
      <c r="E21" s="34" t="s">
        <v>125</v>
      </c>
    </row>
    <row r="22" spans="1:5" ht="16.5" customHeight="1" x14ac:dyDescent="0.2">
      <c r="A22" s="30" t="s">
        <v>84</v>
      </c>
      <c r="B22" s="31" t="s">
        <v>130</v>
      </c>
      <c r="C22" s="32">
        <v>17573.150000000001</v>
      </c>
      <c r="D22" s="32"/>
      <c r="E22" s="35" t="s">
        <v>131</v>
      </c>
    </row>
    <row r="23" spans="1:5" ht="16.5" customHeight="1" x14ac:dyDescent="0.2">
      <c r="A23" s="26" t="s">
        <v>84</v>
      </c>
      <c r="B23" s="27" t="s">
        <v>49</v>
      </c>
      <c r="C23" s="28">
        <v>4327.1899999999996</v>
      </c>
      <c r="D23" s="28"/>
      <c r="E23" s="34" t="s">
        <v>132</v>
      </c>
    </row>
    <row r="24" spans="1:5" ht="16.5" customHeight="1" x14ac:dyDescent="0.2">
      <c r="A24" s="30" t="s">
        <v>133</v>
      </c>
      <c r="B24" s="31" t="s">
        <v>48</v>
      </c>
      <c r="C24" s="32">
        <v>4136</v>
      </c>
      <c r="D24" s="32"/>
      <c r="E24" s="35" t="s">
        <v>154</v>
      </c>
    </row>
    <row r="25" spans="1:5" ht="16.5" customHeight="1" x14ac:dyDescent="0.2">
      <c r="A25" s="26" t="s">
        <v>158</v>
      </c>
      <c r="B25" s="27" t="s">
        <v>48</v>
      </c>
      <c r="C25" s="28">
        <v>3561</v>
      </c>
      <c r="D25" s="28"/>
      <c r="E25" s="34" t="s">
        <v>159</v>
      </c>
    </row>
    <row r="26" spans="1:5" ht="16.5" customHeight="1" x14ac:dyDescent="0.2">
      <c r="A26" s="30" t="s">
        <v>158</v>
      </c>
      <c r="B26" s="31" t="s">
        <v>16</v>
      </c>
      <c r="C26" s="32">
        <v>50000</v>
      </c>
      <c r="D26" s="32"/>
      <c r="E26" s="35" t="s">
        <v>161</v>
      </c>
    </row>
    <row r="27" spans="1:5" ht="16.5" customHeight="1" x14ac:dyDescent="0.2">
      <c r="A27" s="26" t="s">
        <v>160</v>
      </c>
      <c r="B27" s="27" t="s">
        <v>16</v>
      </c>
      <c r="C27" s="28">
        <v>30000</v>
      </c>
      <c r="D27" s="28"/>
      <c r="E27" s="34"/>
    </row>
    <row r="28" spans="1:5" ht="16.5" customHeight="1" x14ac:dyDescent="0.2">
      <c r="A28" s="36"/>
      <c r="B28" s="37" t="s">
        <v>59</v>
      </c>
      <c r="C28" s="38">
        <v>399598.54000000004</v>
      </c>
      <c r="D28" s="38">
        <v>403187.37</v>
      </c>
      <c r="E28" s="39"/>
    </row>
    <row r="29" spans="1:5" ht="16.5" customHeight="1" x14ac:dyDescent="0.2">
      <c r="A29" s="40" t="s">
        <v>162</v>
      </c>
      <c r="B29" s="37" t="s">
        <v>163</v>
      </c>
      <c r="C29" s="41"/>
      <c r="D29" s="38">
        <v>4671.82</v>
      </c>
      <c r="E29" s="39"/>
    </row>
    <row r="30" spans="1:5" customFormat="1" ht="16.5" customHeight="1" x14ac:dyDescent="0.2"/>
    <row r="31" spans="1:5" customFormat="1" ht="16.5" customHeight="1" x14ac:dyDescent="0.2">
      <c r="A31" s="81" t="s">
        <v>149</v>
      </c>
      <c r="B31" s="81"/>
      <c r="C31" s="81"/>
      <c r="D31" s="81"/>
      <c r="E31" s="81"/>
    </row>
    <row r="32" spans="1:5" customFormat="1" ht="16.5" customHeight="1" x14ac:dyDescent="0.2"/>
    <row r="33" customFormat="1" ht="16.5" customHeight="1" x14ac:dyDescent="0.2"/>
    <row r="34" customFormat="1" ht="16.5" customHeight="1" x14ac:dyDescent="0.2"/>
    <row r="35" customFormat="1" ht="16.5" customHeight="1" x14ac:dyDescent="0.2"/>
    <row r="36" customFormat="1" ht="16.5" customHeight="1" x14ac:dyDescent="0.2"/>
    <row r="37" customFormat="1" ht="16.5" customHeight="1" x14ac:dyDescent="0.2"/>
    <row r="38" customFormat="1" ht="16.5" customHeight="1" x14ac:dyDescent="0.2"/>
    <row r="39" customFormat="1" ht="16.5" customHeight="1" x14ac:dyDescent="0.2"/>
    <row r="40" customFormat="1" ht="16.5" customHeight="1" x14ac:dyDescent="0.2"/>
    <row r="41" customFormat="1" ht="16.5" customHeight="1" x14ac:dyDescent="0.2"/>
    <row r="42" customFormat="1" ht="16.5" customHeight="1" x14ac:dyDescent="0.2"/>
    <row r="43" customFormat="1" ht="16.5" customHeight="1" x14ac:dyDescent="0.2"/>
    <row r="44" customFormat="1" ht="16.5" customHeight="1" x14ac:dyDescent="0.2"/>
    <row r="45" customFormat="1" ht="16.5" customHeight="1" x14ac:dyDescent="0.2"/>
    <row r="46" customFormat="1" ht="16.5" customHeight="1" x14ac:dyDescent="0.2"/>
    <row r="47" customFormat="1" ht="16.5" customHeight="1" x14ac:dyDescent="0.2"/>
    <row r="48" customFormat="1" ht="16.5" customHeight="1" x14ac:dyDescent="0.2"/>
    <row r="49" customFormat="1" ht="16.5" customHeight="1" x14ac:dyDescent="0.2"/>
    <row r="50" customFormat="1" ht="16.5" customHeight="1" x14ac:dyDescent="0.2"/>
    <row r="51" customFormat="1" ht="16.5" customHeight="1" x14ac:dyDescent="0.2"/>
    <row r="52" customFormat="1" ht="16.5" customHeight="1" x14ac:dyDescent="0.2"/>
    <row r="53" customFormat="1" ht="16.5" customHeight="1" x14ac:dyDescent="0.2"/>
    <row r="54" customFormat="1" ht="16.5" customHeight="1" x14ac:dyDescent="0.2"/>
    <row r="55" customFormat="1" ht="16.5" customHeight="1" x14ac:dyDescent="0.2"/>
    <row r="56" customFormat="1" ht="16.5" customHeight="1" x14ac:dyDescent="0.2"/>
    <row r="57" customFormat="1" ht="16.5" customHeight="1" x14ac:dyDescent="0.2"/>
    <row r="58" customFormat="1" ht="16.5" customHeight="1" x14ac:dyDescent="0.2"/>
    <row r="59" customFormat="1" ht="16.5" customHeight="1" x14ac:dyDescent="0.2"/>
    <row r="60" customFormat="1" ht="14.25" x14ac:dyDescent="0.2"/>
    <row r="61" customFormat="1" ht="14.25" x14ac:dyDescent="0.2"/>
  </sheetData>
  <mergeCells count="3">
    <mergeCell ref="A1:E1"/>
    <mergeCell ref="A2:E2"/>
    <mergeCell ref="A31:E31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4C5FF3-3B33-4F6D-9A45-F8F9EBEA1437}">
  <sheetPr>
    <pageSetUpPr fitToPage="1"/>
  </sheetPr>
  <dimension ref="A1:E22"/>
  <sheetViews>
    <sheetView showGridLines="0" rightToLeft="1" workbookViewId="0">
      <pane ySplit="4" topLeftCell="A5" activePane="bottomLeft" state="frozenSplit"/>
      <selection pane="bottomLeft" activeCell="A15" sqref="A15:E18"/>
    </sheetView>
  </sheetViews>
  <sheetFormatPr defaultRowHeight="12.75" x14ac:dyDescent="0.2"/>
  <cols>
    <col min="1" max="1" width="13.625" style="1" customWidth="1"/>
    <col min="2" max="2" width="40.625" style="1" customWidth="1"/>
    <col min="3" max="4" width="14.875" style="1" customWidth="1"/>
    <col min="5" max="5" width="62.625" style="1" customWidth="1"/>
    <col min="6" max="16384" width="9" style="1"/>
  </cols>
  <sheetData>
    <row r="1" spans="1:5" ht="27.95" customHeight="1" x14ac:dyDescent="0.2">
      <c r="A1" s="62" t="s">
        <v>165</v>
      </c>
      <c r="B1" s="63"/>
      <c r="C1" s="63"/>
      <c r="D1" s="63"/>
      <c r="E1" s="64"/>
    </row>
    <row r="2" spans="1:5" ht="16.5" customHeight="1" x14ac:dyDescent="0.2">
      <c r="A2" s="65" t="s">
        <v>189</v>
      </c>
      <c r="B2" s="66"/>
      <c r="C2" s="66"/>
      <c r="D2" s="66"/>
      <c r="E2" s="67"/>
    </row>
    <row r="3" spans="1:5" ht="16.5" customHeight="1" x14ac:dyDescent="0.2">
      <c r="A3" s="2" t="s">
        <v>137</v>
      </c>
      <c r="B3" s="3" t="s">
        <v>3</v>
      </c>
      <c r="C3" s="4"/>
      <c r="D3" s="5">
        <v>4671.82</v>
      </c>
      <c r="E3" s="6"/>
    </row>
    <row r="4" spans="1:5" ht="16.5" customHeight="1" x14ac:dyDescent="0.2">
      <c r="A4" s="7" t="s">
        <v>4</v>
      </c>
      <c r="B4" s="8" t="s">
        <v>5</v>
      </c>
      <c r="C4" s="8" t="s">
        <v>6</v>
      </c>
      <c r="D4" s="8" t="s">
        <v>7</v>
      </c>
      <c r="E4" s="9" t="s">
        <v>8</v>
      </c>
    </row>
    <row r="5" spans="1:5" ht="16.5" customHeight="1" x14ac:dyDescent="0.2">
      <c r="A5" s="10" t="s">
        <v>137</v>
      </c>
      <c r="B5" s="11" t="s">
        <v>138</v>
      </c>
      <c r="C5" s="12">
        <v>19.8</v>
      </c>
      <c r="D5" s="12"/>
      <c r="E5" s="13"/>
    </row>
    <row r="6" spans="1:5" ht="16.5" customHeight="1" x14ac:dyDescent="0.2">
      <c r="A6" s="14" t="s">
        <v>85</v>
      </c>
      <c r="B6" s="15" t="s">
        <v>15</v>
      </c>
      <c r="C6" s="16">
        <v>8504.7199999999993</v>
      </c>
      <c r="D6" s="16"/>
      <c r="E6" s="19" t="s">
        <v>168</v>
      </c>
    </row>
    <row r="7" spans="1:5" ht="16.5" customHeight="1" x14ac:dyDescent="0.2">
      <c r="A7" s="10" t="s">
        <v>85</v>
      </c>
      <c r="B7" s="11" t="s">
        <v>16</v>
      </c>
      <c r="C7" s="12">
        <v>16000</v>
      </c>
      <c r="D7" s="12"/>
      <c r="E7" s="18" t="s">
        <v>169</v>
      </c>
    </row>
    <row r="8" spans="1:5" ht="16.5" customHeight="1" x14ac:dyDescent="0.2">
      <c r="A8" s="14" t="s">
        <v>170</v>
      </c>
      <c r="B8" s="15" t="s">
        <v>42</v>
      </c>
      <c r="C8" s="16">
        <v>27</v>
      </c>
      <c r="D8" s="16"/>
      <c r="E8" s="19" t="s">
        <v>171</v>
      </c>
    </row>
    <row r="9" spans="1:5" ht="16.5" customHeight="1" x14ac:dyDescent="0.2">
      <c r="A9" s="10" t="s">
        <v>172</v>
      </c>
      <c r="B9" s="11" t="s">
        <v>181</v>
      </c>
      <c r="C9" s="12"/>
      <c r="D9" s="12">
        <f>19700</f>
        <v>19700</v>
      </c>
      <c r="E9" s="13" t="s">
        <v>173</v>
      </c>
    </row>
    <row r="10" spans="1:5" ht="16.5" customHeight="1" x14ac:dyDescent="0.2">
      <c r="A10" s="14" t="s">
        <v>174</v>
      </c>
      <c r="B10" s="15" t="s">
        <v>181</v>
      </c>
      <c r="C10" s="16"/>
      <c r="D10" s="16">
        <f>19770</f>
        <v>19770</v>
      </c>
      <c r="E10" s="19" t="s">
        <v>175</v>
      </c>
    </row>
    <row r="11" spans="1:5" ht="16.5" customHeight="1" x14ac:dyDescent="0.2">
      <c r="A11" s="10" t="s">
        <v>174</v>
      </c>
      <c r="B11" s="11" t="s">
        <v>53</v>
      </c>
      <c r="C11" s="12">
        <f>1357</f>
        <v>1357</v>
      </c>
      <c r="D11" s="12"/>
      <c r="E11" s="13" t="s">
        <v>166</v>
      </c>
    </row>
    <row r="12" spans="1:5" ht="16.5" customHeight="1" x14ac:dyDescent="0.2">
      <c r="A12" s="14" t="s">
        <v>174</v>
      </c>
      <c r="B12" s="15" t="s">
        <v>176</v>
      </c>
      <c r="C12" s="16">
        <f>19770</f>
        <v>19770</v>
      </c>
      <c r="D12" s="16"/>
      <c r="E12" s="19" t="s">
        <v>177</v>
      </c>
    </row>
    <row r="13" spans="1:5" ht="16.5" customHeight="1" x14ac:dyDescent="0.2">
      <c r="A13" s="10" t="s">
        <v>139</v>
      </c>
      <c r="B13" s="11" t="s">
        <v>178</v>
      </c>
      <c r="C13" s="12"/>
      <c r="D13" s="12">
        <f>19770</f>
        <v>19770</v>
      </c>
      <c r="E13" s="13" t="s">
        <v>179</v>
      </c>
    </row>
    <row r="14" spans="1:5" ht="16.5" customHeight="1" x14ac:dyDescent="0.2">
      <c r="A14" s="14" t="s">
        <v>126</v>
      </c>
      <c r="B14" s="15" t="s">
        <v>38</v>
      </c>
      <c r="C14" s="16">
        <f>18895.54</f>
        <v>18895.54</v>
      </c>
      <c r="D14" s="16"/>
      <c r="E14" s="19" t="s">
        <v>180</v>
      </c>
    </row>
    <row r="15" spans="1:5" ht="16.5" customHeight="1" x14ac:dyDescent="0.2">
      <c r="A15" s="14" t="s">
        <v>129</v>
      </c>
      <c r="B15" s="15" t="s">
        <v>49</v>
      </c>
      <c r="C15" s="16">
        <v>4329.51</v>
      </c>
      <c r="D15" s="16"/>
      <c r="E15" s="19" t="s">
        <v>182</v>
      </c>
    </row>
    <row r="16" spans="1:5" ht="16.5" customHeight="1" x14ac:dyDescent="0.2">
      <c r="A16" s="14" t="s">
        <v>150</v>
      </c>
      <c r="B16" s="15" t="s">
        <v>48</v>
      </c>
      <c r="C16" s="16">
        <v>4136</v>
      </c>
      <c r="D16" s="16"/>
      <c r="E16" s="19" t="s">
        <v>183</v>
      </c>
    </row>
    <row r="17" spans="1:5" ht="16.5" customHeight="1" x14ac:dyDescent="0.2">
      <c r="A17" s="14" t="s">
        <v>184</v>
      </c>
      <c r="B17" s="15" t="s">
        <v>79</v>
      </c>
      <c r="C17" s="16"/>
      <c r="D17" s="16">
        <v>150000</v>
      </c>
      <c r="E17" s="19" t="s">
        <v>185</v>
      </c>
    </row>
    <row r="18" spans="1:5" ht="16.5" customHeight="1" x14ac:dyDescent="0.2">
      <c r="A18" s="14" t="s">
        <v>143</v>
      </c>
      <c r="B18" s="15" t="s">
        <v>186</v>
      </c>
      <c r="C18" s="16">
        <v>82.32</v>
      </c>
      <c r="D18" s="16"/>
      <c r="E18" s="19" t="s">
        <v>187</v>
      </c>
    </row>
    <row r="19" spans="1:5" ht="16.5" customHeight="1" x14ac:dyDescent="0.2">
      <c r="A19" s="20"/>
      <c r="B19" s="3" t="s">
        <v>59</v>
      </c>
      <c r="C19" s="5">
        <f>SUM(C5:C18)</f>
        <v>73121.89</v>
      </c>
      <c r="D19" s="5">
        <f>SUM(D5:D18)</f>
        <v>209240</v>
      </c>
      <c r="E19" s="6"/>
    </row>
    <row r="20" spans="1:5" ht="16.5" customHeight="1" x14ac:dyDescent="0.2">
      <c r="A20" s="2" t="s">
        <v>143</v>
      </c>
      <c r="B20" s="3" t="s">
        <v>188</v>
      </c>
      <c r="C20" s="5"/>
      <c r="D20" s="5">
        <f>D3-C19+D19</f>
        <v>140789.93</v>
      </c>
      <c r="E20" s="6"/>
    </row>
    <row r="21" spans="1:5" ht="16.5" customHeight="1" x14ac:dyDescent="0.2">
      <c r="A21" s="59"/>
      <c r="B21" s="60"/>
      <c r="C21" s="71"/>
      <c r="D21" s="71"/>
      <c r="E21" s="61"/>
    </row>
    <row r="22" spans="1:5" x14ac:dyDescent="0.2">
      <c r="A22" s="1" t="s">
        <v>190</v>
      </c>
    </row>
  </sheetData>
  <pageMargins left="0.7" right="0.7" top="0.75" bottom="0.75" header="0.3" footer="0.3"/>
  <pageSetup paperSize="9" scale="69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5482F4-EF9A-40E9-9AF7-E753425863EC}">
  <sheetPr>
    <pageSetUpPr fitToPage="1"/>
  </sheetPr>
  <dimension ref="A1:E44"/>
  <sheetViews>
    <sheetView showGridLines="0" rightToLeft="1" tabSelected="1" workbookViewId="0">
      <pane ySplit="4" topLeftCell="A5" activePane="bottomLeft" state="frozenSplit"/>
      <selection pane="bottomLeft" activeCell="A9" sqref="A9:XFD24"/>
    </sheetView>
  </sheetViews>
  <sheetFormatPr defaultRowHeight="12.75" x14ac:dyDescent="0.2"/>
  <cols>
    <col min="1" max="1" width="13.625" style="1" customWidth="1"/>
    <col min="2" max="2" width="40.625" style="1" customWidth="1"/>
    <col min="3" max="4" width="14.875" style="1" customWidth="1"/>
    <col min="5" max="5" width="62.625" style="1" customWidth="1"/>
    <col min="6" max="16384" width="9" style="1"/>
  </cols>
  <sheetData>
    <row r="1" spans="1:5" ht="27.95" customHeight="1" x14ac:dyDescent="0.2">
      <c r="A1" s="62" t="s">
        <v>191</v>
      </c>
      <c r="B1" s="63"/>
      <c r="C1" s="63"/>
      <c r="D1" s="63"/>
      <c r="E1" s="64"/>
    </row>
    <row r="2" spans="1:5" ht="16.5" customHeight="1" x14ac:dyDescent="0.2">
      <c r="A2" s="65" t="s">
        <v>236</v>
      </c>
      <c r="B2" s="66"/>
      <c r="C2" s="66"/>
      <c r="D2" s="66"/>
      <c r="E2" s="67"/>
    </row>
    <row r="3" spans="1:5" ht="16.5" customHeight="1" x14ac:dyDescent="0.2">
      <c r="A3" s="2" t="s">
        <v>192</v>
      </c>
      <c r="B3" s="3" t="s">
        <v>3</v>
      </c>
      <c r="C3" s="4"/>
      <c r="D3" s="5">
        <f>'תזרים ספטמבר 2026'!D20</f>
        <v>140789.93</v>
      </c>
      <c r="E3" s="6"/>
    </row>
    <row r="4" spans="1:5" ht="16.5" customHeight="1" x14ac:dyDescent="0.2">
      <c r="A4" s="7" t="s">
        <v>4</v>
      </c>
      <c r="B4" s="8" t="s">
        <v>5</v>
      </c>
      <c r="C4" s="8" t="s">
        <v>6</v>
      </c>
      <c r="D4" s="8" t="s">
        <v>7</v>
      </c>
      <c r="E4" s="9" t="s">
        <v>8</v>
      </c>
    </row>
    <row r="5" spans="1:5" ht="16.5" customHeight="1" x14ac:dyDescent="0.2">
      <c r="A5" s="10" t="s">
        <v>192</v>
      </c>
      <c r="B5" s="11" t="s">
        <v>9</v>
      </c>
      <c r="C5" s="12">
        <v>3.91</v>
      </c>
      <c r="D5" s="12"/>
      <c r="E5" s="13"/>
    </row>
    <row r="6" spans="1:5" ht="16.5" customHeight="1" x14ac:dyDescent="0.2">
      <c r="A6" s="14" t="s">
        <v>192</v>
      </c>
      <c r="B6" s="15" t="s">
        <v>138</v>
      </c>
      <c r="C6" s="16">
        <v>9.9</v>
      </c>
      <c r="D6" s="16"/>
      <c r="E6" s="19"/>
    </row>
    <row r="7" spans="1:5" ht="16.5" customHeight="1" x14ac:dyDescent="0.2">
      <c r="A7" s="10" t="s">
        <v>193</v>
      </c>
      <c r="B7" s="11" t="s">
        <v>15</v>
      </c>
      <c r="C7" s="12">
        <v>2989.35</v>
      </c>
      <c r="D7" s="12"/>
      <c r="E7" s="18"/>
    </row>
    <row r="8" spans="1:5" ht="16.5" customHeight="1" x14ac:dyDescent="0.2">
      <c r="A8" s="14" t="s">
        <v>194</v>
      </c>
      <c r="B8" s="15" t="s">
        <v>195</v>
      </c>
      <c r="C8" s="16">
        <v>2090</v>
      </c>
      <c r="D8" s="16"/>
      <c r="E8" s="19"/>
    </row>
    <row r="9" spans="1:5" ht="16.5" customHeight="1" x14ac:dyDescent="0.2">
      <c r="A9" s="73">
        <v>46300</v>
      </c>
      <c r="B9" s="15" t="s">
        <v>212</v>
      </c>
      <c r="C9" s="16">
        <v>82.62</v>
      </c>
      <c r="D9" s="16"/>
      <c r="E9" s="19" t="s">
        <v>213</v>
      </c>
    </row>
    <row r="10" spans="1:5" ht="16.5" customHeight="1" x14ac:dyDescent="0.2">
      <c r="A10" s="73">
        <v>46300</v>
      </c>
      <c r="B10" s="15" t="s">
        <v>48</v>
      </c>
      <c r="C10" s="16">
        <v>1358</v>
      </c>
      <c r="D10" s="16"/>
      <c r="E10" s="19" t="s">
        <v>214</v>
      </c>
    </row>
    <row r="11" spans="1:5" ht="16.5" customHeight="1" x14ac:dyDescent="0.2">
      <c r="A11" s="73">
        <v>46300</v>
      </c>
      <c r="B11" s="15" t="s">
        <v>215</v>
      </c>
      <c r="C11" s="16">
        <v>3409.28</v>
      </c>
      <c r="D11" s="16"/>
      <c r="E11" s="19" t="s">
        <v>216</v>
      </c>
    </row>
    <row r="12" spans="1:5" ht="16.5" customHeight="1" x14ac:dyDescent="0.2">
      <c r="A12" s="73">
        <v>46300</v>
      </c>
      <c r="B12" s="15" t="s">
        <v>217</v>
      </c>
      <c r="C12" s="16">
        <v>60000</v>
      </c>
      <c r="D12" s="16"/>
      <c r="E12" s="19" t="s">
        <v>218</v>
      </c>
    </row>
    <row r="13" spans="1:5" ht="16.5" customHeight="1" x14ac:dyDescent="0.2">
      <c r="A13" s="73">
        <v>46301</v>
      </c>
      <c r="B13" s="15" t="s">
        <v>219</v>
      </c>
      <c r="C13" s="16"/>
      <c r="D13" s="16">
        <v>60000</v>
      </c>
      <c r="E13" s="19" t="s">
        <v>220</v>
      </c>
    </row>
    <row r="14" spans="1:5" ht="16.5" customHeight="1" x14ac:dyDescent="0.2">
      <c r="A14" s="73">
        <v>46301</v>
      </c>
      <c r="B14" s="15" t="s">
        <v>217</v>
      </c>
      <c r="C14" s="16">
        <v>43023.44</v>
      </c>
      <c r="D14" s="16"/>
      <c r="E14" s="19" t="s">
        <v>221</v>
      </c>
    </row>
    <row r="15" spans="1:5" ht="16.5" customHeight="1" x14ac:dyDescent="0.2">
      <c r="A15" s="73">
        <v>46302</v>
      </c>
      <c r="B15" s="15" t="s">
        <v>219</v>
      </c>
      <c r="C15" s="16"/>
      <c r="D15" s="16">
        <v>43023.44</v>
      </c>
      <c r="E15" s="19" t="s">
        <v>222</v>
      </c>
    </row>
    <row r="16" spans="1:5" ht="16.5" customHeight="1" x14ac:dyDescent="0.2">
      <c r="A16" s="73">
        <v>46302</v>
      </c>
      <c r="B16" s="15" t="s">
        <v>22</v>
      </c>
      <c r="C16" s="16">
        <v>22212</v>
      </c>
      <c r="D16" s="16"/>
      <c r="E16" s="19" t="s">
        <v>223</v>
      </c>
    </row>
    <row r="17" spans="1:5" ht="16.5" customHeight="1" x14ac:dyDescent="0.2">
      <c r="A17" s="73">
        <v>46302</v>
      </c>
      <c r="B17" s="15" t="s">
        <v>224</v>
      </c>
      <c r="C17" s="16">
        <v>3.85</v>
      </c>
      <c r="D17" s="16"/>
      <c r="E17" s="19" t="s">
        <v>225</v>
      </c>
    </row>
    <row r="18" spans="1:5" ht="16.5" customHeight="1" x14ac:dyDescent="0.2">
      <c r="A18" s="73">
        <v>46302</v>
      </c>
      <c r="B18" s="15" t="s">
        <v>226</v>
      </c>
      <c r="C18" s="16">
        <v>60000</v>
      </c>
      <c r="D18" s="16"/>
      <c r="E18" s="19" t="s">
        <v>227</v>
      </c>
    </row>
    <row r="19" spans="1:5" ht="16.5" customHeight="1" x14ac:dyDescent="0.2">
      <c r="A19" s="73">
        <v>46303</v>
      </c>
      <c r="B19" s="15" t="s">
        <v>228</v>
      </c>
      <c r="C19" s="16">
        <v>20000</v>
      </c>
      <c r="D19" s="16"/>
      <c r="E19" s="19" t="s">
        <v>229</v>
      </c>
    </row>
    <row r="20" spans="1:5" ht="16.5" customHeight="1" x14ac:dyDescent="0.2">
      <c r="A20" s="73">
        <v>46303</v>
      </c>
      <c r="B20" s="15" t="s">
        <v>230</v>
      </c>
      <c r="C20" s="16">
        <v>20000</v>
      </c>
      <c r="D20" s="16"/>
      <c r="E20" s="19" t="s">
        <v>231</v>
      </c>
    </row>
    <row r="21" spans="1:5" ht="16.5" customHeight="1" x14ac:dyDescent="0.2">
      <c r="A21" s="73">
        <v>46306</v>
      </c>
      <c r="B21" s="15" t="s">
        <v>232</v>
      </c>
      <c r="C21" s="16"/>
      <c r="D21" s="16">
        <v>20000</v>
      </c>
      <c r="E21" s="19" t="s">
        <v>233</v>
      </c>
    </row>
    <row r="22" spans="1:5" ht="16.5" customHeight="1" x14ac:dyDescent="0.2">
      <c r="A22" s="73">
        <v>46306</v>
      </c>
      <c r="B22" s="15" t="s">
        <v>9</v>
      </c>
      <c r="C22" s="16">
        <v>86.09</v>
      </c>
      <c r="D22" s="16"/>
      <c r="E22" s="19" t="s">
        <v>225</v>
      </c>
    </row>
    <row r="23" spans="1:5" ht="16.5" customHeight="1" x14ac:dyDescent="0.2">
      <c r="A23" s="73">
        <v>46307</v>
      </c>
      <c r="B23" s="15" t="s">
        <v>224</v>
      </c>
      <c r="C23" s="16">
        <v>3.85</v>
      </c>
      <c r="D23" s="16"/>
      <c r="E23" s="19" t="s">
        <v>225</v>
      </c>
    </row>
    <row r="24" spans="1:5" ht="16.5" customHeight="1" x14ac:dyDescent="0.2">
      <c r="A24" s="73">
        <v>46307</v>
      </c>
      <c r="B24" s="15" t="s">
        <v>226</v>
      </c>
      <c r="C24" s="16">
        <v>43023.44</v>
      </c>
      <c r="D24" s="16"/>
      <c r="E24" s="19" t="s">
        <v>234</v>
      </c>
    </row>
    <row r="25" spans="1:5" ht="16.5" customHeight="1" x14ac:dyDescent="0.2">
      <c r="A25" s="20"/>
      <c r="B25" s="3" t="s">
        <v>59</v>
      </c>
      <c r="C25" s="5">
        <f>SUM(C5:C24)</f>
        <v>278295.73</v>
      </c>
      <c r="D25" s="5">
        <f>SUM(D5:D24)</f>
        <v>123023.44</v>
      </c>
      <c r="E25" s="6"/>
    </row>
    <row r="26" spans="1:5" ht="16.5" customHeight="1" x14ac:dyDescent="0.2">
      <c r="A26" s="85">
        <v>46307</v>
      </c>
      <c r="B26" s="3" t="s">
        <v>235</v>
      </c>
      <c r="C26" s="5"/>
      <c r="D26" s="5">
        <f>D3-C25+D25</f>
        <v>-14482.359999999986</v>
      </c>
      <c r="E26" s="6"/>
    </row>
    <row r="27" spans="1:5" ht="16.5" customHeight="1" x14ac:dyDescent="0.2">
      <c r="A27" s="59"/>
      <c r="B27" s="60"/>
      <c r="C27" s="71"/>
      <c r="D27" s="71"/>
      <c r="E27" s="61"/>
    </row>
    <row r="28" spans="1:5" ht="16.5" customHeight="1" x14ac:dyDescent="0.2">
      <c r="A28" s="68" t="s">
        <v>196</v>
      </c>
      <c r="B28" s="69"/>
      <c r="C28" s="72"/>
      <c r="D28" s="72"/>
      <c r="E28" s="70"/>
    </row>
    <row r="29" spans="1:5" ht="16.5" customHeight="1" x14ac:dyDescent="0.2">
      <c r="A29" s="14" t="s">
        <v>197</v>
      </c>
      <c r="B29" s="15" t="s">
        <v>38</v>
      </c>
      <c r="C29" s="16">
        <v>18310.560000000001</v>
      </c>
      <c r="D29" s="16"/>
      <c r="E29" s="19" t="s">
        <v>237</v>
      </c>
    </row>
    <row r="30" spans="1:5" ht="16.5" customHeight="1" x14ac:dyDescent="0.2">
      <c r="A30" s="14" t="s">
        <v>198</v>
      </c>
      <c r="B30" s="15" t="s">
        <v>49</v>
      </c>
      <c r="C30" s="16">
        <v>4325.67</v>
      </c>
      <c r="D30" s="16"/>
      <c r="E30" s="19" t="s">
        <v>238</v>
      </c>
    </row>
    <row r="31" spans="1:5" ht="16.5" customHeight="1" x14ac:dyDescent="0.2">
      <c r="A31" s="14" t="s">
        <v>152</v>
      </c>
      <c r="B31" s="15" t="s">
        <v>48</v>
      </c>
      <c r="C31" s="16">
        <v>4136</v>
      </c>
      <c r="D31" s="16"/>
      <c r="E31" s="19" t="s">
        <v>199</v>
      </c>
    </row>
    <row r="32" spans="1:5" ht="16.5" customHeight="1" x14ac:dyDescent="0.2">
      <c r="A32" s="20"/>
      <c r="B32" s="3" t="s">
        <v>200</v>
      </c>
      <c r="C32" s="5">
        <f>SUM(C29:C31)</f>
        <v>26772.230000000003</v>
      </c>
      <c r="D32" s="5"/>
      <c r="E32" s="6"/>
    </row>
    <row r="33" spans="1:5" ht="16.5" customHeight="1" x14ac:dyDescent="0.2">
      <c r="A33" s="59"/>
      <c r="B33" s="60"/>
      <c r="C33" s="71"/>
      <c r="D33" s="71"/>
      <c r="E33" s="61"/>
    </row>
    <row r="34" spans="1:5" ht="16.5" customHeight="1" x14ac:dyDescent="0.2">
      <c r="A34" s="68" t="s">
        <v>210</v>
      </c>
      <c r="B34" s="69"/>
      <c r="C34" s="72"/>
      <c r="D34" s="72"/>
      <c r="E34" s="70"/>
    </row>
    <row r="35" spans="1:5" ht="16.5" customHeight="1" x14ac:dyDescent="0.2">
      <c r="A35" s="10" t="s">
        <v>201</v>
      </c>
      <c r="B35" s="11" t="s">
        <v>53</v>
      </c>
      <c r="C35" s="12">
        <v>1357</v>
      </c>
      <c r="D35" s="12"/>
      <c r="E35" s="18" t="s">
        <v>166</v>
      </c>
    </row>
    <row r="36" spans="1:5" ht="16.5" customHeight="1" x14ac:dyDescent="0.2">
      <c r="A36" s="14" t="s">
        <v>202</v>
      </c>
      <c r="B36" s="15" t="s">
        <v>28</v>
      </c>
      <c r="C36" s="16">
        <v>9600</v>
      </c>
      <c r="D36" s="16"/>
      <c r="E36" s="19" t="s">
        <v>203</v>
      </c>
    </row>
    <row r="37" spans="1:5" ht="16.5" customHeight="1" x14ac:dyDescent="0.2">
      <c r="A37" s="20"/>
      <c r="B37" s="3" t="s">
        <v>140</v>
      </c>
      <c r="C37" s="5">
        <f>SUM(C35:C36)</f>
        <v>10957</v>
      </c>
      <c r="D37" s="5"/>
      <c r="E37" s="6"/>
    </row>
    <row r="38" spans="1:5" ht="16.5" customHeight="1" x14ac:dyDescent="0.2">
      <c r="A38" s="59"/>
      <c r="B38" s="60"/>
      <c r="C38" s="71"/>
      <c r="D38" s="71"/>
      <c r="E38" s="61"/>
    </row>
    <row r="39" spans="1:5" ht="16.5" customHeight="1" x14ac:dyDescent="0.2">
      <c r="A39" s="46"/>
      <c r="B39" s="47" t="s">
        <v>209</v>
      </c>
      <c r="C39" s="48">
        <f>C32+C37</f>
        <v>37729.230000000003</v>
      </c>
      <c r="D39" s="48"/>
      <c r="E39" s="58" t="s">
        <v>167</v>
      </c>
    </row>
    <row r="40" spans="1:5" ht="16.5" customHeight="1" x14ac:dyDescent="0.2">
      <c r="A40" s="46"/>
      <c r="B40" s="47" t="s">
        <v>142</v>
      </c>
      <c r="C40" s="48"/>
      <c r="D40" s="48"/>
      <c r="E40" s="58" t="s">
        <v>204</v>
      </c>
    </row>
    <row r="41" spans="1:5" ht="16.5" customHeight="1" x14ac:dyDescent="0.2">
      <c r="A41" s="2" t="s">
        <v>205</v>
      </c>
      <c r="B41" s="3" t="s">
        <v>206</v>
      </c>
      <c r="C41" s="5"/>
      <c r="D41" s="5">
        <f>D26-C39</f>
        <v>-52211.589999999989</v>
      </c>
      <c r="E41" s="6"/>
    </row>
    <row r="42" spans="1:5" ht="16.5" customHeight="1" x14ac:dyDescent="0.2">
      <c r="A42" s="86" t="s">
        <v>239</v>
      </c>
      <c r="B42" s="74"/>
      <c r="C42" s="74"/>
      <c r="D42" s="74"/>
      <c r="E42" s="75"/>
    </row>
    <row r="43" spans="1:5" x14ac:dyDescent="0.2">
      <c r="A43" s="59"/>
      <c r="B43" s="60"/>
      <c r="C43" s="60"/>
      <c r="D43" s="60"/>
      <c r="E43" s="61"/>
    </row>
    <row r="44" spans="1:5" ht="16.5" customHeight="1" x14ac:dyDescent="0.2">
      <c r="A44" s="76" t="s">
        <v>211</v>
      </c>
      <c r="B44" s="77"/>
      <c r="C44" s="77"/>
      <c r="D44" s="77"/>
      <c r="E44" s="78"/>
    </row>
  </sheetData>
  <mergeCells count="2">
    <mergeCell ref="A42:E42"/>
    <mergeCell ref="A44:E44"/>
  </mergeCells>
  <pageMargins left="0.7" right="0.7" top="0.75" bottom="0.75" header="0.3" footer="0.3"/>
  <pageSetup paperSize="9" scale="69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8EEF74-3769-48DC-A0CD-3CDC7CFDAA07}">
  <dimension ref="A1:F13"/>
  <sheetViews>
    <sheetView showGridLines="0" rightToLeft="1" workbookViewId="0">
      <pane ySplit="3" topLeftCell="A4" activePane="bottomLeft" state="frozenSplit"/>
      <selection pane="bottomLeft" sqref="A1:F1"/>
    </sheetView>
  </sheetViews>
  <sheetFormatPr defaultRowHeight="12.75" x14ac:dyDescent="0.2"/>
  <cols>
    <col min="1" max="1" width="13.875" style="1" customWidth="1"/>
    <col min="2" max="2" width="32.625" style="1" customWidth="1"/>
    <col min="3" max="4" width="15.875" style="1" customWidth="1"/>
    <col min="5" max="5" width="13.625" style="1" customWidth="1"/>
    <col min="6" max="6" width="64.625" style="1" customWidth="1"/>
    <col min="7" max="16384" width="9" style="1"/>
  </cols>
  <sheetData>
    <row r="1" spans="1:6" ht="27.95" customHeight="1" x14ac:dyDescent="0.2">
      <c r="A1" s="79" t="s">
        <v>86</v>
      </c>
      <c r="B1" s="79"/>
      <c r="C1" s="79"/>
      <c r="D1" s="79"/>
      <c r="E1" s="79"/>
      <c r="F1" s="79"/>
    </row>
    <row r="2" spans="1:6" ht="16.5" customHeight="1" x14ac:dyDescent="0.2">
      <c r="A2" s="82" t="s">
        <v>240</v>
      </c>
      <c r="B2" s="82"/>
      <c r="C2" s="82"/>
      <c r="D2" s="82"/>
      <c r="E2" s="82"/>
      <c r="F2" s="82"/>
    </row>
    <row r="3" spans="1:6" ht="16.5" customHeight="1" x14ac:dyDescent="0.2">
      <c r="A3" s="7" t="s">
        <v>87</v>
      </c>
      <c r="B3" s="8" t="s">
        <v>88</v>
      </c>
      <c r="C3" s="8" t="s">
        <v>89</v>
      </c>
      <c r="D3" s="8" t="s">
        <v>90</v>
      </c>
      <c r="E3" s="8" t="s">
        <v>91</v>
      </c>
      <c r="F3" s="9" t="s">
        <v>92</v>
      </c>
    </row>
    <row r="4" spans="1:6" ht="16.5" customHeight="1" x14ac:dyDescent="0.2">
      <c r="A4" s="50"/>
      <c r="B4" s="15" t="s">
        <v>94</v>
      </c>
      <c r="C4" s="16">
        <v>21122</v>
      </c>
      <c r="D4" s="44"/>
      <c r="E4" s="15" t="s">
        <v>95</v>
      </c>
      <c r="F4" s="19" t="s">
        <v>136</v>
      </c>
    </row>
    <row r="5" spans="1:6" ht="16.5" customHeight="1" x14ac:dyDescent="0.2">
      <c r="A5" s="10" t="s">
        <v>141</v>
      </c>
      <c r="B5" s="11" t="s">
        <v>146</v>
      </c>
      <c r="C5" s="12">
        <v>44554</v>
      </c>
      <c r="D5" s="11" t="s">
        <v>93</v>
      </c>
      <c r="E5" s="11" t="s">
        <v>95</v>
      </c>
      <c r="F5" s="18" t="s">
        <v>147</v>
      </c>
    </row>
    <row r="6" spans="1:6" ht="16.5" customHeight="1" x14ac:dyDescent="0.2">
      <c r="A6" s="10" t="s">
        <v>152</v>
      </c>
      <c r="B6" s="11" t="s">
        <v>48</v>
      </c>
      <c r="C6" s="12">
        <v>4136</v>
      </c>
      <c r="D6" s="11" t="s">
        <v>151</v>
      </c>
      <c r="E6" s="11" t="s">
        <v>95</v>
      </c>
      <c r="F6" s="18" t="s">
        <v>155</v>
      </c>
    </row>
    <row r="7" spans="1:6" ht="16.5" customHeight="1" x14ac:dyDescent="0.2">
      <c r="A7" s="14" t="s">
        <v>153</v>
      </c>
      <c r="B7" s="15" t="s">
        <v>48</v>
      </c>
      <c r="C7" s="16">
        <v>4134</v>
      </c>
      <c r="D7" s="15" t="s">
        <v>151</v>
      </c>
      <c r="E7" s="15" t="s">
        <v>95</v>
      </c>
      <c r="F7" s="19" t="s">
        <v>156</v>
      </c>
    </row>
    <row r="8" spans="1:6" ht="16.5" customHeight="1" x14ac:dyDescent="0.2">
      <c r="A8" s="45"/>
      <c r="B8" s="42"/>
      <c r="C8" s="42"/>
      <c r="D8" s="42"/>
      <c r="E8" s="42"/>
      <c r="F8" s="43"/>
    </row>
    <row r="9" spans="1:6" ht="16.5" customHeight="1" x14ac:dyDescent="0.2">
      <c r="A9" s="51" t="s">
        <v>96</v>
      </c>
      <c r="B9" s="52"/>
      <c r="C9" s="53">
        <f>SUMIF(E4:E7,"🔴*",C4:C7)</f>
        <v>0</v>
      </c>
      <c r="D9" s="52"/>
      <c r="E9" s="52"/>
      <c r="F9" s="54"/>
    </row>
    <row r="10" spans="1:6" ht="16.5" customHeight="1" x14ac:dyDescent="0.2">
      <c r="A10" s="2" t="s">
        <v>97</v>
      </c>
      <c r="B10" s="4"/>
      <c r="C10" s="5">
        <f>SUMIF(E4:E7,"🟡*",C4:C7)</f>
        <v>73946</v>
      </c>
      <c r="D10" s="4"/>
      <c r="E10" s="4"/>
      <c r="F10" s="6"/>
    </row>
    <row r="11" spans="1:6" ht="16.5" customHeight="1" x14ac:dyDescent="0.2">
      <c r="A11" s="55" t="s">
        <v>98</v>
      </c>
      <c r="B11" s="49"/>
      <c r="C11" s="48">
        <f>C9+C10</f>
        <v>73946</v>
      </c>
      <c r="D11" s="49"/>
      <c r="E11" s="49"/>
      <c r="F11" s="56"/>
    </row>
    <row r="12" spans="1:6" ht="16.5" customHeight="1" x14ac:dyDescent="0.2">
      <c r="A12" s="45"/>
      <c r="B12" s="42"/>
      <c r="C12" s="42"/>
      <c r="D12" s="42"/>
      <c r="E12" s="42"/>
      <c r="F12" s="43"/>
    </row>
    <row r="13" spans="1:6" ht="16.5" customHeight="1" x14ac:dyDescent="0.2">
      <c r="A13" s="83" t="s">
        <v>148</v>
      </c>
      <c r="B13" s="83"/>
      <c r="C13" s="83"/>
      <c r="D13" s="83"/>
      <c r="E13" s="83"/>
      <c r="F13" s="83"/>
    </row>
  </sheetData>
  <mergeCells count="3">
    <mergeCell ref="A1:F1"/>
    <mergeCell ref="A2:F2"/>
    <mergeCell ref="A13:F1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87C0DD-5B7A-4202-9424-3FF75DB0F130}">
  <dimension ref="A1:H10"/>
  <sheetViews>
    <sheetView showGridLines="0" rightToLeft="1" workbookViewId="0">
      <pane ySplit="3" topLeftCell="A4" activePane="bottomLeft" state="frozenSplit"/>
      <selection pane="bottomLeft" sqref="A1:H1"/>
    </sheetView>
  </sheetViews>
  <sheetFormatPr defaultRowHeight="12.75" x14ac:dyDescent="0.2"/>
  <cols>
    <col min="1" max="1" width="24.75" style="1" customWidth="1"/>
    <col min="2" max="2" width="15.625" style="1" customWidth="1"/>
    <col min="3" max="3" width="16.625" style="1" customWidth="1"/>
    <col min="4" max="4" width="15.625" style="1" customWidth="1"/>
    <col min="5" max="5" width="13.625" style="1" customWidth="1"/>
    <col min="6" max="6" width="12.625" style="1" customWidth="1"/>
    <col min="7" max="7" width="22.625" style="1" customWidth="1"/>
    <col min="8" max="8" width="70.625" style="1" customWidth="1"/>
    <col min="9" max="16384" width="9" style="1"/>
  </cols>
  <sheetData>
    <row r="1" spans="1:8" ht="27.95" customHeight="1" x14ac:dyDescent="0.2">
      <c r="A1" s="79" t="s">
        <v>99</v>
      </c>
      <c r="B1" s="79"/>
      <c r="C1" s="79"/>
      <c r="D1" s="79"/>
      <c r="E1" s="79"/>
      <c r="F1" s="79"/>
      <c r="G1" s="79"/>
      <c r="H1" s="79"/>
    </row>
    <row r="2" spans="1:8" ht="16.5" customHeight="1" x14ac:dyDescent="0.2">
      <c r="A2" s="80" t="s">
        <v>134</v>
      </c>
      <c r="B2" s="80"/>
      <c r="C2" s="80"/>
      <c r="D2" s="80"/>
      <c r="E2" s="80"/>
      <c r="F2" s="80"/>
      <c r="G2" s="80"/>
      <c r="H2" s="80"/>
    </row>
    <row r="3" spans="1:8" ht="16.5" customHeight="1" x14ac:dyDescent="0.2">
      <c r="A3" s="7" t="s">
        <v>100</v>
      </c>
      <c r="B3" s="8" t="s">
        <v>101</v>
      </c>
      <c r="C3" s="8" t="s">
        <v>102</v>
      </c>
      <c r="D3" s="8" t="s">
        <v>103</v>
      </c>
      <c r="E3" s="8" t="s">
        <v>104</v>
      </c>
      <c r="F3" s="8" t="s">
        <v>105</v>
      </c>
      <c r="G3" s="8" t="s">
        <v>106</v>
      </c>
      <c r="H3" s="9" t="s">
        <v>92</v>
      </c>
    </row>
    <row r="4" spans="1:8" ht="16.5" customHeight="1" x14ac:dyDescent="0.2">
      <c r="A4" s="14" t="s">
        <v>107</v>
      </c>
      <c r="B4" s="16">
        <v>500000</v>
      </c>
      <c r="C4" s="16">
        <v>470047.11</v>
      </c>
      <c r="D4" s="16">
        <v>18912.759999999998</v>
      </c>
      <c r="E4" s="15" t="s">
        <v>108</v>
      </c>
      <c r="F4" s="15" t="s">
        <v>109</v>
      </c>
      <c r="G4" s="15" t="s">
        <v>110</v>
      </c>
      <c r="H4" s="19" t="s">
        <v>207</v>
      </c>
    </row>
    <row r="5" spans="1:8" ht="16.5" customHeight="1" x14ac:dyDescent="0.2">
      <c r="A5" s="10" t="s">
        <v>111</v>
      </c>
      <c r="B5" s="12">
        <v>50000</v>
      </c>
      <c r="C5" s="12">
        <v>17092.11</v>
      </c>
      <c r="D5" s="12">
        <v>4330.75</v>
      </c>
      <c r="E5" s="11" t="s">
        <v>112</v>
      </c>
      <c r="F5" s="11" t="s">
        <v>113</v>
      </c>
      <c r="G5" s="11" t="s">
        <v>114</v>
      </c>
      <c r="H5" s="18" t="s">
        <v>208</v>
      </c>
    </row>
    <row r="6" spans="1:8" ht="16.5" customHeight="1" x14ac:dyDescent="0.2">
      <c r="A6" s="14" t="s">
        <v>115</v>
      </c>
      <c r="B6" s="16">
        <v>170000</v>
      </c>
      <c r="C6" s="16">
        <v>0</v>
      </c>
      <c r="D6" s="16"/>
      <c r="E6" s="15" t="s">
        <v>127</v>
      </c>
      <c r="F6" s="15" t="s">
        <v>84</v>
      </c>
      <c r="G6" s="15" t="s">
        <v>116</v>
      </c>
      <c r="H6" s="19" t="s">
        <v>135</v>
      </c>
    </row>
    <row r="7" spans="1:8" ht="16.5" customHeight="1" x14ac:dyDescent="0.2">
      <c r="A7" s="57" t="s">
        <v>117</v>
      </c>
      <c r="B7" s="49"/>
      <c r="C7" s="48">
        <v>487139.22</v>
      </c>
      <c r="D7" s="49"/>
      <c r="E7" s="49"/>
      <c r="F7" s="49"/>
      <c r="G7" s="49"/>
      <c r="H7" s="56"/>
    </row>
    <row r="8" spans="1:8" ht="16.5" customHeight="1" x14ac:dyDescent="0.2">
      <c r="A8" s="45"/>
      <c r="B8" s="42"/>
      <c r="C8" s="42"/>
      <c r="D8" s="42"/>
      <c r="E8" s="42"/>
      <c r="F8" s="42"/>
      <c r="G8" s="42"/>
      <c r="H8" s="43"/>
    </row>
    <row r="9" spans="1:8" ht="16.5" customHeight="1" x14ac:dyDescent="0.2">
      <c r="A9" s="84" t="s">
        <v>118</v>
      </c>
      <c r="B9" s="84"/>
      <c r="C9" s="84"/>
      <c r="D9" s="84"/>
      <c r="E9" s="84"/>
      <c r="F9" s="84"/>
      <c r="G9" s="84"/>
      <c r="H9" s="84"/>
    </row>
    <row r="10" spans="1:8" ht="16.5" customHeight="1" x14ac:dyDescent="0.2">
      <c r="A10" s="83" t="s">
        <v>128</v>
      </c>
      <c r="B10" s="83"/>
      <c r="C10" s="83"/>
      <c r="D10" s="83"/>
      <c r="E10" s="83"/>
      <c r="F10" s="83"/>
      <c r="G10" s="83"/>
      <c r="H10" s="83"/>
    </row>
  </sheetData>
  <mergeCells count="4">
    <mergeCell ref="A1:H1"/>
    <mergeCell ref="A2:H2"/>
    <mergeCell ref="A9:H9"/>
    <mergeCell ref="A10:H10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גליונות עבודה</vt:lpstr>
      </vt:variant>
      <vt:variant>
        <vt:i4>6</vt:i4>
      </vt:variant>
    </vt:vector>
  </HeadingPairs>
  <TitlesOfParts>
    <vt:vector size="6" baseType="lpstr">
      <vt:lpstr>תזרים יולי 2026</vt:lpstr>
      <vt:lpstr>תזרים אוגוסט 2026</vt:lpstr>
      <vt:lpstr>תזרים ספטמבר 2026</vt:lpstr>
      <vt:lpstr>תזרים אוקטובר 2026</vt:lpstr>
      <vt:lpstr>תשלומים ממתינים</vt:lpstr>
      <vt:lpstr>יתרות הלוואות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2026-08-26T07:52:03Z</cp:lastPrinted>
  <dcterms:created xsi:type="dcterms:W3CDTF">2026-08-24T09:40:08Z</dcterms:created>
  <dcterms:modified xsi:type="dcterms:W3CDTF">2026-10-13T11:02:31Z</dcterms:modified>
</cp:coreProperties>
</file>