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יכום" sheetId="1" state="visible" r:id="rId3"/>
    <sheet name="הכנסות" sheetId="2" state="visible" r:id="rId4"/>
    <sheet name="הוצאו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<sst xmlns="http://schemas.openxmlformats.org/spreadsheetml/2006/main" count="180" uniqueCount="124">
  <si>
    <t xml:space="preserve">פרויקט נווה יעקב – סיכום הכנסות, הוצאות ורווח</t>
  </si>
  <si>
    <t xml:space="preserve">מזמין</t>
  </si>
  <si>
    <t xml:space="preserve">רימון בדאען (ע"י בית ירושלמי)</t>
  </si>
  <si>
    <t xml:space="preserve">מחיר</t>
  </si>
  <si>
    <t xml:space="preserve">600 ₪ למ"ר · גליפים 700 ₪ למטר</t>
  </si>
  <si>
    <t xml:space="preserve">תאריך התחלה</t>
  </si>
  <si>
    <t xml:space="preserve">11/01/2025</t>
  </si>
  <si>
    <t xml:space="preserve">מקור</t>
  </si>
  <si>
    <t xml:space="preserve">גיליון "נווה יעקב" בקובץ שהועלה 15/10/2026 · כל הסכומים לא כוללים מע"מ</t>
  </si>
  <si>
    <t xml:space="preserve">סעיף</t>
  </si>
  <si>
    <t xml:space="preserve">סכום (₪)</t>
  </si>
  <si>
    <t xml:space="preserve">% מההכנסות</t>
  </si>
  <si>
    <t xml:space="preserve">💰 סה"כ הכנסות (10 תקבולים)</t>
  </si>
  <si>
    <t xml:space="preserve">הוצאות לפי קטגוריה</t>
  </si>
  <si>
    <t xml:space="preserve">קבלן מבצע – חאדר</t>
  </si>
  <si>
    <t xml:space="preserve">יבוא HPL – 3 מכולות</t>
  </si>
  <si>
    <t xml:space="preserve">קונסטרוקציה / ברגים / ברקטים / פרופילים</t>
  </si>
  <si>
    <t xml:space="preserve">הוצאות כלליות</t>
  </si>
  <si>
    <t xml:space="preserve">הובלות</t>
  </si>
  <si>
    <t xml:space="preserve">מהנדס ושונות</t>
  </si>
  <si>
    <t xml:space="preserve">📤 סה"כ הוצאות</t>
  </si>
  <si>
    <t xml:space="preserve">✅ רווח הפרויקט עד היום</t>
  </si>
  <si>
    <t xml:space="preserve">לפי החוזה</t>
  </si>
  <si>
    <t xml:space="preserve">חוזה: 2,400 מ"ר × 600 ₪</t>
  </si>
  <si>
    <t xml:space="preserve">בפועל: 3,000 מ"ר × 600 ₪ (לפי הגיליון)</t>
  </si>
  <si>
    <t xml:space="preserve">⏳ יתרה לגבייה לפי 3,000 מ"ר (ללא גליפים)</t>
  </si>
  <si>
    <t xml:space="preserve">לפני מע"מ</t>
  </si>
  <si>
    <t xml:space="preserve">⚠️ שאלות פתוחות</t>
  </si>
  <si>
    <t xml:space="preserve">מורט: בגיליון יש "סך הכל 10,089" (2,950$) ושורה נוספת של 3,409.28 (תואמת לתשלום של מטה ל-MURAT ב-05/10). כאן נספר רק 10,089, בהנחה שה-3,409.28 הוא חלק מהסכום הזה. אם זה תשלום נוסף - הרווח יורד ב-3,409.28.</t>
  </si>
  <si>
    <t xml:space="preserve">גור את שיפר - חשבונית אחת בלי סכום ("?") - לא נספרה.</t>
  </si>
  <si>
    <t xml:space="preserve">גרייטדור הובלה 7,197 - מסומן "לקזז בסוף מחאדר". אם יקוזז מהתשלום לחאדר, ההוצאה לא משתנה (רק עוברת מקטגוריה לקטגוריה).</t>
  </si>
  <si>
    <t xml:space="preserve">חאדר - "מזומן לפני פסח" 95,000 הוא תשלום במזומן; שאר הסכומים לפי חשבוניות. בגיליון "הכנסות . הוצאות שאין שיוך" יש גם "סדין קאפ חיפ" 10,000 (18/03) + 6,520 (20/03) "תשלום חאדר בית ירושלמי" - לוודא שאינם תוספת ל-20,000 של סדין קאק.</t>
  </si>
  <si>
    <t xml:space="preserve">גליפים (700 ₪ למטר) - אין נתון על כמות, לכן לא נכללו ביתרה לגבייה.</t>
  </si>
  <si>
    <t xml:space="preserve">בידוד מרפסת רוטנברג 99,716 - עבר דרכנו ובית ירושלמי החזיר, לכן לא נכלל (מופיע בנפרד בתחתית גיליון "הוצאות"). ⚠️ ההחזר מבית ירושלמי לא צריך להופיע ב-10 התקבולים - אם הוא נכלל שם, יש להוריד אותו מההכנסות.</t>
  </si>
  <si>
    <t xml:space="preserve">בגיליון "סיכום" של הקובץ המקורי נווה יעקב עדיין מופיע עם נתונים ישנים: הכנסות 1,104,121 / הוצאות 725,687 / רווח 378,434.</t>
  </si>
  <si>
    <t xml:space="preserve">פרויקט נווה יעקב – הכנסות (תקבולים מהמזמין)</t>
  </si>
  <si>
    <t xml:space="preserve">מזמין: רימון בדאען ע"י בית ירושלמי · הסכומים לא כוללים מע"מ (כפי שבגיליון המקור; ×1.18 = הסכום שהתקבל בפועל)</t>
  </si>
  <si>
    <t xml:space="preserve">#</t>
  </si>
  <si>
    <t xml:space="preserve">תאריך</t>
  </si>
  <si>
    <t xml:space="preserve">סכום לפני מע"מ (₪)</t>
  </si>
  <si>
    <t xml:space="preserve">כולל מע"מ (₪)</t>
  </si>
  <si>
    <t xml:space="preserve">הערות</t>
  </si>
  <si>
    <t xml:space="preserve">20/01/2026</t>
  </si>
  <si>
    <t xml:space="preserve">17/02/2026</t>
  </si>
  <si>
    <t xml:space="preserve">16/03/2026</t>
  </si>
  <si>
    <t xml:space="preserve">31/03/2026</t>
  </si>
  <si>
    <t xml:space="preserve">23/04/2026</t>
  </si>
  <si>
    <t xml:space="preserve">18/05/2026</t>
  </si>
  <si>
    <t xml:space="preserve">25/06/2026</t>
  </si>
  <si>
    <t xml:space="preserve">10/08/2026</t>
  </si>
  <si>
    <t xml:space="preserve">✅ תואם לבנק מטה 10/08: העברת זה"ב בית ירושלמי 112,968</t>
  </si>
  <si>
    <t xml:space="preserve">20/08/2026</t>
  </si>
  <si>
    <t xml:space="preserve">29/09/2026</t>
  </si>
  <si>
    <t xml:space="preserve">סה"כ הכנסות</t>
  </si>
  <si>
    <t xml:space="preserve">פרויקט נווה יעקב – הוצאות לפי קטגוריה (לא כולל מע"מ)</t>
  </si>
  <si>
    <t xml:space="preserve">קטגוריה</t>
  </si>
  <si>
    <t xml:space="preserve">ספק / תיאור</t>
  </si>
  <si>
    <t xml:space="preserve">סכום ($)</t>
  </si>
  <si>
    <t xml:space="preserve">הערות / מקור</t>
  </si>
  <si>
    <t xml:space="preserve">חאדר – סדין קאק</t>
  </si>
  <si>
    <t xml:space="preserve">20/03/2026</t>
  </si>
  <si>
    <t xml:space="preserve">חאדר</t>
  </si>
  <si>
    <t xml:space="preserve">20/04/2026</t>
  </si>
  <si>
    <t xml:space="preserve">חאדר – מזומן לפני פסח</t>
  </si>
  <si>
    <t xml:space="preserve">מזומן</t>
  </si>
  <si>
    <t xml:space="preserve">חאדר (ראם משלוחים)</t>
  </si>
  <si>
    <t xml:space="preserve">28/06/2026</t>
  </si>
  <si>
    <t xml:space="preserve">חאדר.pdf</t>
  </si>
  <si>
    <t xml:space="preserve">19/07/2026</t>
  </si>
  <si>
    <t xml:space="preserve">91013_invoice.pdf</t>
  </si>
  <si>
    <t xml:space="preserve">חאדר (משי ניהול עובדים)</t>
  </si>
  <si>
    <t xml:space="preserve">23/08/2026</t>
  </si>
  <si>
    <t xml:space="preserve">נדב איטומים</t>
  </si>
  <si>
    <t xml:space="preserve">הודעה מיום 28.04</t>
  </si>
  <si>
    <t xml:space="preserve">סה"כ קבלן מבצע – חאדר</t>
  </si>
  <si>
    <t xml:space="preserve">מכולה 1 – 384.61 מ"ר</t>
  </si>
  <si>
    <t xml:space="preserve">Shipment 1 – Commercial Invoice</t>
  </si>
  <si>
    <t xml:space="preserve">מכולה 2 – 991.25 מ"ר</t>
  </si>
  <si>
    <t xml:space="preserve">Shipment 2 – Commercial Invoice</t>
  </si>
  <si>
    <t xml:space="preserve">מכולה 3 – 1,487.4 מ"ר</t>
  </si>
  <si>
    <t xml:space="preserve">Shipment 3 – Commercial Invoice</t>
  </si>
  <si>
    <t xml:space="preserve">עלות מט"ח לפי 3 מכולות</t>
  </si>
  <si>
    <t xml:space="preserve">סה"כ יבוא HPL – 3 מכולות</t>
  </si>
  <si>
    <t xml:space="preserve">גור את שיפר</t>
  </si>
  <si>
    <t xml:space="preserve">SI266002349</t>
  </si>
  <si>
    <t xml:space="preserve">SI266003946</t>
  </si>
  <si>
    <t xml:space="preserve">פרופילים DB (מילי סויסה)</t>
  </si>
  <si>
    <t xml:space="preserve">03/08/2026</t>
  </si>
  <si>
    <t xml:space="preserve">✅ תואם לבנק מטה 03/08: 10,761.60 כולל מע"מ</t>
  </si>
  <si>
    <t xml:space="preserve">גור את שיפר – חשבונית נוספת</t>
  </si>
  <si>
    <t xml:space="preserve">⚠️ סכום לא מולא בגיליון המקור ("?")</t>
  </si>
  <si>
    <t xml:space="preserve">סה"כ קונסטרוקציה / ברגים / ברקטים / פרופילים</t>
  </si>
  <si>
    <t xml:space="preserve">ברגים</t>
  </si>
  <si>
    <t xml:space="preserve">הדפסת תוכניות</t>
  </si>
  <si>
    <t xml:space="preserve">אלקטרו סליל</t>
  </si>
  <si>
    <t xml:space="preserve">גאלה</t>
  </si>
  <si>
    <t xml:space="preserve">ארפק</t>
  </si>
  <si>
    <t xml:space="preserve">גאלה קלאסיק</t>
  </si>
  <si>
    <t xml:space="preserve">גאלה קלאסיק – ברגים</t>
  </si>
  <si>
    <t xml:space="preserve">14/06/2026</t>
  </si>
  <si>
    <t xml:space="preserve">ארפק די</t>
  </si>
  <si>
    <t xml:space="preserve">210012492</t>
  </si>
  <si>
    <t xml:space="preserve">210012573 · העברה</t>
  </si>
  <si>
    <t xml:space="preserve">רוטנברג – ספריי קצף</t>
  </si>
  <si>
    <t xml:space="preserve">210012671 · העברה</t>
  </si>
  <si>
    <t xml:space="preserve">סה"כ הוצאות כלליות</t>
  </si>
  <si>
    <t xml:space="preserve">גרייטדור</t>
  </si>
  <si>
    <t xml:space="preserve">"לקזז בסוף מחאדר" – כשיקוזז, ההוצאה תעבור לחאדר</t>
  </si>
  <si>
    <t xml:space="preserve">משאית מגור את שיפר</t>
  </si>
  <si>
    <t xml:space="preserve">הובלה מההשיקוף לפרויקט</t>
  </si>
  <si>
    <t xml:space="preserve">משלוח גור + ארפק</t>
  </si>
  <si>
    <t xml:space="preserve">ביט · קרגו.pdf</t>
  </si>
  <si>
    <t xml:space="preserve">סה"כ הובלות</t>
  </si>
  <si>
    <t xml:space="preserve">מורט – מהנדס (2,950 $)</t>
  </si>
  <si>
    <t xml:space="preserve">בגיליון המקור מופיעה גם שורה של 3,409.28 – ראה שאלות פתוחות</t>
  </si>
  <si>
    <t xml:space="preserve">גרייטדור – התקנת מחיצה</t>
  </si>
  <si>
    <t xml:space="preserve">Invoice-2055.pdf</t>
  </si>
  <si>
    <t xml:space="preserve">סה"כ מהנדס ושונות</t>
  </si>
  <si>
    <t xml:space="preserve">סה"כ הוצאות הפרויקט</t>
  </si>
  <si>
    <t xml:space="preserve">💡 עבר דרכנו – לא נכלל בסיכום הפרויקט</t>
  </si>
  <si>
    <t xml:space="preserve">בידוד מרפסת – רוטנברג</t>
  </si>
  <si>
    <t xml:space="preserve">מ. רוטנברג ובניו – בידוד מרפסת</t>
  </si>
  <si>
    <t xml:space="preserve">06/07 + 26/08/2026</t>
  </si>
  <si>
    <t xml:space="preserve">שולם דרכנו (צ׳קים של ישר 59,825 + 58,826 = 118,651 כולל מע"מ) ובית ירושלמי החזיר לנו את הסכום - לכן לא הוצאה ולא הכנסה של הפרויקט (לפי שמואל 15/10). חשבונית מס מרוטנברג טרם התקבלה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</si>
</sst>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2E5D8C"/>
      </patternFill>
    </fill>
    <fill>
      <patternFill patternType="solid">
        <fgColor rgb="FFD6E4F0"/>
        <bgColor rgb="FFCCFFFF"/>
      </patternFill>
    </fill>
    <fill>
      <patternFill patternType="solid">
        <fgColor rgb="FF2E5D8C"/>
        <bgColor rgb="FF1F4E7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5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5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E5D8C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</row>
    <row r="3" customFormat="false" ht="15" hidden="false" customHeight="false" outlineLevel="0" collapsed="false">
      <c r="A3" s="2" t="s">
        <v>3</v>
      </c>
      <c r="B3" s="3" t="s">
        <v>4</v>
      </c>
      <c r="C3" s="3"/>
    </row>
    <row r="4" customFormat="false" ht="15" hidden="false" customHeight="false" outlineLevel="0" collapsed="false">
      <c r="A4" s="2" t="s">
        <v>5</v>
      </c>
      <c r="B4" s="3" t="s">
        <v>6</v>
      </c>
      <c r="C4" s="3"/>
    </row>
    <row r="5" customFormat="false" ht="15" hidden="false" customHeight="false" outlineLevel="0" collapsed="false">
      <c r="A5" s="2" t="s">
        <v>7</v>
      </c>
      <c r="B5" s="3" t="s">
        <v>8</v>
      </c>
      <c r="C5" s="3"/>
    </row>
    <row r="7" customFormat="false" ht="15" hidden="false" customHeight="false" outlineLevel="0" collapsed="false">
      <c r="A7" s="4" t="s">
        <v>9</v>
      </c>
      <c r="B7" s="4" t="s">
        <v>10</v>
      </c>
      <c r="C7" s="4" t="s">
        <v>11</v>
      </c>
    </row>
    <row r="8" customFormat="false" ht="15" hidden="false" customHeight="false" outlineLevel="0" collapsed="false">
      <c r="A8" s="5" t="s">
        <v>12</v>
      </c>
      <c r="B8" s="6" t="n">
        <f aca="false">הכנסות!C15</f>
        <v>1524369.94</v>
      </c>
      <c r="C8" s="7" t="n">
        <f aca="false">1</f>
        <v>1</v>
      </c>
    </row>
    <row r="10" customFormat="false" ht="15" hidden="false" customHeight="false" outlineLevel="0" collapsed="false">
      <c r="A10" s="8" t="s">
        <v>13</v>
      </c>
      <c r="B10" s="8"/>
      <c r="C10" s="8"/>
    </row>
    <row r="11" customFormat="false" ht="15" hidden="false" customHeight="false" outlineLevel="0" collapsed="false">
      <c r="A11" s="9" t="s">
        <v>14</v>
      </c>
      <c r="B11" s="10" t="n">
        <f aca="false">הוצאות!D13</f>
        <v>636119</v>
      </c>
      <c r="C11" s="11" t="n">
        <f aca="false">IF($B$8=0,0,B11/$B$8)</f>
        <v>0.417299622163896</v>
      </c>
    </row>
    <row r="12" customFormat="false" ht="15" hidden="false" customHeight="false" outlineLevel="0" collapsed="false">
      <c r="A12" s="9" t="s">
        <v>15</v>
      </c>
      <c r="B12" s="10" t="n">
        <f aca="false">הוצאות!D20</f>
        <v>379096.45</v>
      </c>
      <c r="C12" s="11" t="n">
        <f aca="false">IF($B$8=0,0,B12/$B$8)</f>
        <v>0.248690583599412</v>
      </c>
    </row>
    <row r="13" customFormat="false" ht="15" hidden="false" customHeight="false" outlineLevel="0" collapsed="false">
      <c r="A13" s="9" t="s">
        <v>16</v>
      </c>
      <c r="B13" s="10" t="n">
        <f aca="false">הוצאות!D28</f>
        <v>45928.32</v>
      </c>
      <c r="C13" s="11" t="n">
        <f aca="false">IF($B$8=0,0,B13/$B$8)</f>
        <v>0.0301293792240485</v>
      </c>
    </row>
    <row r="14" customFormat="false" ht="15" hidden="false" customHeight="false" outlineLevel="0" collapsed="false">
      <c r="A14" s="9" t="s">
        <v>17</v>
      </c>
      <c r="B14" s="10" t="n">
        <f aca="false">הוצאות!D46</f>
        <v>24420</v>
      </c>
      <c r="C14" s="11" t="n">
        <f aca="false">IF($B$8=0,0,B14/$B$8)</f>
        <v>0.0160197333725959</v>
      </c>
    </row>
    <row r="15" customFormat="false" ht="15" hidden="false" customHeight="false" outlineLevel="0" collapsed="false">
      <c r="A15" s="9" t="s">
        <v>18</v>
      </c>
      <c r="B15" s="10" t="n">
        <f aca="false">הוצאות!D53</f>
        <v>11917</v>
      </c>
      <c r="C15" s="11" t="n">
        <f aca="false">IF($B$8=0,0,B15/$B$8)</f>
        <v>0.0078176561261763</v>
      </c>
    </row>
    <row r="16" customFormat="false" ht="15" hidden="false" customHeight="false" outlineLevel="0" collapsed="false">
      <c r="A16" s="9" t="s">
        <v>19</v>
      </c>
      <c r="B16" s="10" t="n">
        <f aca="false">הוצאות!D58</f>
        <v>12889</v>
      </c>
      <c r="C16" s="11" t="n">
        <f aca="false">IF($B$8=0,0,B16/$B$8)</f>
        <v>0.00845529661913958</v>
      </c>
    </row>
    <row r="17" customFormat="false" ht="15" hidden="false" customHeight="false" outlineLevel="0" collapsed="false">
      <c r="A17" s="5" t="s">
        <v>20</v>
      </c>
      <c r="B17" s="12" t="n">
        <f aca="false">SUM(B11:B16)</f>
        <v>1110369.77</v>
      </c>
      <c r="C17" s="7" t="n">
        <f aca="false">IF($B$8=0,0,B17/$B$8)</f>
        <v>0.728412271105267</v>
      </c>
    </row>
    <row r="19" customFormat="false" ht="15" hidden="false" customHeight="false" outlineLevel="0" collapsed="false">
      <c r="A19" s="13" t="s">
        <v>21</v>
      </c>
      <c r="B19" s="14" t="n">
        <f aca="false">B8-B17</f>
        <v>414000.17</v>
      </c>
      <c r="C19" s="15" t="n">
        <f aca="false">IF($B$8=0,0,B19/$B$8)</f>
        <v>0.271587728894733</v>
      </c>
    </row>
    <row r="21" customFormat="false" ht="15" hidden="false" customHeight="false" outlineLevel="0" collapsed="false">
      <c r="A21" s="8" t="s">
        <v>22</v>
      </c>
      <c r="B21" s="8"/>
      <c r="C21" s="8"/>
    </row>
    <row r="22" customFormat="false" ht="15" hidden="false" customHeight="false" outlineLevel="0" collapsed="false">
      <c r="A22" s="9" t="s">
        <v>23</v>
      </c>
      <c r="B22" s="16" t="n">
        <f aca="false">2400*600</f>
        <v>1440000</v>
      </c>
      <c r="C22" s="9"/>
    </row>
    <row r="23" customFormat="false" ht="15" hidden="false" customHeight="false" outlineLevel="0" collapsed="false">
      <c r="A23" s="9" t="s">
        <v>24</v>
      </c>
      <c r="B23" s="16" t="n">
        <f aca="false">3000*600</f>
        <v>1800000</v>
      </c>
      <c r="C23" s="9"/>
    </row>
    <row r="24" customFormat="false" ht="15" hidden="false" customHeight="false" outlineLevel="0" collapsed="false">
      <c r="A24" s="5" t="s">
        <v>25</v>
      </c>
      <c r="B24" s="12" t="n">
        <f aca="false">B23-B8</f>
        <v>275630.06</v>
      </c>
      <c r="C24" s="17" t="s">
        <v>26</v>
      </c>
    </row>
    <row r="26" customFormat="false" ht="15" hidden="false" customHeight="false" outlineLevel="0" collapsed="false">
      <c r="A26" s="18" t="s">
        <v>27</v>
      </c>
      <c r="B26" s="18"/>
      <c r="C26" s="18"/>
    </row>
    <row r="27" customFormat="false" ht="43.5" hidden="false" customHeight="true" outlineLevel="0" collapsed="false">
      <c r="A27" s="19" t="s">
        <v>28</v>
      </c>
      <c r="B27" s="19"/>
      <c r="C27" s="19"/>
    </row>
    <row r="28" customFormat="false" ht="43.5" hidden="false" customHeight="true" outlineLevel="0" collapsed="false">
      <c r="A28" s="19" t="s">
        <v>29</v>
      </c>
      <c r="B28" s="19"/>
      <c r="C28" s="19"/>
    </row>
    <row r="29" customFormat="false" ht="43.5" hidden="false" customHeight="true" outlineLevel="0" collapsed="false">
      <c r="A29" s="19" t="s">
        <v>30</v>
      </c>
      <c r="B29" s="19"/>
      <c r="C29" s="19"/>
    </row>
    <row r="30" customFormat="false" ht="43.5" hidden="false" customHeight="true" outlineLevel="0" collapsed="false">
      <c r="A30" s="19" t="s">
        <v>31</v>
      </c>
      <c r="B30" s="19"/>
      <c r="C30" s="19"/>
    </row>
    <row r="31" customFormat="false" ht="43.5" hidden="false" customHeight="true" outlineLevel="0" collapsed="false">
      <c r="A31" s="19" t="s">
        <v>32</v>
      </c>
      <c r="B31" s="19"/>
      <c r="C31" s="19"/>
    </row>
    <row r="32" customFormat="false" ht="43.5" hidden="false" customHeight="true" outlineLevel="0" collapsed="false">
      <c r="A32" s="19" t="s">
        <v>33</v>
      </c>
      <c r="B32" s="19"/>
      <c r="C32" s="19"/>
    </row>
    <row r="33" customFormat="false" ht="43.5" hidden="false" customHeight="true" outlineLevel="0" collapsed="false">
      <c r="A33" s="19" t="s">
        <v>34</v>
      </c>
      <c r="B33" s="19"/>
      <c r="C33" s="19"/>
    </row>
  </sheetData>
  <mergeCells count="15">
    <mergeCell ref="A1:C1"/>
    <mergeCell ref="B2:C2"/>
    <mergeCell ref="B3:C3"/>
    <mergeCell ref="B4:C4"/>
    <mergeCell ref="B5:C5"/>
    <mergeCell ref="A10:C10"/>
    <mergeCell ref="A21:C21"/>
    <mergeCell ref="A26:C26"/>
    <mergeCell ref="A27:C27"/>
    <mergeCell ref="A28:C28"/>
    <mergeCell ref="A29:C29"/>
    <mergeCell ref="A30:C30"/>
    <mergeCell ref="A31:C31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20" t="s">
        <v>35</v>
      </c>
      <c r="B1" s="20"/>
      <c r="C1" s="20"/>
      <c r="D1" s="20"/>
      <c r="E1" s="20"/>
    </row>
    <row r="2" customFormat="false" ht="30" hidden="false" customHeight="true" outlineLevel="0" collapsed="false">
      <c r="A2" s="21" t="s">
        <v>36</v>
      </c>
      <c r="B2" s="21"/>
      <c r="C2" s="21"/>
      <c r="D2" s="21"/>
      <c r="E2" s="21"/>
    </row>
    <row r="4" customFormat="false" ht="15" hidden="false" customHeight="false" outlineLevel="0" collapsed="false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</row>
    <row r="5" customFormat="false" ht="15" hidden="false" customHeight="false" outlineLevel="0" collapsed="false">
      <c r="A5" s="9" t="n">
        <v>1</v>
      </c>
      <c r="B5" s="9" t="s">
        <v>42</v>
      </c>
      <c r="C5" s="22" t="n">
        <v>202389.83</v>
      </c>
      <c r="D5" s="16" t="n">
        <f aca="false">ROUND(C5*1.18,2)</f>
        <v>238820</v>
      </c>
      <c r="E5" s="9"/>
    </row>
    <row r="6" customFormat="false" ht="15" hidden="false" customHeight="false" outlineLevel="0" collapsed="false">
      <c r="A6" s="9" t="n">
        <v>2</v>
      </c>
      <c r="B6" s="9" t="s">
        <v>43</v>
      </c>
      <c r="C6" s="22" t="n">
        <v>83000</v>
      </c>
      <c r="D6" s="16" t="n">
        <f aca="false">ROUND(C6*1.18,2)</f>
        <v>97940</v>
      </c>
      <c r="E6" s="9"/>
    </row>
    <row r="7" customFormat="false" ht="15" hidden="false" customHeight="false" outlineLevel="0" collapsed="false">
      <c r="A7" s="9" t="n">
        <v>3</v>
      </c>
      <c r="B7" s="9" t="s">
        <v>44</v>
      </c>
      <c r="C7" s="22" t="n">
        <v>30000</v>
      </c>
      <c r="D7" s="16" t="n">
        <f aca="false">ROUND(C7*1.18,2)</f>
        <v>35400</v>
      </c>
      <c r="E7" s="9"/>
    </row>
    <row r="8" customFormat="false" ht="15" hidden="false" customHeight="false" outlineLevel="0" collapsed="false">
      <c r="A8" s="9" t="n">
        <v>4</v>
      </c>
      <c r="B8" s="9" t="s">
        <v>45</v>
      </c>
      <c r="C8" s="22" t="n">
        <v>300000</v>
      </c>
      <c r="D8" s="16" t="n">
        <f aca="false">ROUND(C8*1.18,2)</f>
        <v>354000</v>
      </c>
      <c r="E8" s="9"/>
    </row>
    <row r="9" customFormat="false" ht="15" hidden="false" customHeight="false" outlineLevel="0" collapsed="false">
      <c r="A9" s="9" t="n">
        <v>5</v>
      </c>
      <c r="B9" s="9" t="s">
        <v>46</v>
      </c>
      <c r="C9" s="22" t="n">
        <v>35580.13</v>
      </c>
      <c r="D9" s="16" t="n">
        <f aca="false">ROUND(C9*1.18,2)</f>
        <v>41984.55</v>
      </c>
      <c r="E9" s="9"/>
    </row>
    <row r="10" customFormat="false" ht="15" hidden="false" customHeight="false" outlineLevel="0" collapsed="false">
      <c r="A10" s="9" t="n">
        <v>6</v>
      </c>
      <c r="B10" s="9" t="s">
        <v>47</v>
      </c>
      <c r="C10" s="22" t="n">
        <v>224579.66</v>
      </c>
      <c r="D10" s="16" t="n">
        <f aca="false">ROUND(C10*1.18,2)</f>
        <v>265004</v>
      </c>
      <c r="E10" s="9"/>
    </row>
    <row r="11" customFormat="false" ht="15" hidden="false" customHeight="false" outlineLevel="0" collapsed="false">
      <c r="A11" s="9" t="n">
        <v>7</v>
      </c>
      <c r="B11" s="9" t="s">
        <v>48</v>
      </c>
      <c r="C11" s="22" t="n">
        <v>228575.42</v>
      </c>
      <c r="D11" s="16" t="n">
        <f aca="false">ROUND(C11*1.18,2)</f>
        <v>269719</v>
      </c>
      <c r="E11" s="9"/>
    </row>
    <row r="12" customFormat="false" ht="15" hidden="false" customHeight="false" outlineLevel="0" collapsed="false">
      <c r="A12" s="9" t="n">
        <v>8</v>
      </c>
      <c r="B12" s="9" t="s">
        <v>49</v>
      </c>
      <c r="C12" s="22" t="n">
        <v>95735.59</v>
      </c>
      <c r="D12" s="16" t="n">
        <f aca="false">ROUND(C12*1.18,2)</f>
        <v>112968</v>
      </c>
      <c r="E12" s="9" t="s">
        <v>50</v>
      </c>
    </row>
    <row r="13" customFormat="false" ht="15" hidden="false" customHeight="false" outlineLevel="0" collapsed="false">
      <c r="A13" s="9" t="n">
        <v>9</v>
      </c>
      <c r="B13" s="9" t="s">
        <v>51</v>
      </c>
      <c r="C13" s="22" t="n">
        <v>197390.67</v>
      </c>
      <c r="D13" s="16" t="n">
        <f aca="false">ROUND(C13*1.18,2)</f>
        <v>232920.99</v>
      </c>
      <c r="E13" s="9"/>
    </row>
    <row r="14" customFormat="false" ht="15" hidden="false" customHeight="false" outlineLevel="0" collapsed="false">
      <c r="A14" s="9" t="n">
        <v>10</v>
      </c>
      <c r="B14" s="9" t="s">
        <v>52</v>
      </c>
      <c r="C14" s="22" t="n">
        <v>127118.64</v>
      </c>
      <c r="D14" s="16" t="n">
        <f aca="false">ROUND(C14*1.18,2)</f>
        <v>150000</v>
      </c>
      <c r="E14" s="9"/>
    </row>
    <row r="15" customFormat="false" ht="15" hidden="false" customHeight="false" outlineLevel="0" collapsed="false">
      <c r="A15" s="5" t="s">
        <v>53</v>
      </c>
      <c r="B15" s="5"/>
      <c r="C15" s="12" t="n">
        <f aca="false">SUM(C5:C14)</f>
        <v>1524369.94</v>
      </c>
      <c r="D15" s="12" t="n">
        <f aca="false">SUM(D5:D14)</f>
        <v>1798756.54</v>
      </c>
      <c r="E15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0" t="s">
        <v>54</v>
      </c>
      <c r="B1" s="20"/>
      <c r="C1" s="20"/>
      <c r="D1" s="20"/>
      <c r="E1" s="20"/>
      <c r="F1" s="20"/>
    </row>
    <row r="3" customFormat="false" ht="15" hidden="false" customHeight="false" outlineLevel="0" collapsed="false">
      <c r="A3" s="4" t="s">
        <v>55</v>
      </c>
      <c r="B3" s="4" t="s">
        <v>56</v>
      </c>
      <c r="C3" s="4" t="s">
        <v>38</v>
      </c>
      <c r="D3" s="4" t="s">
        <v>10</v>
      </c>
      <c r="E3" s="4" t="s">
        <v>57</v>
      </c>
      <c r="F3" s="4" t="s">
        <v>58</v>
      </c>
    </row>
    <row r="4" customFormat="false" ht="15" hidden="false" customHeight="false" outlineLevel="0" collapsed="false">
      <c r="A4" s="8" t="s">
        <v>14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9" t="s">
        <v>14</v>
      </c>
      <c r="B5" s="9" t="s">
        <v>59</v>
      </c>
      <c r="C5" s="9" t="s">
        <v>60</v>
      </c>
      <c r="D5" s="22" t="n">
        <v>20000</v>
      </c>
      <c r="E5" s="22"/>
      <c r="F5" s="23"/>
    </row>
    <row r="6" customFormat="false" ht="15" hidden="false" customHeight="false" outlineLevel="0" collapsed="false">
      <c r="A6" s="9" t="s">
        <v>14</v>
      </c>
      <c r="B6" s="9" t="s">
        <v>61</v>
      </c>
      <c r="C6" s="9" t="s">
        <v>62</v>
      </c>
      <c r="D6" s="22" t="n">
        <v>24700</v>
      </c>
      <c r="E6" s="22"/>
      <c r="F6" s="23"/>
    </row>
    <row r="7" customFormat="false" ht="15" hidden="false" customHeight="false" outlineLevel="0" collapsed="false">
      <c r="A7" s="9" t="s">
        <v>14</v>
      </c>
      <c r="B7" s="9" t="s">
        <v>63</v>
      </c>
      <c r="C7" s="9"/>
      <c r="D7" s="22" t="n">
        <v>95000</v>
      </c>
      <c r="E7" s="22"/>
      <c r="F7" s="23" t="s">
        <v>64</v>
      </c>
    </row>
    <row r="8" customFormat="false" ht="15" hidden="false" customHeight="false" outlineLevel="0" collapsed="false">
      <c r="A8" s="9" t="s">
        <v>14</v>
      </c>
      <c r="B8" s="9" t="s">
        <v>65</v>
      </c>
      <c r="C8" s="9" t="s">
        <v>66</v>
      </c>
      <c r="D8" s="22" t="n">
        <v>140000</v>
      </c>
      <c r="E8" s="22"/>
      <c r="F8" s="23" t="s">
        <v>67</v>
      </c>
    </row>
    <row r="9" customFormat="false" ht="15" hidden="false" customHeight="false" outlineLevel="0" collapsed="false">
      <c r="A9" s="9" t="s">
        <v>14</v>
      </c>
      <c r="B9" s="9" t="s">
        <v>65</v>
      </c>
      <c r="C9" s="9" t="s">
        <v>68</v>
      </c>
      <c r="D9" s="22" t="n">
        <v>141353</v>
      </c>
      <c r="E9" s="22"/>
      <c r="F9" s="23" t="s">
        <v>69</v>
      </c>
    </row>
    <row r="10" customFormat="false" ht="15" hidden="false" customHeight="false" outlineLevel="0" collapsed="false">
      <c r="A10" s="9" t="s">
        <v>14</v>
      </c>
      <c r="B10" s="9" t="s">
        <v>70</v>
      </c>
      <c r="C10" s="9" t="s">
        <v>71</v>
      </c>
      <c r="D10" s="22" t="n">
        <v>125758</v>
      </c>
      <c r="E10" s="22"/>
      <c r="F10" s="23"/>
    </row>
    <row r="11" customFormat="false" ht="15" hidden="false" customHeight="false" outlineLevel="0" collapsed="false">
      <c r="A11" s="9" t="s">
        <v>14</v>
      </c>
      <c r="B11" s="9" t="s">
        <v>70</v>
      </c>
      <c r="C11" s="9"/>
      <c r="D11" s="22" t="n">
        <v>87308</v>
      </c>
      <c r="E11" s="22"/>
      <c r="F11" s="23"/>
    </row>
    <row r="12" customFormat="false" ht="15" hidden="false" customHeight="false" outlineLevel="0" collapsed="false">
      <c r="A12" s="9" t="s">
        <v>14</v>
      </c>
      <c r="B12" s="9" t="s">
        <v>72</v>
      </c>
      <c r="C12" s="9"/>
      <c r="D12" s="22" t="n">
        <v>2000</v>
      </c>
      <c r="E12" s="22"/>
      <c r="F12" s="23" t="s">
        <v>73</v>
      </c>
    </row>
    <row r="13" customFormat="false" ht="15" hidden="false" customHeight="false" outlineLevel="0" collapsed="false">
      <c r="A13" s="5" t="s">
        <v>74</v>
      </c>
      <c r="B13" s="5"/>
      <c r="C13" s="5"/>
      <c r="D13" s="12" t="n">
        <f aca="false">SUM(D5:D12)</f>
        <v>636119</v>
      </c>
      <c r="E13" s="5"/>
      <c r="F13" s="5"/>
    </row>
    <row r="15" customFormat="false" ht="12.65" hidden="false" customHeight="false" outlineLevel="0" collapsed="false">
      <c r="A15" s="8" t="s">
        <v>15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9" t="s">
        <v>15</v>
      </c>
      <c r="B16" s="9" t="s">
        <v>75</v>
      </c>
      <c r="C16" s="9"/>
      <c r="D16" s="22" t="n">
        <v>39063</v>
      </c>
      <c r="E16" s="22" t="n">
        <v>10942</v>
      </c>
      <c r="F16" s="23" t="s">
        <v>76</v>
      </c>
    </row>
    <row r="17" customFormat="false" ht="15" hidden="false" customHeight="false" outlineLevel="0" collapsed="false">
      <c r="A17" s="9" t="s">
        <v>15</v>
      </c>
      <c r="B17" s="9" t="s">
        <v>77</v>
      </c>
      <c r="C17" s="9"/>
      <c r="D17" s="22" t="n">
        <v>99831</v>
      </c>
      <c r="E17" s="22" t="n">
        <v>28201</v>
      </c>
      <c r="F17" s="23" t="s">
        <v>78</v>
      </c>
    </row>
    <row r="18" customFormat="false" ht="15" hidden="false" customHeight="false" outlineLevel="0" collapsed="false">
      <c r="A18" s="9" t="s">
        <v>15</v>
      </c>
      <c r="B18" s="9" t="s">
        <v>79</v>
      </c>
      <c r="C18" s="9"/>
      <c r="D18" s="22" t="n">
        <v>235648</v>
      </c>
      <c r="E18" s="22" t="n">
        <v>68106.41</v>
      </c>
      <c r="F18" s="23" t="s">
        <v>80</v>
      </c>
    </row>
    <row r="19" customFormat="false" ht="15" hidden="false" customHeight="false" outlineLevel="0" collapsed="false">
      <c r="A19" s="9" t="s">
        <v>15</v>
      </c>
      <c r="B19" s="9" t="s">
        <v>81</v>
      </c>
      <c r="C19" s="9"/>
      <c r="D19" s="22" t="n">
        <v>4554.45</v>
      </c>
      <c r="E19" s="22"/>
      <c r="F19" s="23"/>
    </row>
    <row r="20" customFormat="false" ht="15" hidden="false" customHeight="false" outlineLevel="0" collapsed="false">
      <c r="A20" s="5" t="s">
        <v>82</v>
      </c>
      <c r="B20" s="5"/>
      <c r="C20" s="5"/>
      <c r="D20" s="12" t="n">
        <f aca="false">SUM(D16:D19)</f>
        <v>379096.45</v>
      </c>
      <c r="E20" s="5"/>
      <c r="F20" s="5"/>
    </row>
    <row r="22" customFormat="false" ht="12.65" hidden="false" customHeight="false" outlineLevel="0" collapsed="false">
      <c r="A22" s="8" t="s">
        <v>16</v>
      </c>
      <c r="B22" s="8"/>
      <c r="C22" s="8"/>
      <c r="D22" s="8"/>
      <c r="E22" s="8"/>
      <c r="F22" s="8"/>
    </row>
    <row r="23" customFormat="false" ht="15" hidden="false" customHeight="false" outlineLevel="0" collapsed="false">
      <c r="A23" s="9" t="s">
        <v>16</v>
      </c>
      <c r="B23" s="9" t="s">
        <v>83</v>
      </c>
      <c r="C23" s="9"/>
      <c r="D23" s="22" t="n">
        <v>12735.59</v>
      </c>
      <c r="E23" s="22"/>
      <c r="F23" s="23" t="s">
        <v>84</v>
      </c>
    </row>
    <row r="24" customFormat="false" ht="15" hidden="false" customHeight="false" outlineLevel="0" collapsed="false">
      <c r="A24" s="9" t="s">
        <v>16</v>
      </c>
      <c r="B24" s="9" t="s">
        <v>83</v>
      </c>
      <c r="C24" s="9"/>
      <c r="D24" s="22" t="n">
        <v>5249</v>
      </c>
      <c r="E24" s="22"/>
      <c r="F24" s="23" t="s">
        <v>85</v>
      </c>
    </row>
    <row r="25" customFormat="false" ht="15" hidden="false" customHeight="false" outlineLevel="0" collapsed="false">
      <c r="A25" s="9" t="s">
        <v>16</v>
      </c>
      <c r="B25" s="9" t="s">
        <v>83</v>
      </c>
      <c r="C25" s="9"/>
      <c r="D25" s="22" t="n">
        <v>18823.73</v>
      </c>
      <c r="E25" s="22"/>
      <c r="F25" s="23"/>
    </row>
    <row r="26" customFormat="false" ht="15" hidden="false" customHeight="false" outlineLevel="0" collapsed="false">
      <c r="A26" s="9" t="s">
        <v>16</v>
      </c>
      <c r="B26" s="9" t="s">
        <v>86</v>
      </c>
      <c r="C26" s="9" t="s">
        <v>87</v>
      </c>
      <c r="D26" s="22" t="n">
        <v>9120</v>
      </c>
      <c r="E26" s="22"/>
      <c r="F26" s="23" t="s">
        <v>88</v>
      </c>
    </row>
    <row r="27" customFormat="false" ht="15" hidden="false" customHeight="false" outlineLevel="0" collapsed="false">
      <c r="A27" s="24" t="s">
        <v>16</v>
      </c>
      <c r="B27" s="24" t="s">
        <v>89</v>
      </c>
      <c r="C27" s="24"/>
      <c r="D27" s="25"/>
      <c r="E27" s="25"/>
      <c r="F27" s="19" t="s">
        <v>90</v>
      </c>
    </row>
    <row r="28" customFormat="false" ht="15" hidden="false" customHeight="false" outlineLevel="0" collapsed="false">
      <c r="A28" s="5" t="s">
        <v>91</v>
      </c>
      <c r="B28" s="5"/>
      <c r="C28" s="5"/>
      <c r="D28" s="12" t="n">
        <f aca="false">SUM(D23:D27)</f>
        <v>45928.32</v>
      </c>
      <c r="E28" s="5"/>
      <c r="F28" s="5"/>
    </row>
    <row r="30" customFormat="false" ht="15" hidden="false" customHeight="false" outlineLevel="0" collapsed="false">
      <c r="A30" s="8" t="s">
        <v>17</v>
      </c>
      <c r="B30" s="8"/>
      <c r="C30" s="8"/>
      <c r="D30" s="8"/>
      <c r="E30" s="8"/>
      <c r="F30" s="8"/>
    </row>
    <row r="31" customFormat="false" ht="15" hidden="false" customHeight="false" outlineLevel="0" collapsed="false">
      <c r="A31" s="9" t="s">
        <v>17</v>
      </c>
      <c r="B31" s="9" t="s">
        <v>92</v>
      </c>
      <c r="C31" s="9"/>
      <c r="D31" s="22" t="n">
        <v>1455</v>
      </c>
      <c r="E31" s="22"/>
      <c r="F31" s="23"/>
    </row>
    <row r="32" customFormat="false" ht="15" hidden="false" customHeight="false" outlineLevel="0" collapsed="false">
      <c r="A32" s="9" t="s">
        <v>17</v>
      </c>
      <c r="B32" s="9" t="s">
        <v>92</v>
      </c>
      <c r="C32" s="9"/>
      <c r="D32" s="22" t="n">
        <v>1508</v>
      </c>
      <c r="E32" s="22"/>
      <c r="F32" s="23"/>
    </row>
    <row r="33" customFormat="false" ht="15" hidden="false" customHeight="false" outlineLevel="0" collapsed="false">
      <c r="A33" s="9" t="s">
        <v>17</v>
      </c>
      <c r="B33" s="9" t="s">
        <v>93</v>
      </c>
      <c r="C33" s="9"/>
      <c r="D33" s="22" t="n">
        <v>161</v>
      </c>
      <c r="E33" s="22"/>
      <c r="F33" s="23"/>
    </row>
    <row r="34" customFormat="false" ht="15" hidden="false" customHeight="false" outlineLevel="0" collapsed="false">
      <c r="A34" s="9" t="s">
        <v>17</v>
      </c>
      <c r="B34" s="9" t="s">
        <v>94</v>
      </c>
      <c r="C34" s="9"/>
      <c r="D34" s="22" t="n">
        <v>392</v>
      </c>
      <c r="E34" s="22"/>
      <c r="F34" s="23"/>
    </row>
    <row r="35" customFormat="false" ht="15" hidden="false" customHeight="false" outlineLevel="0" collapsed="false">
      <c r="A35" s="9" t="s">
        <v>17</v>
      </c>
      <c r="B35" s="9" t="s">
        <v>95</v>
      </c>
      <c r="C35" s="9"/>
      <c r="D35" s="22" t="n">
        <v>975</v>
      </c>
      <c r="E35" s="22"/>
      <c r="F35" s="23"/>
    </row>
    <row r="36" customFormat="false" ht="15" hidden="false" customHeight="false" outlineLevel="0" collapsed="false">
      <c r="A36" s="9" t="s">
        <v>17</v>
      </c>
      <c r="B36" s="9" t="s">
        <v>96</v>
      </c>
      <c r="C36" s="9"/>
      <c r="D36" s="22" t="n">
        <v>2763</v>
      </c>
      <c r="E36" s="22"/>
      <c r="F36" s="23"/>
    </row>
    <row r="37" customFormat="false" ht="15" hidden="false" customHeight="false" outlineLevel="0" collapsed="false">
      <c r="A37" s="9" t="s">
        <v>17</v>
      </c>
      <c r="B37" s="9" t="s">
        <v>95</v>
      </c>
      <c r="C37" s="9"/>
      <c r="D37" s="22" t="n">
        <v>1239</v>
      </c>
      <c r="E37" s="22"/>
      <c r="F37" s="23"/>
    </row>
    <row r="38" customFormat="false" ht="15" hidden="false" customHeight="false" outlineLevel="0" collapsed="false">
      <c r="A38" s="9" t="s">
        <v>17</v>
      </c>
      <c r="B38" s="9" t="s">
        <v>97</v>
      </c>
      <c r="C38" s="9"/>
      <c r="D38" s="22" t="n">
        <v>2000</v>
      </c>
      <c r="E38" s="22"/>
      <c r="F38" s="23"/>
    </row>
    <row r="39" customFormat="false" ht="15" hidden="false" customHeight="false" outlineLevel="0" collapsed="false">
      <c r="A39" s="9" t="s">
        <v>17</v>
      </c>
      <c r="B39" s="9" t="s">
        <v>94</v>
      </c>
      <c r="C39" s="9"/>
      <c r="D39" s="22" t="n">
        <v>180</v>
      </c>
      <c r="E39" s="22"/>
      <c r="F39" s="23"/>
    </row>
    <row r="40" customFormat="false" ht="15" hidden="false" customHeight="false" outlineLevel="0" collapsed="false">
      <c r="A40" s="9" t="s">
        <v>17</v>
      </c>
      <c r="B40" s="9" t="s">
        <v>98</v>
      </c>
      <c r="C40" s="9" t="s">
        <v>99</v>
      </c>
      <c r="D40" s="22" t="n">
        <v>1659</v>
      </c>
      <c r="E40" s="22"/>
      <c r="F40" s="23"/>
    </row>
    <row r="41" customFormat="false" ht="15" hidden="false" customHeight="false" outlineLevel="0" collapsed="false">
      <c r="A41" s="9" t="s">
        <v>17</v>
      </c>
      <c r="B41" s="9" t="s">
        <v>100</v>
      </c>
      <c r="C41" s="9"/>
      <c r="D41" s="22" t="n">
        <v>1160</v>
      </c>
      <c r="E41" s="22"/>
      <c r="F41" s="23" t="s">
        <v>101</v>
      </c>
    </row>
    <row r="42" customFormat="false" ht="15" hidden="false" customHeight="false" outlineLevel="0" collapsed="false">
      <c r="A42" s="9" t="s">
        <v>17</v>
      </c>
      <c r="B42" s="9" t="s">
        <v>96</v>
      </c>
      <c r="C42" s="9"/>
      <c r="D42" s="22" t="n">
        <v>1160</v>
      </c>
      <c r="E42" s="22"/>
      <c r="F42" s="23" t="s">
        <v>102</v>
      </c>
    </row>
    <row r="43" customFormat="false" ht="15" hidden="false" customHeight="false" outlineLevel="0" collapsed="false">
      <c r="A43" s="9" t="s">
        <v>17</v>
      </c>
      <c r="B43" s="9" t="s">
        <v>103</v>
      </c>
      <c r="C43" s="9"/>
      <c r="D43" s="22" t="n">
        <v>2808</v>
      </c>
      <c r="E43" s="22"/>
      <c r="F43" s="23"/>
    </row>
    <row r="44" customFormat="false" ht="15" hidden="false" customHeight="false" outlineLevel="0" collapsed="false">
      <c r="A44" s="9" t="s">
        <v>17</v>
      </c>
      <c r="B44" s="9" t="s">
        <v>96</v>
      </c>
      <c r="C44" s="9"/>
      <c r="D44" s="22" t="n">
        <v>4640</v>
      </c>
      <c r="E44" s="22"/>
      <c r="F44" s="23" t="s">
        <v>104</v>
      </c>
    </row>
    <row r="45" customFormat="false" ht="15" hidden="false" customHeight="false" outlineLevel="0" collapsed="false">
      <c r="A45" s="9" t="s">
        <v>17</v>
      </c>
      <c r="B45" s="9" t="s">
        <v>96</v>
      </c>
      <c r="C45" s="9"/>
      <c r="D45" s="22" t="n">
        <v>2320</v>
      </c>
      <c r="E45" s="22"/>
      <c r="F45" s="23"/>
    </row>
    <row r="46" customFormat="false" ht="15" hidden="false" customHeight="false" outlineLevel="0" collapsed="false">
      <c r="A46" s="5" t="s">
        <v>105</v>
      </c>
      <c r="B46" s="5"/>
      <c r="C46" s="5"/>
      <c r="D46" s="12" t="n">
        <f aca="false">SUM(D31:D45)</f>
        <v>24420</v>
      </c>
      <c r="E46" s="5"/>
      <c r="F46" s="5"/>
    </row>
    <row r="48" customFormat="false" ht="15" hidden="false" customHeight="false" outlineLevel="0" collapsed="false">
      <c r="A48" s="8" t="s">
        <v>18</v>
      </c>
      <c r="B48" s="8"/>
      <c r="C48" s="8"/>
      <c r="D48" s="8"/>
      <c r="E48" s="8"/>
      <c r="F48" s="8"/>
    </row>
    <row r="49" customFormat="false" ht="15" hidden="false" customHeight="false" outlineLevel="0" collapsed="false">
      <c r="A49" s="9" t="s">
        <v>18</v>
      </c>
      <c r="B49" s="9" t="s">
        <v>106</v>
      </c>
      <c r="C49" s="9"/>
      <c r="D49" s="22" t="n">
        <v>7197</v>
      </c>
      <c r="E49" s="22"/>
      <c r="F49" s="23" t="s">
        <v>107</v>
      </c>
    </row>
    <row r="50" customFormat="false" ht="15" hidden="false" customHeight="false" outlineLevel="0" collapsed="false">
      <c r="A50" s="9" t="s">
        <v>18</v>
      </c>
      <c r="B50" s="9" t="s">
        <v>108</v>
      </c>
      <c r="C50" s="9"/>
      <c r="D50" s="22" t="n">
        <v>1750</v>
      </c>
      <c r="E50" s="22"/>
      <c r="F50" s="23"/>
    </row>
    <row r="51" customFormat="false" ht="15" hidden="false" customHeight="false" outlineLevel="0" collapsed="false">
      <c r="A51" s="9" t="s">
        <v>18</v>
      </c>
      <c r="B51" s="9" t="s">
        <v>109</v>
      </c>
      <c r="C51" s="9"/>
      <c r="D51" s="22" t="n">
        <v>2670</v>
      </c>
      <c r="E51" s="22"/>
      <c r="F51" s="23"/>
    </row>
    <row r="52" customFormat="false" ht="15" hidden="false" customHeight="false" outlineLevel="0" collapsed="false">
      <c r="A52" s="9" t="s">
        <v>18</v>
      </c>
      <c r="B52" s="9" t="s">
        <v>110</v>
      </c>
      <c r="C52" s="9"/>
      <c r="D52" s="22" t="n">
        <v>300</v>
      </c>
      <c r="E52" s="22"/>
      <c r="F52" s="23" t="s">
        <v>111</v>
      </c>
    </row>
    <row r="53" customFormat="false" ht="15" hidden="false" customHeight="false" outlineLevel="0" collapsed="false">
      <c r="A53" s="5" t="s">
        <v>112</v>
      </c>
      <c r="B53" s="5"/>
      <c r="C53" s="5"/>
      <c r="D53" s="12" t="n">
        <f aca="false">SUM(D49:D52)</f>
        <v>11917</v>
      </c>
      <c r="E53" s="5"/>
      <c r="F53" s="5"/>
    </row>
    <row r="55" customFormat="false" ht="15" hidden="false" customHeight="false" outlineLevel="0" collapsed="false">
      <c r="A55" s="8" t="s">
        <v>19</v>
      </c>
      <c r="B55" s="8"/>
      <c r="C55" s="8"/>
      <c r="D55" s="8"/>
      <c r="E55" s="8"/>
      <c r="F55" s="8"/>
    </row>
    <row r="56" customFormat="false" ht="15" hidden="false" customHeight="false" outlineLevel="0" collapsed="false">
      <c r="A56" s="9" t="s">
        <v>19</v>
      </c>
      <c r="B56" s="9" t="s">
        <v>113</v>
      </c>
      <c r="C56" s="9"/>
      <c r="D56" s="22" t="n">
        <v>10089</v>
      </c>
      <c r="E56" s="22" t="n">
        <v>2950</v>
      </c>
      <c r="F56" s="23" t="s">
        <v>114</v>
      </c>
    </row>
    <row r="57" customFormat="false" ht="15" hidden="false" customHeight="false" outlineLevel="0" collapsed="false">
      <c r="A57" s="9" t="s">
        <v>19</v>
      </c>
      <c r="B57" s="9" t="s">
        <v>115</v>
      </c>
      <c r="C57" s="9"/>
      <c r="D57" s="22" t="n">
        <v>2800</v>
      </c>
      <c r="E57" s="22"/>
      <c r="F57" s="23" t="s">
        <v>116</v>
      </c>
    </row>
    <row r="58" customFormat="false" ht="15" hidden="false" customHeight="false" outlineLevel="0" collapsed="false">
      <c r="A58" s="5" t="s">
        <v>117</v>
      </c>
      <c r="B58" s="5"/>
      <c r="C58" s="5"/>
      <c r="D58" s="12" t="n">
        <f aca="false">SUM(D56:D57)</f>
        <v>12889</v>
      </c>
      <c r="E58" s="5"/>
      <c r="F58" s="5"/>
    </row>
    <row r="60" customFormat="false" ht="15" hidden="false" customHeight="false" outlineLevel="0" collapsed="false">
      <c r="A60" s="26" t="s">
        <v>118</v>
      </c>
      <c r="B60" s="26"/>
      <c r="C60" s="26"/>
      <c r="D60" s="27" t="n">
        <f aca="false">D13+D20+D28+D46+D53+D58</f>
        <v>1110369.77</v>
      </c>
      <c r="E60" s="26"/>
      <c r="F60" s="26"/>
    </row>
    <row r="63" customFormat="false" ht="15" hidden="false" customHeight="false" outlineLevel="0" collapsed="false">
      <c r="A63" s="8" t="s">
        <v>119</v>
      </c>
      <c r="B63" s="8"/>
      <c r="C63" s="8"/>
      <c r="D63" s="8"/>
      <c r="E63" s="8"/>
      <c r="F63" s="8"/>
    </row>
    <row r="64" customFormat="false" ht="43.5" hidden="false" customHeight="true" outlineLevel="0" collapsed="false">
      <c r="A64" s="9" t="s">
        <v>120</v>
      </c>
      <c r="B64" s="9" t="s">
        <v>121</v>
      </c>
      <c r="C64" s="9" t="s">
        <v>122</v>
      </c>
      <c r="D64" s="16" t="n">
        <v>99716</v>
      </c>
      <c r="E64" s="9"/>
      <c r="F64" s="23" t="s">
        <v>123</v>
      </c>
    </row>
  </sheetData>
  <mergeCells count="8">
    <mergeCell ref="A1:F1"/>
    <mergeCell ref="A4:F4"/>
    <mergeCell ref="A15:F15"/>
    <mergeCell ref="A22:F22"/>
    <mergeCell ref="A30:F30"/>
    <mergeCell ref="A48:F48"/>
    <mergeCell ref="A55:F55"/>
    <mergeCell ref="A63:F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2026-10-15T09:14:17Z</dcterms:created>
  <dc:creator>openpyxl</dc:creator>
  <dc:description/>
  <dc:language>en-US</dc:language>
  <cp:lastModifiedBy/>
  <dcterms:modified xsi:type="dcterms:W3CDTF">2026-10-15T09:14:17Z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