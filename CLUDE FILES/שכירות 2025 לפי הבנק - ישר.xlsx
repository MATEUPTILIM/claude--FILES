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13_ncr:1_{2EB6255E-7B74-4508-B969-21BD1ABB851F}" xr6:coauthVersionLast="47" xr6:coauthVersionMax="47" xr10:uidLastSave="{00000000-0000-0000-0000-000000000000}"/>
  <bookViews>
    <workbookView xWindow="1950" yWindow="1950" windowWidth="21600" windowHeight="11295" activeTab="1" xr2:uid="{EEAF2D68-40F7-4D9C-98DE-1276E284587C}"/>
  </bookViews>
  <sheets>
    <sheet name="סיכום לפי משכיר" sheetId="2" r:id="rId1"/>
    <sheet name="פירוט תשלומים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6" i="1" l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M13" i="2"/>
  <c r="L13" i="2"/>
  <c r="H13" i="2"/>
  <c r="F13" i="2"/>
  <c r="P12" i="2"/>
  <c r="N12" i="2"/>
  <c r="O12" i="2" s="1"/>
  <c r="P11" i="2"/>
  <c r="N11" i="2"/>
  <c r="G11" i="2"/>
  <c r="O11" i="2" s="1"/>
  <c r="P10" i="2"/>
  <c r="F10" i="2"/>
  <c r="O10" i="2" s="1"/>
  <c r="E10" i="2"/>
  <c r="D10" i="2"/>
  <c r="C10" i="2"/>
  <c r="P9" i="2"/>
  <c r="M9" i="2"/>
  <c r="O9" i="2" s="1"/>
  <c r="L9" i="2"/>
  <c r="J9" i="2"/>
  <c r="H9" i="2"/>
  <c r="P8" i="2"/>
  <c r="N8" i="2"/>
  <c r="M8" i="2"/>
  <c r="L8" i="2"/>
  <c r="K8" i="2"/>
  <c r="J8" i="2"/>
  <c r="I8" i="2"/>
  <c r="H8" i="2"/>
  <c r="G8" i="2"/>
  <c r="O8" i="2" s="1"/>
  <c r="F8" i="2"/>
  <c r="E8" i="2"/>
  <c r="D8" i="2"/>
  <c r="P7" i="2"/>
  <c r="N7" i="2"/>
  <c r="L7" i="2"/>
  <c r="K7" i="2"/>
  <c r="J7" i="2"/>
  <c r="I7" i="2"/>
  <c r="H7" i="2"/>
  <c r="O7" i="2" s="1"/>
  <c r="G7" i="2"/>
  <c r="F7" i="2"/>
  <c r="E7" i="2"/>
  <c r="D7" i="2"/>
  <c r="P6" i="2"/>
  <c r="N6" i="2"/>
  <c r="M6" i="2"/>
  <c r="L6" i="2"/>
  <c r="K6" i="2"/>
  <c r="J6" i="2"/>
  <c r="I6" i="2"/>
  <c r="O6" i="2" s="1"/>
  <c r="H6" i="2"/>
  <c r="G6" i="2"/>
  <c r="F6" i="2"/>
  <c r="E6" i="2"/>
  <c r="D6" i="2"/>
  <c r="D13" i="2" s="1"/>
  <c r="C6" i="2"/>
  <c r="C13" i="2" s="1"/>
  <c r="P5" i="2"/>
  <c r="P13" i="2" s="1"/>
  <c r="O5" i="2"/>
  <c r="N5" i="2"/>
  <c r="M5" i="2"/>
  <c r="L5" i="2"/>
  <c r="K5" i="2"/>
  <c r="K13" i="2" s="1"/>
  <c r="J5" i="2"/>
  <c r="I5" i="2"/>
  <c r="H5" i="2"/>
  <c r="G5" i="2"/>
  <c r="F5" i="2"/>
  <c r="E5" i="2"/>
  <c r="E13" i="2" s="1"/>
  <c r="C5" i="2"/>
  <c r="N4" i="2"/>
  <c r="N13" i="2" s="1"/>
  <c r="L4" i="2"/>
  <c r="K4" i="2"/>
  <c r="J4" i="2"/>
  <c r="J13" i="2" s="1"/>
  <c r="I4" i="2"/>
  <c r="I13" i="2" s="1"/>
  <c r="H4" i="2"/>
  <c r="G4" i="2"/>
  <c r="G13" i="2" s="1"/>
  <c r="F4" i="2"/>
  <c r="E4" i="2"/>
  <c r="D77" i="1" l="1"/>
  <c r="O4" i="2"/>
  <c r="O13" i="2" s="1"/>
</calcChain>
</file>

<file path=xl/sharedStrings.xml><?xml version="1.0" encoding="utf-8"?>
<sst xmlns="http://schemas.openxmlformats.org/spreadsheetml/2006/main" count="315" uniqueCount="120">
  <si>
    <t>תשלומי שכירות 2025 - ישר (לפי דף הבנק, לפי תאריך התשלום)</t>
  </si>
  <si>
    <t>משכיר</t>
  </si>
  <si>
    <t>נכס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</si>
  <si>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</si>
  <si>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</si>
  <si>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</si>
  <si>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</si>
  <si>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</si>
  <si>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</si>
  <si>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</si>
  <si>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</si>
  <si>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</si>
  <si>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</si>
  <si>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</si>
  <si>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</si>
  <si>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סה"כ 2025</t>
  </si>
  <si>
    <t>מס' תשלומים</t>
  </si>
  <si>
    <t>שישא גבריאל</t>
  </si>
  <si>
    <t>קארו 7</t>
  </si>
  <si>
    <t>רחל מסטשי</t>
  </si>
  <si>
    <t>אסירי ציון</t>
  </si>
  <si>
    <t>זמירה בן חמו</t>
  </si>
  <si>
    <t>רובוביץ</t>
  </si>
  <si>
    <t>טייטלבוים</t>
  </si>
  <si>
    <t>קארו 3</t>
  </si>
  <si>
    <t>שלום קבאסה</t>
  </si>
  <si>
    <t>אשקלון</t>
  </si>
  <si>
    <t>זאב זלץ</t>
  </si>
  <si>
    <t>קארו 11</t>
  </si>
  <si>
    <t>טובה אייזנבך</t>
  </si>
  <si>
    <t>אפרסמון</t>
  </si>
  <si>
    <t>פילץ אליאסף</t>
  </si>
  <si>
    <t>חיים קוט</t>
  </si>
  <si>
    <t>קריית גת</t>
  </si>
  <si>
    <t>סה"כ</t>
  </si>
  <si>
    <t>הערות:</t>
  </si>
  <si>
    <t>1. המקור: דף הבנק של ישר (לאומי 902-829300/59). הצ'קים זוהו לפי מספר הצ'ק בכרטסת, כי בדף הבנק לא מופיע שם המוטב.</t>
  </si>
  <si>
    <t>2. כל סכום משויך לחודש שבו יצא מהבנק, לא לחודש השכירות. למשל טובה אייזנבך: ב-07/01 שולם "ינואר" וב-10/02 שוב "ינואר" - ייתכן שאחד מהם הוא דצמבר 2024.</t>
  </si>
  <si>
    <t>3. טובה אייזנבך (אפרסמון): התשלום האחרון בבנק הוא 02/04/2025. אחרי זה אין תשלומים אליה.</t>
  </si>
  <si>
    <t>4. זמירה בן חמו: חלק מההעברות כוללות גם ועד בית (לפי הפירוט בבנק).</t>
  </si>
  <si>
    <t>5. לא נכללו: צ'ק 5000178 (4,000, 31/01) שחזר ב-02/02; צ'קים 155, 166, 167 (3,000 כל אחד, 26/03) שחזרו למחרת.</t>
  </si>
  <si>
    <t>6. לא נכללו כי הם לא שכירות, למרות שבכרטסת הם רשומים תחת המשכירים: פזל רודי השקעות 2,684 (25/12, חשבונית); אור אנרגיה 2,700 (18/11); אופל בלאנס חולון 45,370 - זה כסף שנכנס, לא תשלום.</t>
  </si>
  <si>
    <t>תאריך</t>
  </si>
  <si>
    <t>סכום</t>
  </si>
  <si>
    <t>אמצעי תשלום</t>
  </si>
  <si>
    <t>פירוט בבנק</t>
  </si>
  <si>
    <t>העברה בנקאית</t>
  </si>
  <si>
    <t>צ'ק 5000129</t>
  </si>
  <si>
    <t>צ'ק 5000130</t>
  </si>
  <si>
    <t>צ'ק 5000131</t>
  </si>
  <si>
    <t>צ'ק 5000132</t>
  </si>
  <si>
    <t>צ'ק 5000133</t>
  </si>
  <si>
    <t>צ'ק 5000134</t>
  </si>
  <si>
    <t>צ'ק 5000135</t>
  </si>
  <si>
    <t>צ'ק 5000136</t>
  </si>
  <si>
    <t>צ'ק 5000137</t>
  </si>
  <si>
    <t>צ'ק 5000138</t>
  </si>
  <si>
    <t>העברה אל: גבריאל שישא 20-729-000116002 שכירות יוסף קארו</t>
  </si>
  <si>
    <t>העברה אל: שישא גבריאל 20-729-000116002 שכירות יוסף קארו</t>
  </si>
  <si>
    <t>העברה אל: רחל מסטשי 10-601-094543849 שכירות חודש ינואר 2025</t>
  </si>
  <si>
    <t>צ'ק 5000195</t>
  </si>
  <si>
    <t>צ'ק 5000196</t>
  </si>
  <si>
    <t>צ'ק 5000197</t>
  </si>
  <si>
    <t>צ'ק 5000198</t>
  </si>
  <si>
    <t>צ'ק 5000199</t>
  </si>
  <si>
    <t>צ'ק 5000200</t>
  </si>
  <si>
    <t>צ'ק 5000207</t>
  </si>
  <si>
    <t>צ'ק 5000208</t>
  </si>
  <si>
    <t>צ'ק 5000209</t>
  </si>
  <si>
    <t>צ'ק 5000210</t>
  </si>
  <si>
    <t>העברה אל: רחל מסטשי 10-998-018567698 שכירות דצמבר</t>
  </si>
  <si>
    <t>העברה אל: זמירה בן חמו 11-109-000360414 שכירות חודש ינואר וועד בית</t>
  </si>
  <si>
    <t>העברה אל: זמירה בן חמו 11-109-000360414 שכירות ינואר 2025</t>
  </si>
  <si>
    <t>העברה אל: זמירה בן חמו 11-109-000360414 שכירות חודש מרץ</t>
  </si>
  <si>
    <t>העברה אל: זמירה בן חמו 11-109-000360414</t>
  </si>
  <si>
    <t>העברה אל: זמירה בן חמו 11-109-000360414 שכיר מאי וועד בית 3 חודשים</t>
  </si>
  <si>
    <t>העברה אל: זמירה בן חמו 11-109-000360414 שכירות יולי וועד בית</t>
  </si>
  <si>
    <t>העברה אל: זמירה בן חמו 11-109-000360414 שכירות רובוביץ אוגוסט 25</t>
  </si>
  <si>
    <t>העברה אל: זמירה בן חמו 11-109-000360414 שכירות חודש ספטמבר</t>
  </si>
  <si>
    <t>העברה אל: זמירה בן חמו 11-109-000360414 שכירות רובוביץ חודש 09 2025</t>
  </si>
  <si>
    <t>העברה אל: זמירה בן חמו 11-109-000360414 שכירות חודש נובמבר</t>
  </si>
  <si>
    <t>העברה אל: זמירה בן חמו 11-109-000360414 שכירות דצמבר</t>
  </si>
  <si>
    <t>העברה אל: משה טיטלבויים 12-533-000015814 תשלום שכר דירה קארו 34</t>
  </si>
  <si>
    <t>צ'ק 5000179</t>
  </si>
  <si>
    <t>צ'ק 5000180</t>
  </si>
  <si>
    <t>צ'ק 5000181</t>
  </si>
  <si>
    <t>צ'ק 5000182</t>
  </si>
  <si>
    <t>צ'ק 5000183</t>
  </si>
  <si>
    <t>צ'ק 5000184</t>
  </si>
  <si>
    <t>צ'ק 5000185</t>
  </si>
  <si>
    <t>צ'ק 5000186</t>
  </si>
  <si>
    <t>צ'ק 5000187</t>
  </si>
  <si>
    <t>העברה אל: הינדי טיילבוים 12-533-000015814 שכירות יוסף קארו</t>
  </si>
  <si>
    <t>העברה אל: הינדי טייטלבוים 12-533-000015814 שכירות יוסף קארו</t>
  </si>
  <si>
    <t>העברה אל: שלום קבאסה 04-488-000015987 שכירות 15 פברואר 2025</t>
  </si>
  <si>
    <t>העברה אל: שלום קבאסה 04-488-000015987</t>
  </si>
  <si>
    <t>העברה אל: שלום קבאסה 04-488-000015987 שכירות אשקלון</t>
  </si>
  <si>
    <t>העברה אל: שלום קבאסה 04-488-000015987 תשלום חודש 6</t>
  </si>
  <si>
    <t>העברה אל: שלום קבאסה 04-488-000015987 שכירות אשקלון חודש 08 2025</t>
  </si>
  <si>
    <t>העברה אל: שלום קבאסה 04-488-000015987 שכירות אשקלון חודש ספטמבר</t>
  </si>
  <si>
    <t>העברה אל: שלום קבאסה 04-488-000015987 שכירות אשקלון חודש אוקטובר</t>
  </si>
  <si>
    <t>העברה אל: שלום קבאסה 04-488-000015987 שכירות אשקלון חודש נובמבר</t>
  </si>
  <si>
    <t>העברה אל: שלום קבאסה 04-488-000015987 הפרשי חשמל</t>
  </si>
  <si>
    <t>העברה אל: שלום קבאסה 04-488-000015987 שכירות אשקלון דצמבר</t>
  </si>
  <si>
    <t>צ'ק 5000169</t>
  </si>
  <si>
    <t>צ'ק 5000170</t>
  </si>
  <si>
    <t>צ'ק 5000171</t>
  </si>
  <si>
    <t>צ'ק 5000172</t>
  </si>
  <si>
    <t>צ'ק 5000174</t>
  </si>
  <si>
    <t>צ'ק 5000173</t>
  </si>
  <si>
    <t>צ'ק 5000175</t>
  </si>
  <si>
    <t>העברה אל: טובה אייזנבך 52-172-000006734 שכירות חודש ינואר 2025</t>
  </si>
  <si>
    <t>העברה אל: טובה אייזנבך 52-172-000006734 שכירות ינואר 2025</t>
  </si>
  <si>
    <t>העברה אל: טובה אייזנבך 52-172-000006734 שכירות חודש מרץ</t>
  </si>
  <si>
    <t>העברה אל: טובה אייזנבך 52-172-000006734 שכירות חודש אפריל</t>
  </si>
  <si>
    <t>העברה אל: פילץ אלייסף 52-180-000779970</t>
  </si>
  <si>
    <t>העברה אל: אליסף פילץ 52-180-000779970 שכירות יוסף קארו</t>
  </si>
  <si>
    <t>העברה אל: פילץ אלייסף 52-180-000779970 שכירות יוסף קארו</t>
  </si>
  <si>
    <t>העברה אל: חיים קוט 10-916-000389049 שכירות דצמבר קרית גת</t>
  </si>
  <si>
    <t>7. צ'ק 5000190 (6,600, 28/01) הוסר משישא גבריאל - הוא לתריסי אור, לא שכירות.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</si>
</sst>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&quot;"/>
  </numFmts>
  <fonts count="4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164" fontId="2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4" fontId="1" fillId="0" borderId="1" xfId="0" applyNumberFormat="1" applyFont="1" applyBorder="1"/>
    <xf numFmtId="3" fontId="1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E147-9AC7-45F9-9F5E-8BAAD28241D0}">
  <dimension ref="A1:P22"/>
  <sheetViews>
    <sheetView rightToLeft="1" workbookViewId="0">
      <selection activeCell="A4" sqref="A4:XFD4"/>
    </sheetView>
  </sheetViews>
  <sheetFormatPr defaultRowHeight="12.75" x14ac:dyDescent="0.2"/>
  <cols>
    <col min="1" max="1" width="16.625" style="1" customWidth="1"/>
    <col min="2" max="2" width="11.625" style="1" customWidth="1"/>
    <col min="3" max="14" width="9.125" style="1" customWidth="1"/>
    <col min="15" max="15" width="11.625" style="1" customWidth="1"/>
    <col min="16" max="16" width="9.625" style="1" customWidth="1"/>
    <col min="17" max="16384" width="9" style="1"/>
  </cols>
  <sheetData>
    <row r="1" spans="1:16" ht="16.5" x14ac:dyDescent="0.25">
      <c r="A1" s="3" t="s">
        <v>0</v>
      </c>
    </row>
    <row r="3" spans="1:16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</row>
    <row r="4" spans="1:16" x14ac:dyDescent="0.2">
      <c r="A4" s="5" t="s">
        <v>17</v>
      </c>
      <c r="B4" s="5" t="s">
        <v>18</v>
      </c>
      <c r="C4" s="6">
        <v>7000</v>
      </c>
      <c r="D4" s="6"/>
      <c r="E4" s="6">
        <f>14000</f>
        <v>14000</v>
      </c>
      <c r="F4" s="6">
        <f>7000</f>
        <v>7000</v>
      </c>
      <c r="G4" s="6">
        <f>7000</f>
        <v>7000</v>
      </c>
      <c r="H4" s="6">
        <f>7000</f>
        <v>7000</v>
      </c>
      <c r="I4" s="6">
        <f>7000</f>
        <v>7000</v>
      </c>
      <c r="J4" s="6">
        <f>7000</f>
        <v>7000</v>
      </c>
      <c r="K4" s="6">
        <f>7000</f>
        <v>7000</v>
      </c>
      <c r="L4" s="6">
        <f>7000</f>
        <v>7000</v>
      </c>
      <c r="M4" s="6"/>
      <c r="N4" s="6">
        <f>21000</f>
        <v>21000</v>
      </c>
      <c r="O4" s="7">
        <f t="shared" ref="O4:O12" si="0">SUM(C4:N4)</f>
        <v>91000</v>
      </c>
      <c r="P4" s="5">
        <v>12</v>
      </c>
    </row>
    <row r="5" spans="1:16" x14ac:dyDescent="0.2">
      <c r="A5" s="5" t="s">
        <v>19</v>
      </c>
      <c r="B5" s="5" t="s">
        <v>20</v>
      </c>
      <c r="C5" s="6">
        <f>4700</f>
        <v>4700</v>
      </c>
      <c r="D5" s="6"/>
      <c r="E5" s="6">
        <f>9400</f>
        <v>9400</v>
      </c>
      <c r="F5" s="6">
        <f>4700</f>
        <v>4700</v>
      </c>
      <c r="G5" s="6">
        <f>4700</f>
        <v>4700</v>
      </c>
      <c r="H5" s="6">
        <f>4700</f>
        <v>4700</v>
      </c>
      <c r="I5" s="6">
        <f>4700</f>
        <v>4700</v>
      </c>
      <c r="J5" s="6">
        <f>4700</f>
        <v>4700</v>
      </c>
      <c r="K5" s="6">
        <f>4700</f>
        <v>4700</v>
      </c>
      <c r="L5" s="6">
        <f>4700</f>
        <v>4700</v>
      </c>
      <c r="M5" s="6">
        <f>4700</f>
        <v>4700</v>
      </c>
      <c r="N5" s="6">
        <f>4700</f>
        <v>4700</v>
      </c>
      <c r="O5" s="7">
        <f t="shared" si="0"/>
        <v>56400</v>
      </c>
      <c r="P5" s="5">
        <f>12</f>
        <v>12</v>
      </c>
    </row>
    <row r="6" spans="1:16" x14ac:dyDescent="0.2">
      <c r="A6" s="5" t="s">
        <v>21</v>
      </c>
      <c r="B6" s="5" t="s">
        <v>22</v>
      </c>
      <c r="C6" s="6">
        <f>4900</f>
        <v>4900</v>
      </c>
      <c r="D6" s="6">
        <f>4500</f>
        <v>4500</v>
      </c>
      <c r="E6" s="6">
        <f>4500</f>
        <v>4500</v>
      </c>
      <c r="F6" s="6">
        <f>4500</f>
        <v>4500</v>
      </c>
      <c r="G6" s="6">
        <f>4800</f>
        <v>4800</v>
      </c>
      <c r="H6" s="6">
        <f>4500</f>
        <v>4500</v>
      </c>
      <c r="I6" s="6">
        <f>5200</f>
        <v>5200</v>
      </c>
      <c r="J6" s="6">
        <f>4700</f>
        <v>4700</v>
      </c>
      <c r="K6" s="6">
        <f>4700</f>
        <v>4700</v>
      </c>
      <c r="L6" s="6">
        <f>4700</f>
        <v>4700</v>
      </c>
      <c r="M6" s="6">
        <f>4700</f>
        <v>4700</v>
      </c>
      <c r="N6" s="6">
        <f>4700</f>
        <v>4700</v>
      </c>
      <c r="O6" s="7">
        <f t="shared" si="0"/>
        <v>56400</v>
      </c>
      <c r="P6" s="5">
        <f>12</f>
        <v>12</v>
      </c>
    </row>
    <row r="7" spans="1:16" x14ac:dyDescent="0.2">
      <c r="A7" s="5" t="s">
        <v>23</v>
      </c>
      <c r="B7" s="5" t="s">
        <v>24</v>
      </c>
      <c r="C7" s="6"/>
      <c r="D7" s="6">
        <f>4000</f>
        <v>4000</v>
      </c>
      <c r="E7" s="6">
        <f>8000</f>
        <v>8000</v>
      </c>
      <c r="F7" s="6">
        <f>4000</f>
        <v>4000</v>
      </c>
      <c r="G7" s="6">
        <f>4000</f>
        <v>4000</v>
      </c>
      <c r="H7" s="6">
        <f>4000</f>
        <v>4000</v>
      </c>
      <c r="I7" s="6">
        <f>4000</f>
        <v>4000</v>
      </c>
      <c r="J7" s="6">
        <f>4000</f>
        <v>4000</v>
      </c>
      <c r="K7" s="6">
        <f>4000</f>
        <v>4000</v>
      </c>
      <c r="L7" s="6">
        <f>4000</f>
        <v>4000</v>
      </c>
      <c r="M7" s="6"/>
      <c r="N7" s="6">
        <f>8000</f>
        <v>8000</v>
      </c>
      <c r="O7" s="7">
        <f t="shared" si="0"/>
        <v>48000</v>
      </c>
      <c r="P7" s="5">
        <f>12</f>
        <v>12</v>
      </c>
    </row>
    <row r="8" spans="1:16" x14ac:dyDescent="0.2">
      <c r="A8" s="5" t="s">
        <v>25</v>
      </c>
      <c r="B8" s="5" t="s">
        <v>26</v>
      </c>
      <c r="C8" s="6"/>
      <c r="D8" s="6">
        <f>3700</f>
        <v>3700</v>
      </c>
      <c r="E8" s="6">
        <f>3500</f>
        <v>3500</v>
      </c>
      <c r="F8" s="6">
        <f>3500</f>
        <v>3500</v>
      </c>
      <c r="G8" s="6">
        <f>3500</f>
        <v>3500</v>
      </c>
      <c r="H8" s="6">
        <f>5250</f>
        <v>5250</v>
      </c>
      <c r="I8" s="6">
        <f>3500</f>
        <v>3500</v>
      </c>
      <c r="J8" s="6">
        <f>4360</f>
        <v>4360</v>
      </c>
      <c r="K8" s="6">
        <f>4410</f>
        <v>4410</v>
      </c>
      <c r="L8" s="6">
        <f>3500</f>
        <v>3500</v>
      </c>
      <c r="M8" s="6">
        <f>3500</f>
        <v>3500</v>
      </c>
      <c r="N8" s="6">
        <f>4309</f>
        <v>4309</v>
      </c>
      <c r="O8" s="7">
        <f t="shared" si="0"/>
        <v>43029</v>
      </c>
      <c r="P8" s="5">
        <f>12</f>
        <v>12</v>
      </c>
    </row>
    <row r="9" spans="1:16" x14ac:dyDescent="0.2">
      <c r="A9" s="5" t="s">
        <v>27</v>
      </c>
      <c r="B9" s="5" t="s">
        <v>28</v>
      </c>
      <c r="C9" s="6"/>
      <c r="D9" s="6"/>
      <c r="E9" s="6"/>
      <c r="F9" s="6"/>
      <c r="G9" s="6"/>
      <c r="H9" s="6">
        <f>6000</f>
        <v>6000</v>
      </c>
      <c r="I9" s="6"/>
      <c r="J9" s="6">
        <f>6000</f>
        <v>6000</v>
      </c>
      <c r="K9" s="6"/>
      <c r="L9" s="6">
        <f>6000</f>
        <v>6000</v>
      </c>
      <c r="M9" s="6">
        <f>3000</f>
        <v>3000</v>
      </c>
      <c r="N9" s="6"/>
      <c r="O9" s="7">
        <f t="shared" si="0"/>
        <v>21000</v>
      </c>
      <c r="P9" s="5">
        <f>7</f>
        <v>7</v>
      </c>
    </row>
    <row r="10" spans="1:16" x14ac:dyDescent="0.2">
      <c r="A10" s="5" t="s">
        <v>29</v>
      </c>
      <c r="B10" s="5" t="s">
        <v>30</v>
      </c>
      <c r="C10" s="6">
        <f>5300</f>
        <v>5300</v>
      </c>
      <c r="D10" s="6">
        <f>5300</f>
        <v>5300</v>
      </c>
      <c r="E10" s="6">
        <f>5300</f>
        <v>5300</v>
      </c>
      <c r="F10" s="6">
        <f>5300</f>
        <v>5300</v>
      </c>
      <c r="G10" s="6"/>
      <c r="H10" s="6"/>
      <c r="I10" s="6"/>
      <c r="J10" s="6"/>
      <c r="K10" s="6"/>
      <c r="L10" s="6"/>
      <c r="M10" s="6"/>
      <c r="N10" s="6"/>
      <c r="O10" s="7">
        <f t="shared" si="0"/>
        <v>21200</v>
      </c>
      <c r="P10" s="5">
        <f>4</f>
        <v>4</v>
      </c>
    </row>
    <row r="11" spans="1:16" x14ac:dyDescent="0.2">
      <c r="A11" s="5" t="s">
        <v>31</v>
      </c>
      <c r="B11" s="5" t="s">
        <v>28</v>
      </c>
      <c r="C11" s="6"/>
      <c r="D11" s="6"/>
      <c r="E11" s="6"/>
      <c r="F11" s="6"/>
      <c r="G11" s="6">
        <f>6000</f>
        <v>6000</v>
      </c>
      <c r="H11" s="6"/>
      <c r="I11" s="6"/>
      <c r="J11" s="6"/>
      <c r="K11" s="6"/>
      <c r="L11" s="6"/>
      <c r="M11" s="6"/>
      <c r="N11" s="6">
        <f>6000</f>
        <v>6000</v>
      </c>
      <c r="O11" s="7">
        <f t="shared" si="0"/>
        <v>12000</v>
      </c>
      <c r="P11" s="5">
        <f>3</f>
        <v>3</v>
      </c>
    </row>
    <row r="12" spans="1:16" x14ac:dyDescent="0.2">
      <c r="A12" s="5" t="s">
        <v>32</v>
      </c>
      <c r="B12" s="5" t="s">
        <v>33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f>5000</f>
        <v>5000</v>
      </c>
      <c r="O12" s="7">
        <f t="shared" si="0"/>
        <v>5000</v>
      </c>
      <c r="P12" s="5">
        <f>1</f>
        <v>1</v>
      </c>
    </row>
    <row r="13" spans="1:16" x14ac:dyDescent="0.2">
      <c r="A13" s="8" t="s">
        <v>34</v>
      </c>
      <c r="B13" s="8"/>
      <c r="C13" s="9">
        <f t="shared" ref="C13:P13" si="1">SUM(C4:C12)</f>
        <v>21900</v>
      </c>
      <c r="D13" s="9">
        <f t="shared" si="1"/>
        <v>17500</v>
      </c>
      <c r="E13" s="9">
        <f t="shared" si="1"/>
        <v>44700</v>
      </c>
      <c r="F13" s="9">
        <f t="shared" si="1"/>
        <v>29000</v>
      </c>
      <c r="G13" s="9">
        <f t="shared" si="1"/>
        <v>30000</v>
      </c>
      <c r="H13" s="9">
        <f t="shared" si="1"/>
        <v>31450</v>
      </c>
      <c r="I13" s="9">
        <f t="shared" si="1"/>
        <v>24400</v>
      </c>
      <c r="J13" s="9">
        <f t="shared" si="1"/>
        <v>30760</v>
      </c>
      <c r="K13" s="9">
        <f t="shared" si="1"/>
        <v>24810</v>
      </c>
      <c r="L13" s="9">
        <f t="shared" si="1"/>
        <v>29900</v>
      </c>
      <c r="M13" s="9">
        <f t="shared" si="1"/>
        <v>15900</v>
      </c>
      <c r="N13" s="9">
        <f t="shared" si="1"/>
        <v>53709</v>
      </c>
      <c r="O13" s="9">
        <f t="shared" si="1"/>
        <v>354029</v>
      </c>
      <c r="P13" s="8">
        <f t="shared" si="1"/>
        <v>75</v>
      </c>
    </row>
    <row r="15" spans="1:16" x14ac:dyDescent="0.2">
      <c r="A15" s="2" t="s">
        <v>35</v>
      </c>
    </row>
    <row r="16" spans="1:16" x14ac:dyDescent="0.2">
      <c r="A16" s="1" t="s">
        <v>36</v>
      </c>
    </row>
    <row r="17" spans="1:1" x14ac:dyDescent="0.2">
      <c r="A17" s="1" t="s">
        <v>37</v>
      </c>
    </row>
    <row r="18" spans="1:1" x14ac:dyDescent="0.2">
      <c r="A18" s="1" t="s">
        <v>38</v>
      </c>
    </row>
    <row r="19" spans="1:1" x14ac:dyDescent="0.2">
      <c r="A19" s="1" t="s">
        <v>39</v>
      </c>
    </row>
    <row r="20" spans="1:1" x14ac:dyDescent="0.2">
      <c r="A20" s="1" t="s">
        <v>40</v>
      </c>
    </row>
    <row r="21" spans="1:1" x14ac:dyDescent="0.2">
      <c r="A21" s="1" t="s">
        <v>41</v>
      </c>
    </row>
    <row r="22" spans="1:1" x14ac:dyDescent="0.2">
      <c r="A22" s="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45DC-BE49-42A2-A58B-10E1D95A32DC}">
  <dimension ref="A1:F77"/>
  <sheetViews>
    <sheetView rightToLeft="1" tabSelected="1" topLeftCell="A61" workbookViewId="0"/>
  </sheetViews>
  <sheetFormatPr defaultRowHeight="12.75" x14ac:dyDescent="0.2"/>
  <cols>
    <col min="1" max="1" width="16.625" style="1" customWidth="1"/>
    <col min="2" max="3" width="11.625" style="1" customWidth="1"/>
    <col min="4" max="4" width="10.625" style="1" customWidth="1"/>
    <col min="5" max="5" width="15.625" style="1" customWidth="1"/>
    <col min="6" max="6" width="60.625" style="1" customWidth="1"/>
    <col min="7" max="16384" width="9" style="1"/>
  </cols>
  <sheetData>
    <row r="1" spans="1:6" x14ac:dyDescent="0.2">
      <c r="A1" s="4" t="s">
        <v>1</v>
      </c>
      <c r="B1" s="4" t="s">
        <v>2</v>
      </c>
      <c r="C1" s="4" t="s">
        <v>42</v>
      </c>
      <c r="D1" s="4" t="s">
        <v>43</v>
      </c>
      <c r="E1" s="4" t="s">
        <v>44</v>
      </c>
      <c r="F1" s="4" t="s">
        <v>45</v>
      </c>
    </row>
    <row r="2" spans="1:6" x14ac:dyDescent="0.2">
      <c r="A2" s="5" t="s">
        <v>17</v>
      </c>
      <c r="B2" s="5" t="s">
        <v>18</v>
      </c>
      <c r="C2" s="10">
        <f>DATE(2025,1,21)</f>
        <v>45678</v>
      </c>
      <c r="D2" s="11">
        <f>7000</f>
        <v>7000</v>
      </c>
      <c r="E2" s="5" t="s">
        <v>47</v>
      </c>
      <c r="F2" s="5"/>
    </row>
    <row r="3" spans="1:6" x14ac:dyDescent="0.2">
      <c r="A3" s="5" t="s">
        <v>17</v>
      </c>
      <c r="B3" s="5" t="s">
        <v>18</v>
      </c>
      <c r="C3" s="10">
        <f>DATE(2025,3,3)</f>
        <v>45719</v>
      </c>
      <c r="D3" s="11">
        <f>7000</f>
        <v>7000</v>
      </c>
      <c r="E3" s="5" t="s">
        <v>48</v>
      </c>
      <c r="F3" s="5"/>
    </row>
    <row r="4" spans="1:6" x14ac:dyDescent="0.2">
      <c r="A4" s="5" t="s">
        <v>17</v>
      </c>
      <c r="B4" s="5" t="s">
        <v>18</v>
      </c>
      <c r="C4" s="10">
        <f>DATE(2025,3,21)</f>
        <v>45737</v>
      </c>
      <c r="D4" s="11">
        <f>7000</f>
        <v>7000</v>
      </c>
      <c r="E4" s="5" t="s">
        <v>49</v>
      </c>
      <c r="F4" s="5"/>
    </row>
    <row r="5" spans="1:6" x14ac:dyDescent="0.2">
      <c r="A5" s="5" t="s">
        <v>17</v>
      </c>
      <c r="B5" s="5" t="s">
        <v>18</v>
      </c>
      <c r="C5" s="10">
        <f>DATE(2025,4,21)</f>
        <v>45768</v>
      </c>
      <c r="D5" s="11">
        <f>7000</f>
        <v>7000</v>
      </c>
      <c r="E5" s="5" t="s">
        <v>50</v>
      </c>
      <c r="F5" s="5"/>
    </row>
    <row r="6" spans="1:6" x14ac:dyDescent="0.2">
      <c r="A6" s="5" t="s">
        <v>17</v>
      </c>
      <c r="B6" s="5" t="s">
        <v>18</v>
      </c>
      <c r="C6" s="10">
        <f>DATE(2025,5,21)</f>
        <v>45798</v>
      </c>
      <c r="D6" s="11">
        <f>7000</f>
        <v>7000</v>
      </c>
      <c r="E6" s="5" t="s">
        <v>51</v>
      </c>
      <c r="F6" s="5"/>
    </row>
    <row r="7" spans="1:6" x14ac:dyDescent="0.2">
      <c r="A7" s="5" t="s">
        <v>17</v>
      </c>
      <c r="B7" s="5" t="s">
        <v>18</v>
      </c>
      <c r="C7" s="10">
        <f>DATE(2025,6,23)</f>
        <v>45831</v>
      </c>
      <c r="D7" s="11">
        <f>7000</f>
        <v>7000</v>
      </c>
      <c r="E7" s="5" t="s">
        <v>52</v>
      </c>
      <c r="F7" s="5"/>
    </row>
    <row r="8" spans="1:6" x14ac:dyDescent="0.2">
      <c r="A8" s="5" t="s">
        <v>17</v>
      </c>
      <c r="B8" s="5" t="s">
        <v>18</v>
      </c>
      <c r="C8" s="10">
        <f>DATE(2025,7,21)</f>
        <v>45859</v>
      </c>
      <c r="D8" s="11">
        <f>7000</f>
        <v>7000</v>
      </c>
      <c r="E8" s="5" t="s">
        <v>53</v>
      </c>
      <c r="F8" s="5"/>
    </row>
    <row r="9" spans="1:6" x14ac:dyDescent="0.2">
      <c r="A9" s="5" t="s">
        <v>17</v>
      </c>
      <c r="B9" s="5" t="s">
        <v>18</v>
      </c>
      <c r="C9" s="10">
        <f>DATE(2025,8,24)</f>
        <v>45893</v>
      </c>
      <c r="D9" s="11">
        <f>7000</f>
        <v>7000</v>
      </c>
      <c r="E9" s="5" t="s">
        <v>54</v>
      </c>
      <c r="F9" s="5"/>
    </row>
    <row r="10" spans="1:6" x14ac:dyDescent="0.2">
      <c r="A10" s="5" t="s">
        <v>17</v>
      </c>
      <c r="B10" s="5" t="s">
        <v>18</v>
      </c>
      <c r="C10" s="10">
        <f>DATE(2025,9,21)</f>
        <v>45921</v>
      </c>
      <c r="D10" s="11">
        <f>7000</f>
        <v>7000</v>
      </c>
      <c r="E10" s="5" t="s">
        <v>55</v>
      </c>
      <c r="F10" s="5"/>
    </row>
    <row r="11" spans="1:6" x14ac:dyDescent="0.2">
      <c r="A11" s="5" t="s">
        <v>17</v>
      </c>
      <c r="B11" s="5" t="s">
        <v>18</v>
      </c>
      <c r="C11" s="10">
        <f>DATE(2025,10,23)</f>
        <v>45953</v>
      </c>
      <c r="D11" s="11">
        <f>7000</f>
        <v>7000</v>
      </c>
      <c r="E11" s="5" t="s">
        <v>56</v>
      </c>
      <c r="F11" s="5"/>
    </row>
    <row r="12" spans="1:6" x14ac:dyDescent="0.2">
      <c r="A12" s="5" t="s">
        <v>17</v>
      </c>
      <c r="B12" s="5" t="s">
        <v>18</v>
      </c>
      <c r="C12" s="10">
        <f>DATE(2025,12,8)</f>
        <v>45999</v>
      </c>
      <c r="D12" s="11">
        <f>14000</f>
        <v>14000</v>
      </c>
      <c r="E12" s="5" t="s">
        <v>46</v>
      </c>
      <c r="F12" s="5" t="s">
        <v>57</v>
      </c>
    </row>
    <row r="13" spans="1:6" x14ac:dyDescent="0.2">
      <c r="A13" s="5" t="s">
        <v>17</v>
      </c>
      <c r="B13" s="5" t="s">
        <v>18</v>
      </c>
      <c r="C13" s="10">
        <f>DATE(2025,12,25)</f>
        <v>46016</v>
      </c>
      <c r="D13" s="11">
        <f>7000</f>
        <v>7000</v>
      </c>
      <c r="E13" s="5" t="s">
        <v>46</v>
      </c>
      <c r="F13" s="5" t="s">
        <v>58</v>
      </c>
    </row>
    <row r="14" spans="1:6" x14ac:dyDescent="0.2">
      <c r="A14" s="5" t="s">
        <v>19</v>
      </c>
      <c r="B14" s="5" t="s">
        <v>20</v>
      </c>
      <c r="C14" s="10">
        <f>DATE(2025,1,16)</f>
        <v>45673</v>
      </c>
      <c r="D14" s="11">
        <f>4700</f>
        <v>4700</v>
      </c>
      <c r="E14" s="5" t="s">
        <v>46</v>
      </c>
      <c r="F14" s="5" t="s">
        <v>59</v>
      </c>
    </row>
    <row r="15" spans="1:6" x14ac:dyDescent="0.2">
      <c r="A15" s="5" t="s">
        <v>19</v>
      </c>
      <c r="B15" s="5" t="s">
        <v>20</v>
      </c>
      <c r="C15" s="10">
        <f>DATE(2025,3,2)</f>
        <v>45718</v>
      </c>
      <c r="D15" s="11">
        <f>4700</f>
        <v>4700</v>
      </c>
      <c r="E15" s="5" t="s">
        <v>60</v>
      </c>
      <c r="F15" s="5"/>
    </row>
    <row r="16" spans="1:6" x14ac:dyDescent="0.2">
      <c r="A16" s="5" t="s">
        <v>19</v>
      </c>
      <c r="B16" s="5" t="s">
        <v>20</v>
      </c>
      <c r="C16" s="10">
        <f>DATE(2025,3,17)</f>
        <v>45733</v>
      </c>
      <c r="D16" s="11">
        <f>4700</f>
        <v>4700</v>
      </c>
      <c r="E16" s="5" t="s">
        <v>61</v>
      </c>
      <c r="F16" s="5"/>
    </row>
    <row r="17" spans="1:6" x14ac:dyDescent="0.2">
      <c r="A17" s="5" t="s">
        <v>19</v>
      </c>
      <c r="B17" s="5" t="s">
        <v>20</v>
      </c>
      <c r="C17" s="10">
        <f>DATE(2025,4,17)</f>
        <v>45764</v>
      </c>
      <c r="D17" s="11">
        <f>4700</f>
        <v>4700</v>
      </c>
      <c r="E17" s="5" t="s">
        <v>62</v>
      </c>
      <c r="F17" s="5"/>
    </row>
    <row r="18" spans="1:6" x14ac:dyDescent="0.2">
      <c r="A18" s="5" t="s">
        <v>19</v>
      </c>
      <c r="B18" s="5" t="s">
        <v>20</v>
      </c>
      <c r="C18" s="10">
        <f>DATE(2025,5,18)</f>
        <v>45795</v>
      </c>
      <c r="D18" s="11">
        <f>4700</f>
        <v>4700</v>
      </c>
      <c r="E18" s="5" t="s">
        <v>63</v>
      </c>
      <c r="F18" s="5"/>
    </row>
    <row r="19" spans="1:6" x14ac:dyDescent="0.2">
      <c r="A19" s="5" t="s">
        <v>19</v>
      </c>
      <c r="B19" s="5" t="s">
        <v>20</v>
      </c>
      <c r="C19" s="10">
        <f>DATE(2025,6,17)</f>
        <v>45825</v>
      </c>
      <c r="D19" s="11">
        <f>4700</f>
        <v>4700</v>
      </c>
      <c r="E19" s="5" t="s">
        <v>64</v>
      </c>
      <c r="F19" s="5"/>
    </row>
    <row r="20" spans="1:6" x14ac:dyDescent="0.2">
      <c r="A20" s="5" t="s">
        <v>19</v>
      </c>
      <c r="B20" s="5" t="s">
        <v>20</v>
      </c>
      <c r="C20" s="10">
        <f>DATE(2025,7,17)</f>
        <v>45855</v>
      </c>
      <c r="D20" s="11">
        <f>4700</f>
        <v>4700</v>
      </c>
      <c r="E20" s="5" t="s">
        <v>65</v>
      </c>
      <c r="F20" s="5"/>
    </row>
    <row r="21" spans="1:6" x14ac:dyDescent="0.2">
      <c r="A21" s="5" t="s">
        <v>19</v>
      </c>
      <c r="B21" s="5" t="s">
        <v>20</v>
      </c>
      <c r="C21" s="10">
        <f>DATE(2025,8,17)</f>
        <v>45886</v>
      </c>
      <c r="D21" s="11">
        <f>4700</f>
        <v>4700</v>
      </c>
      <c r="E21" s="5" t="s">
        <v>66</v>
      </c>
      <c r="F21" s="5"/>
    </row>
    <row r="22" spans="1:6" x14ac:dyDescent="0.2">
      <c r="A22" s="5" t="s">
        <v>19</v>
      </c>
      <c r="B22" s="5" t="s">
        <v>20</v>
      </c>
      <c r="C22" s="10">
        <f>DATE(2025,9,17)</f>
        <v>45917</v>
      </c>
      <c r="D22" s="11">
        <f>4700</f>
        <v>4700</v>
      </c>
      <c r="E22" s="5" t="s">
        <v>67</v>
      </c>
      <c r="F22" s="5"/>
    </row>
    <row r="23" spans="1:6" x14ac:dyDescent="0.2">
      <c r="A23" s="5" t="s">
        <v>19</v>
      </c>
      <c r="B23" s="5" t="s">
        <v>20</v>
      </c>
      <c r="C23" s="10">
        <f>DATE(2025,10,17)</f>
        <v>45947</v>
      </c>
      <c r="D23" s="11">
        <f>4700</f>
        <v>4700</v>
      </c>
      <c r="E23" s="5" t="s">
        <v>68</v>
      </c>
      <c r="F23" s="5"/>
    </row>
    <row r="24" spans="1:6" x14ac:dyDescent="0.2">
      <c r="A24" s="5" t="s">
        <v>19</v>
      </c>
      <c r="B24" s="5" t="s">
        <v>20</v>
      </c>
      <c r="C24" s="10">
        <f>DATE(2025,11,17)</f>
        <v>45978</v>
      </c>
      <c r="D24" s="11">
        <f>4700</f>
        <v>4700</v>
      </c>
      <c r="E24" s="5" t="s">
        <v>69</v>
      </c>
      <c r="F24" s="5"/>
    </row>
    <row r="25" spans="1:6" x14ac:dyDescent="0.2">
      <c r="A25" s="5" t="s">
        <v>19</v>
      </c>
      <c r="B25" s="5" t="s">
        <v>20</v>
      </c>
      <c r="C25" s="10">
        <f>DATE(2025,12,14)</f>
        <v>46005</v>
      </c>
      <c r="D25" s="11">
        <f>4700</f>
        <v>4700</v>
      </c>
      <c r="E25" s="5" t="s">
        <v>46</v>
      </c>
      <c r="F25" s="5" t="s">
        <v>70</v>
      </c>
    </row>
    <row r="26" spans="1:6" x14ac:dyDescent="0.2">
      <c r="A26" s="5" t="s">
        <v>21</v>
      </c>
      <c r="B26" s="5" t="s">
        <v>22</v>
      </c>
      <c r="C26" s="10">
        <f>DATE(2025,1,7)</f>
        <v>45664</v>
      </c>
      <c r="D26" s="11">
        <f>4900</f>
        <v>4900</v>
      </c>
      <c r="E26" s="5" t="s">
        <v>46</v>
      </c>
      <c r="F26" s="5" t="s">
        <v>71</v>
      </c>
    </row>
    <row r="27" spans="1:6" x14ac:dyDescent="0.2">
      <c r="A27" s="5" t="s">
        <v>21</v>
      </c>
      <c r="B27" s="5" t="s">
        <v>22</v>
      </c>
      <c r="C27" s="10">
        <f>DATE(2025,2,10)</f>
        <v>45698</v>
      </c>
      <c r="D27" s="11">
        <f>4500</f>
        <v>4500</v>
      </c>
      <c r="E27" s="5" t="s">
        <v>46</v>
      </c>
      <c r="F27" s="5" t="s">
        <v>72</v>
      </c>
    </row>
    <row r="28" spans="1:6" x14ac:dyDescent="0.2">
      <c r="A28" s="5" t="s">
        <v>21</v>
      </c>
      <c r="B28" s="5" t="s">
        <v>22</v>
      </c>
      <c r="C28" s="10">
        <f>DATE(2025,3,9)</f>
        <v>45725</v>
      </c>
      <c r="D28" s="11">
        <f>4500</f>
        <v>4500</v>
      </c>
      <c r="E28" s="5" t="s">
        <v>46</v>
      </c>
      <c r="F28" s="5" t="s">
        <v>73</v>
      </c>
    </row>
    <row r="29" spans="1:6" x14ac:dyDescent="0.2">
      <c r="A29" s="5" t="s">
        <v>21</v>
      </c>
      <c r="B29" s="5" t="s">
        <v>22</v>
      </c>
      <c r="C29" s="10">
        <f>DATE(2025,4,7)</f>
        <v>45754</v>
      </c>
      <c r="D29" s="11">
        <f>4500</f>
        <v>4500</v>
      </c>
      <c r="E29" s="5" t="s">
        <v>46</v>
      </c>
      <c r="F29" s="5" t="s">
        <v>74</v>
      </c>
    </row>
    <row r="30" spans="1:6" x14ac:dyDescent="0.2">
      <c r="A30" s="5" t="s">
        <v>21</v>
      </c>
      <c r="B30" s="5" t="s">
        <v>22</v>
      </c>
      <c r="C30" s="10">
        <f>DATE(2025,5,12)</f>
        <v>45789</v>
      </c>
      <c r="D30" s="11">
        <f>4800</f>
        <v>4800</v>
      </c>
      <c r="E30" s="5" t="s">
        <v>46</v>
      </c>
      <c r="F30" s="5" t="s">
        <v>75</v>
      </c>
    </row>
    <row r="31" spans="1:6" x14ac:dyDescent="0.2">
      <c r="A31" s="5" t="s">
        <v>21</v>
      </c>
      <c r="B31" s="5" t="s">
        <v>22</v>
      </c>
      <c r="C31" s="10">
        <f>DATE(2025,6,11)</f>
        <v>45819</v>
      </c>
      <c r="D31" s="11">
        <f>4500</f>
        <v>4500</v>
      </c>
      <c r="E31" s="5" t="s">
        <v>46</v>
      </c>
      <c r="F31" s="5" t="s">
        <v>74</v>
      </c>
    </row>
    <row r="32" spans="1:6" x14ac:dyDescent="0.2">
      <c r="A32" s="5" t="s">
        <v>21</v>
      </c>
      <c r="B32" s="5" t="s">
        <v>22</v>
      </c>
      <c r="C32" s="10">
        <f>DATE(2025,7,8)</f>
        <v>45846</v>
      </c>
      <c r="D32" s="11">
        <f>5200</f>
        <v>5200</v>
      </c>
      <c r="E32" s="5" t="s">
        <v>46</v>
      </c>
      <c r="F32" s="5" t="s">
        <v>76</v>
      </c>
    </row>
    <row r="33" spans="1:6" x14ac:dyDescent="0.2">
      <c r="A33" s="5" t="s">
        <v>21</v>
      </c>
      <c r="B33" s="5" t="s">
        <v>22</v>
      </c>
      <c r="C33" s="10">
        <f>DATE(2025,8,8)</f>
        <v>45877</v>
      </c>
      <c r="D33" s="11">
        <f>4700</f>
        <v>4700</v>
      </c>
      <c r="E33" s="5" t="s">
        <v>46</v>
      </c>
      <c r="F33" s="5" t="s">
        <v>77</v>
      </c>
    </row>
    <row r="34" spans="1:6" x14ac:dyDescent="0.2">
      <c r="A34" s="5" t="s">
        <v>21</v>
      </c>
      <c r="B34" s="5" t="s">
        <v>22</v>
      </c>
      <c r="C34" s="10">
        <f>DATE(2025,9,8)</f>
        <v>45908</v>
      </c>
      <c r="D34" s="11">
        <f>4700</f>
        <v>4700</v>
      </c>
      <c r="E34" s="5" t="s">
        <v>46</v>
      </c>
      <c r="F34" s="5" t="s">
        <v>78</v>
      </c>
    </row>
    <row r="35" spans="1:6" x14ac:dyDescent="0.2">
      <c r="A35" s="5" t="s">
        <v>21</v>
      </c>
      <c r="B35" s="5" t="s">
        <v>22</v>
      </c>
      <c r="C35" s="10">
        <f>DATE(2025,10,10)</f>
        <v>45940</v>
      </c>
      <c r="D35" s="11">
        <f>4700</f>
        <v>4700</v>
      </c>
      <c r="E35" s="5" t="s">
        <v>46</v>
      </c>
      <c r="F35" s="5" t="s">
        <v>79</v>
      </c>
    </row>
    <row r="36" spans="1:6" x14ac:dyDescent="0.2">
      <c r="A36" s="5" t="s">
        <v>21</v>
      </c>
      <c r="B36" s="5" t="s">
        <v>22</v>
      </c>
      <c r="C36" s="10">
        <f>DATE(2025,11,10)</f>
        <v>45971</v>
      </c>
      <c r="D36" s="11">
        <f>4700</f>
        <v>4700</v>
      </c>
      <c r="E36" s="5" t="s">
        <v>46</v>
      </c>
      <c r="F36" s="5" t="s">
        <v>80</v>
      </c>
    </row>
    <row r="37" spans="1:6" x14ac:dyDescent="0.2">
      <c r="A37" s="5" t="s">
        <v>21</v>
      </c>
      <c r="B37" s="5" t="s">
        <v>22</v>
      </c>
      <c r="C37" s="10">
        <f>DATE(2025,12,11)</f>
        <v>46002</v>
      </c>
      <c r="D37" s="11">
        <f>4700</f>
        <v>4700</v>
      </c>
      <c r="E37" s="5" t="s">
        <v>46</v>
      </c>
      <c r="F37" s="5" t="s">
        <v>81</v>
      </c>
    </row>
    <row r="38" spans="1:6" x14ac:dyDescent="0.2">
      <c r="A38" s="5" t="s">
        <v>23</v>
      </c>
      <c r="B38" s="5" t="s">
        <v>24</v>
      </c>
      <c r="C38" s="10">
        <f>DATE(2025,2,21)</f>
        <v>45709</v>
      </c>
      <c r="D38" s="11">
        <f>4000</f>
        <v>4000</v>
      </c>
      <c r="E38" s="5" t="s">
        <v>46</v>
      </c>
      <c r="F38" s="5" t="s">
        <v>82</v>
      </c>
    </row>
    <row r="39" spans="1:6" x14ac:dyDescent="0.2">
      <c r="A39" s="5" t="s">
        <v>23</v>
      </c>
      <c r="B39" s="5" t="s">
        <v>24</v>
      </c>
      <c r="C39" s="10">
        <f>DATE(2025,3,4)</f>
        <v>45720</v>
      </c>
      <c r="D39" s="11">
        <f>4000</f>
        <v>4000</v>
      </c>
      <c r="E39" s="5" t="s">
        <v>83</v>
      </c>
      <c r="F39" s="5"/>
    </row>
    <row r="40" spans="1:6" x14ac:dyDescent="0.2">
      <c r="A40" s="5" t="s">
        <v>23</v>
      </c>
      <c r="B40" s="5" t="s">
        <v>24</v>
      </c>
      <c r="C40" s="10">
        <f>DATE(2025,3,28)</f>
        <v>45744</v>
      </c>
      <c r="D40" s="11">
        <f>4000</f>
        <v>4000</v>
      </c>
      <c r="E40" s="5" t="s">
        <v>84</v>
      </c>
      <c r="F40" s="5"/>
    </row>
    <row r="41" spans="1:6" x14ac:dyDescent="0.2">
      <c r="A41" s="5" t="s">
        <v>23</v>
      </c>
      <c r="B41" s="5" t="s">
        <v>24</v>
      </c>
      <c r="C41" s="10">
        <f>DATE(2025,4,25)</f>
        <v>45772</v>
      </c>
      <c r="D41" s="11">
        <f>4000</f>
        <v>4000</v>
      </c>
      <c r="E41" s="5" t="s">
        <v>85</v>
      </c>
      <c r="F41" s="5"/>
    </row>
    <row r="42" spans="1:6" x14ac:dyDescent="0.2">
      <c r="A42" s="5" t="s">
        <v>23</v>
      </c>
      <c r="B42" s="5" t="s">
        <v>24</v>
      </c>
      <c r="C42" s="10">
        <f>DATE(2025,5,22)</f>
        <v>45799</v>
      </c>
      <c r="D42" s="11">
        <f>4000</f>
        <v>4000</v>
      </c>
      <c r="E42" s="5" t="s">
        <v>86</v>
      </c>
      <c r="F42" s="5"/>
    </row>
    <row r="43" spans="1:6" x14ac:dyDescent="0.2">
      <c r="A43" s="5" t="s">
        <v>23</v>
      </c>
      <c r="B43" s="5" t="s">
        <v>24</v>
      </c>
      <c r="C43" s="10">
        <f>DATE(2025,6,26)</f>
        <v>45834</v>
      </c>
      <c r="D43" s="11">
        <f>4000</f>
        <v>4000</v>
      </c>
      <c r="E43" s="5" t="s">
        <v>87</v>
      </c>
      <c r="F43" s="5"/>
    </row>
    <row r="44" spans="1:6" x14ac:dyDescent="0.2">
      <c r="A44" s="5" t="s">
        <v>23</v>
      </c>
      <c r="B44" s="5" t="s">
        <v>24</v>
      </c>
      <c r="C44" s="10">
        <f>DATE(2025,7,24)</f>
        <v>45862</v>
      </c>
      <c r="D44" s="11">
        <f>4000</f>
        <v>4000</v>
      </c>
      <c r="E44" s="5" t="s">
        <v>88</v>
      </c>
      <c r="F44" s="5"/>
    </row>
    <row r="45" spans="1:6" x14ac:dyDescent="0.2">
      <c r="A45" s="5" t="s">
        <v>23</v>
      </c>
      <c r="B45" s="5" t="s">
        <v>24</v>
      </c>
      <c r="C45" s="10">
        <f>DATE(2025,8,27)</f>
        <v>45896</v>
      </c>
      <c r="D45" s="11">
        <f>4000</f>
        <v>4000</v>
      </c>
      <c r="E45" s="5" t="s">
        <v>89</v>
      </c>
      <c r="F45" s="5"/>
    </row>
    <row r="46" spans="1:6" x14ac:dyDescent="0.2">
      <c r="A46" s="5" t="s">
        <v>23</v>
      </c>
      <c r="B46" s="5" t="s">
        <v>24</v>
      </c>
      <c r="C46" s="10">
        <f>DATE(2025,9,29)</f>
        <v>45929</v>
      </c>
      <c r="D46" s="11">
        <f>4000</f>
        <v>4000</v>
      </c>
      <c r="E46" s="5" t="s">
        <v>90</v>
      </c>
      <c r="F46" s="5"/>
    </row>
    <row r="47" spans="1:6" x14ac:dyDescent="0.2">
      <c r="A47" s="5" t="s">
        <v>23</v>
      </c>
      <c r="B47" s="5" t="s">
        <v>24</v>
      </c>
      <c r="C47" s="10">
        <f>DATE(2025,10,21)</f>
        <v>45951</v>
      </c>
      <c r="D47" s="11">
        <f>4000</f>
        <v>4000</v>
      </c>
      <c r="E47" s="5" t="s">
        <v>91</v>
      </c>
      <c r="F47" s="5"/>
    </row>
    <row r="48" spans="1:6" x14ac:dyDescent="0.2">
      <c r="A48" s="5" t="s">
        <v>23</v>
      </c>
      <c r="B48" s="5" t="s">
        <v>24</v>
      </c>
      <c r="C48" s="10">
        <f>DATE(2025,12,8)</f>
        <v>45999</v>
      </c>
      <c r="D48" s="11">
        <f>4000</f>
        <v>4000</v>
      </c>
      <c r="E48" s="5" t="s">
        <v>46</v>
      </c>
      <c r="F48" s="5" t="s">
        <v>92</v>
      </c>
    </row>
    <row r="49" spans="1:6" x14ac:dyDescent="0.2">
      <c r="A49" s="5" t="s">
        <v>23</v>
      </c>
      <c r="B49" s="5" t="s">
        <v>24</v>
      </c>
      <c r="C49" s="10">
        <f>DATE(2025,12,25)</f>
        <v>46016</v>
      </c>
      <c r="D49" s="11">
        <f>4000</f>
        <v>4000</v>
      </c>
      <c r="E49" s="5" t="s">
        <v>46</v>
      </c>
      <c r="F49" s="5" t="s">
        <v>93</v>
      </c>
    </row>
    <row r="50" spans="1:6" x14ac:dyDescent="0.2">
      <c r="A50" s="5" t="s">
        <v>25</v>
      </c>
      <c r="B50" s="5" t="s">
        <v>26</v>
      </c>
      <c r="C50" s="10">
        <f>DATE(2025,2,16)</f>
        <v>45704</v>
      </c>
      <c r="D50" s="11">
        <f>3700</f>
        <v>3700</v>
      </c>
      <c r="E50" s="5" t="s">
        <v>46</v>
      </c>
      <c r="F50" s="5" t="s">
        <v>94</v>
      </c>
    </row>
    <row r="51" spans="1:6" x14ac:dyDescent="0.2">
      <c r="A51" s="5" t="s">
        <v>25</v>
      </c>
      <c r="B51" s="5" t="s">
        <v>26</v>
      </c>
      <c r="C51" s="10">
        <f>DATE(2025,3,18)</f>
        <v>45734</v>
      </c>
      <c r="D51" s="11">
        <f>3500</f>
        <v>3500</v>
      </c>
      <c r="E51" s="5" t="s">
        <v>46</v>
      </c>
      <c r="F51" s="5" t="s">
        <v>95</v>
      </c>
    </row>
    <row r="52" spans="1:6" x14ac:dyDescent="0.2">
      <c r="A52" s="5" t="s">
        <v>25</v>
      </c>
      <c r="B52" s="5" t="s">
        <v>26</v>
      </c>
      <c r="C52" s="10">
        <f>DATE(2025,4,16)</f>
        <v>45763</v>
      </c>
      <c r="D52" s="11">
        <f>3500</f>
        <v>3500</v>
      </c>
      <c r="E52" s="5" t="s">
        <v>46</v>
      </c>
      <c r="F52" s="5" t="s">
        <v>96</v>
      </c>
    </row>
    <row r="53" spans="1:6" x14ac:dyDescent="0.2">
      <c r="A53" s="5" t="s">
        <v>25</v>
      </c>
      <c r="B53" s="5" t="s">
        <v>26</v>
      </c>
      <c r="C53" s="10">
        <f>DATE(2025,5,15)</f>
        <v>45792</v>
      </c>
      <c r="D53" s="11">
        <f>3500</f>
        <v>3500</v>
      </c>
      <c r="E53" s="5" t="s">
        <v>46</v>
      </c>
      <c r="F53" s="5" t="s">
        <v>95</v>
      </c>
    </row>
    <row r="54" spans="1:6" x14ac:dyDescent="0.2">
      <c r="A54" s="5" t="s">
        <v>25</v>
      </c>
      <c r="B54" s="5" t="s">
        <v>26</v>
      </c>
      <c r="C54" s="10">
        <f>DATE(2025,6,22)</f>
        <v>45830</v>
      </c>
      <c r="D54" s="11">
        <f>5250</f>
        <v>5250</v>
      </c>
      <c r="E54" s="5" t="s">
        <v>46</v>
      </c>
      <c r="F54" s="5" t="s">
        <v>97</v>
      </c>
    </row>
    <row r="55" spans="1:6" x14ac:dyDescent="0.2">
      <c r="A55" s="5" t="s">
        <v>25</v>
      </c>
      <c r="B55" s="5" t="s">
        <v>26</v>
      </c>
      <c r="C55" s="10">
        <f>DATE(2025,7,15)</f>
        <v>45853</v>
      </c>
      <c r="D55" s="11">
        <f>3500</f>
        <v>3500</v>
      </c>
      <c r="E55" s="5" t="s">
        <v>46</v>
      </c>
      <c r="F55" s="5" t="s">
        <v>95</v>
      </c>
    </row>
    <row r="56" spans="1:6" x14ac:dyDescent="0.2">
      <c r="A56" s="5" t="s">
        <v>25</v>
      </c>
      <c r="B56" s="5" t="s">
        <v>26</v>
      </c>
      <c r="C56" s="10">
        <f>DATE(2025,8,15)</f>
        <v>45884</v>
      </c>
      <c r="D56" s="11">
        <f>4360</f>
        <v>4360</v>
      </c>
      <c r="E56" s="5" t="s">
        <v>46</v>
      </c>
      <c r="F56" s="5" t="s">
        <v>98</v>
      </c>
    </row>
    <row r="57" spans="1:6" x14ac:dyDescent="0.2">
      <c r="A57" s="5" t="s">
        <v>25</v>
      </c>
      <c r="B57" s="5" t="s">
        <v>26</v>
      </c>
      <c r="C57" s="10">
        <f>DATE(2025,9,16)</f>
        <v>45916</v>
      </c>
      <c r="D57" s="11">
        <f>4410</f>
        <v>4410</v>
      </c>
      <c r="E57" s="5" t="s">
        <v>46</v>
      </c>
      <c r="F57" s="5" t="s">
        <v>99</v>
      </c>
    </row>
    <row r="58" spans="1:6" x14ac:dyDescent="0.2">
      <c r="A58" s="5" t="s">
        <v>25</v>
      </c>
      <c r="B58" s="5" t="s">
        <v>26</v>
      </c>
      <c r="C58" s="10">
        <f>DATE(2025,10,16)</f>
        <v>45946</v>
      </c>
      <c r="D58" s="11">
        <f>3500</f>
        <v>3500</v>
      </c>
      <c r="E58" s="5" t="s">
        <v>46</v>
      </c>
      <c r="F58" s="5" t="s">
        <v>100</v>
      </c>
    </row>
    <row r="59" spans="1:6" x14ac:dyDescent="0.2">
      <c r="A59" s="5" t="s">
        <v>25</v>
      </c>
      <c r="B59" s="5" t="s">
        <v>26</v>
      </c>
      <c r="C59" s="10">
        <f>DATE(2025,11,18)</f>
        <v>45979</v>
      </c>
      <c r="D59" s="11">
        <f>3500</f>
        <v>3500</v>
      </c>
      <c r="E59" s="5" t="s">
        <v>46</v>
      </c>
      <c r="F59" s="5" t="s">
        <v>101</v>
      </c>
    </row>
    <row r="60" spans="1:6" x14ac:dyDescent="0.2">
      <c r="A60" s="5" t="s">
        <v>25</v>
      </c>
      <c r="B60" s="5" t="s">
        <v>26</v>
      </c>
      <c r="C60" s="10">
        <f>DATE(2025,12,11)</f>
        <v>46002</v>
      </c>
      <c r="D60" s="11">
        <f>809</f>
        <v>809</v>
      </c>
      <c r="E60" s="5" t="s">
        <v>46</v>
      </c>
      <c r="F60" s="5" t="s">
        <v>102</v>
      </c>
    </row>
    <row r="61" spans="1:6" x14ac:dyDescent="0.2">
      <c r="A61" s="5" t="s">
        <v>25</v>
      </c>
      <c r="B61" s="5" t="s">
        <v>26</v>
      </c>
      <c r="C61" s="10">
        <f>DATE(2025,12,14)</f>
        <v>46005</v>
      </c>
      <c r="D61" s="11">
        <f>3500</f>
        <v>3500</v>
      </c>
      <c r="E61" s="5" t="s">
        <v>46</v>
      </c>
      <c r="F61" s="5" t="s">
        <v>103</v>
      </c>
    </row>
    <row r="62" spans="1:6" x14ac:dyDescent="0.2">
      <c r="A62" s="5" t="s">
        <v>27</v>
      </c>
      <c r="B62" s="5" t="s">
        <v>28</v>
      </c>
      <c r="C62" s="10">
        <f>DATE(2025,6,1)</f>
        <v>45809</v>
      </c>
      <c r="D62" s="11">
        <f>3000</f>
        <v>3000</v>
      </c>
      <c r="E62" s="5" t="s">
        <v>104</v>
      </c>
      <c r="F62" s="5"/>
    </row>
    <row r="63" spans="1:6" x14ac:dyDescent="0.2">
      <c r="A63" s="5" t="s">
        <v>27</v>
      </c>
      <c r="B63" s="5" t="s">
        <v>28</v>
      </c>
      <c r="C63" s="10">
        <f>DATE(2025,6,24)</f>
        <v>45832</v>
      </c>
      <c r="D63" s="11">
        <f>3000</f>
        <v>3000</v>
      </c>
      <c r="E63" s="5" t="s">
        <v>105</v>
      </c>
      <c r="F63" s="5"/>
    </row>
    <row r="64" spans="1:6" x14ac:dyDescent="0.2">
      <c r="A64" s="5" t="s">
        <v>27</v>
      </c>
      <c r="B64" s="5" t="s">
        <v>28</v>
      </c>
      <c r="C64" s="10">
        <f>DATE(2025,8,6)</f>
        <v>45875</v>
      </c>
      <c r="D64" s="11">
        <f>3000</f>
        <v>3000</v>
      </c>
      <c r="E64" s="5" t="s">
        <v>106</v>
      </c>
      <c r="F64" s="5"/>
    </row>
    <row r="65" spans="1:6" x14ac:dyDescent="0.2">
      <c r="A65" s="5" t="s">
        <v>27</v>
      </c>
      <c r="B65" s="5" t="s">
        <v>28</v>
      </c>
      <c r="C65" s="10">
        <f>DATE(2025,8,21)</f>
        <v>45890</v>
      </c>
      <c r="D65" s="11">
        <f>3000</f>
        <v>3000</v>
      </c>
      <c r="E65" s="5" t="s">
        <v>107</v>
      </c>
      <c r="F65" s="5"/>
    </row>
    <row r="66" spans="1:6" x14ac:dyDescent="0.2">
      <c r="A66" s="5" t="s">
        <v>27</v>
      </c>
      <c r="B66" s="5" t="s">
        <v>28</v>
      </c>
      <c r="C66" s="10">
        <f>DATE(2025,10,26)</f>
        <v>45956</v>
      </c>
      <c r="D66" s="11">
        <f>3000</f>
        <v>3000</v>
      </c>
      <c r="E66" s="5" t="s">
        <v>108</v>
      </c>
      <c r="F66" s="5"/>
    </row>
    <row r="67" spans="1:6" x14ac:dyDescent="0.2">
      <c r="A67" s="5" t="s">
        <v>27</v>
      </c>
      <c r="B67" s="5" t="s">
        <v>28</v>
      </c>
      <c r="C67" s="10">
        <f>DATE(2025,10,26)</f>
        <v>45956</v>
      </c>
      <c r="D67" s="11">
        <f>3000</f>
        <v>3000</v>
      </c>
      <c r="E67" s="5" t="s">
        <v>109</v>
      </c>
      <c r="F67" s="5"/>
    </row>
    <row r="68" spans="1:6" x14ac:dyDescent="0.2">
      <c r="A68" s="5" t="s">
        <v>27</v>
      </c>
      <c r="B68" s="5" t="s">
        <v>28</v>
      </c>
      <c r="C68" s="10">
        <f>DATE(2025,11,24)</f>
        <v>45985</v>
      </c>
      <c r="D68" s="11">
        <f>3000</f>
        <v>3000</v>
      </c>
      <c r="E68" s="5" t="s">
        <v>110</v>
      </c>
      <c r="F68" s="5"/>
    </row>
    <row r="69" spans="1:6" x14ac:dyDescent="0.2">
      <c r="A69" s="5" t="s">
        <v>29</v>
      </c>
      <c r="B69" s="5" t="s">
        <v>30</v>
      </c>
      <c r="C69" s="10">
        <f>DATE(2025,1,7)</f>
        <v>45664</v>
      </c>
      <c r="D69" s="11">
        <f>5300</f>
        <v>5300</v>
      </c>
      <c r="E69" s="5" t="s">
        <v>46</v>
      </c>
      <c r="F69" s="5" t="s">
        <v>111</v>
      </c>
    </row>
    <row r="70" spans="1:6" x14ac:dyDescent="0.2">
      <c r="A70" s="5" t="s">
        <v>29</v>
      </c>
      <c r="B70" s="5" t="s">
        <v>30</v>
      </c>
      <c r="C70" s="10">
        <f>DATE(2025,2,10)</f>
        <v>45698</v>
      </c>
      <c r="D70" s="11">
        <f>5300</f>
        <v>5300</v>
      </c>
      <c r="E70" s="5" t="s">
        <v>46</v>
      </c>
      <c r="F70" s="5" t="s">
        <v>112</v>
      </c>
    </row>
    <row r="71" spans="1:6" x14ac:dyDescent="0.2">
      <c r="A71" s="5" t="s">
        <v>29</v>
      </c>
      <c r="B71" s="5" t="s">
        <v>30</v>
      </c>
      <c r="C71" s="10">
        <f>DATE(2025,3,9)</f>
        <v>45725</v>
      </c>
      <c r="D71" s="11">
        <f>5300</f>
        <v>5300</v>
      </c>
      <c r="E71" s="5" t="s">
        <v>46</v>
      </c>
      <c r="F71" s="5" t="s">
        <v>113</v>
      </c>
    </row>
    <row r="72" spans="1:6" x14ac:dyDescent="0.2">
      <c r="A72" s="5" t="s">
        <v>29</v>
      </c>
      <c r="B72" s="5" t="s">
        <v>30</v>
      </c>
      <c r="C72" s="10">
        <f>DATE(2025,4,2)</f>
        <v>45749</v>
      </c>
      <c r="D72" s="11">
        <f>5300</f>
        <v>5300</v>
      </c>
      <c r="E72" s="5" t="s">
        <v>46</v>
      </c>
      <c r="F72" s="5" t="s">
        <v>114</v>
      </c>
    </row>
    <row r="73" spans="1:6" x14ac:dyDescent="0.2">
      <c r="A73" s="5" t="s">
        <v>31</v>
      </c>
      <c r="B73" s="5" t="s">
        <v>28</v>
      </c>
      <c r="C73" s="10">
        <f>DATE(2025,5,22)</f>
        <v>45799</v>
      </c>
      <c r="D73" s="11">
        <f>6000</f>
        <v>6000</v>
      </c>
      <c r="E73" s="5" t="s">
        <v>46</v>
      </c>
      <c r="F73" s="5" t="s">
        <v>115</v>
      </c>
    </row>
    <row r="74" spans="1:6" x14ac:dyDescent="0.2">
      <c r="A74" s="5" t="s">
        <v>31</v>
      </c>
      <c r="B74" s="5" t="s">
        <v>28</v>
      </c>
      <c r="C74" s="10">
        <f>DATE(2025,12,11)</f>
        <v>46002</v>
      </c>
      <c r="D74" s="11">
        <f>3000</f>
        <v>3000</v>
      </c>
      <c r="E74" s="5" t="s">
        <v>46</v>
      </c>
      <c r="F74" s="5" t="s">
        <v>116</v>
      </c>
    </row>
    <row r="75" spans="1:6" x14ac:dyDescent="0.2">
      <c r="A75" s="5" t="s">
        <v>31</v>
      </c>
      <c r="B75" s="5" t="s">
        <v>28</v>
      </c>
      <c r="C75" s="10">
        <f>DATE(2025,12,25)</f>
        <v>46016</v>
      </c>
      <c r="D75" s="11">
        <f>3000</f>
        <v>3000</v>
      </c>
      <c r="E75" s="5" t="s">
        <v>46</v>
      </c>
      <c r="F75" s="5" t="s">
        <v>117</v>
      </c>
    </row>
    <row r="76" spans="1:6" x14ac:dyDescent="0.2">
      <c r="A76" s="5" t="s">
        <v>32</v>
      </c>
      <c r="B76" s="5" t="s">
        <v>33</v>
      </c>
      <c r="C76" s="10">
        <f>DATE(2025,12,1)</f>
        <v>45992</v>
      </c>
      <c r="D76" s="11">
        <f>5000</f>
        <v>5000</v>
      </c>
      <c r="E76" s="5" t="s">
        <v>46</v>
      </c>
      <c r="F76" s="5" t="s">
        <v>118</v>
      </c>
    </row>
    <row r="77" spans="1:6" x14ac:dyDescent="0.2">
      <c r="A77" s="12" t="s">
        <v>34</v>
      </c>
      <c r="B77" s="12"/>
      <c r="C77" s="13"/>
      <c r="D77" s="14">
        <f>SUM(D2:D76)</f>
        <v>354029</v>
      </c>
      <c r="E77" s="12"/>
      <c r="F7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סיכום לפי משכיר</vt:lpstr>
      <vt:lpstr>פירוט תשלומים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2026-09-23T09:04:07Z</dcterms:created>
  <dcterms:modified xsi:type="dcterms:W3CDTF">2026-09-23T10:39:19Z</dcterms:modified>
</cp:coreProperties>
</file>