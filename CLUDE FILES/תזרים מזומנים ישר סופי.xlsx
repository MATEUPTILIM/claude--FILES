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295" tabRatio="600" firstSheet="0" activeTab="0" autoFilterDateGrouping="1"/>
  </bookViews>
  <sheets>
    <sheet xmlns:r="http://schemas.openxmlformats.org/officeDocument/2006/relationships" name="חוב תאגידים" sheetId="1" state="visible" r:id="rId1"/>
    <sheet xmlns:r="http://schemas.openxmlformats.org/officeDocument/2006/relationships" name="תזרים יולי 2026" sheetId="2" state="visible" r:id="rId2"/>
    <sheet xmlns:r="http://schemas.openxmlformats.org/officeDocument/2006/relationships" name="תזרים אוגוסט 2026" sheetId="3" state="visible" r:id="rId3"/>
    <sheet xmlns:r="http://schemas.openxmlformats.org/officeDocument/2006/relationships" name="תזרים ספטמבר 2026" sheetId="4" state="visible" r:id="rId4"/>
    <sheet xmlns:r="http://schemas.openxmlformats.org/officeDocument/2006/relationships" name="תזרים אוקטובר 2026" sheetId="5" state="visible" r:id="rId5"/>
    <sheet xmlns:r="http://schemas.openxmlformats.org/officeDocument/2006/relationships" name="ממתינים לתשלום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color theme="1"/>
      <sz val="11"/>
      <scheme val="minor"/>
    </font>
    <font>
      <name val="Arial"/>
      <b val="1"/>
      <color rgb="FFFFFFFF"/>
      <sz val="14"/>
    </font>
    <font>
      <name val="Arial"/>
      <sz val="11"/>
    </font>
    <font>
      <name val="Arial"/>
      <b val="1"/>
      <color rgb="FF1F4E79"/>
      <sz val="11"/>
    </font>
    <font>
      <name val="Arial"/>
      <color theme="1"/>
      <sz val="11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color rgb="FF595959"/>
      <sz val="10"/>
    </font>
    <font>
      <name val="Arial"/>
      <b val="1"/>
      <color rgb="FF1F4E79"/>
      <sz val="12"/>
    </font>
    <font>
      <name val="Arial"/>
      <b val="1"/>
      <color rgb="FFFFFFFF"/>
      <sz val="11"/>
    </font>
    <font>
      <name val="Arial"/>
      <color rgb="FF375623"/>
      <sz val="10"/>
    </font>
    <font>
      <name val="Arial"/>
      <color rgb="FFC00000"/>
      <sz val="10"/>
    </font>
    <font>
      <name val="Arial"/>
      <b val="1"/>
      <color rgb="FFC00000"/>
      <sz val="10"/>
    </font>
    <font>
      <name val="Arial"/>
      <color rgb="FF595959"/>
      <sz val="9"/>
    </font>
    <font>
      <name val="Arial"/>
      <color rgb="FF595959"/>
      <sz val="11"/>
    </font>
    <font>
      <name val="Arial"/>
      <b val="1"/>
      <color rgb="FF1F4E79"/>
      <sz val="10"/>
    </font>
    <font>
      <name val="Arial"/>
      <b val="1"/>
      <color rgb="FF595959"/>
      <sz val="10"/>
    </font>
    <font>
      <name val="Arial"/>
      <b val="1"/>
      <color rgb="FF595959"/>
      <sz val="11"/>
    </font>
    <font>
      <name val="Arial"/>
      <b val="1"/>
      <color theme="1"/>
      <sz val="11"/>
    </font>
    <font>
      <name val="Arial"/>
      <color rgb="FF1F4E79"/>
      <sz val="11"/>
    </font>
    <font>
      <name val="Arial"/>
      <b val="1"/>
      <color rgb="FF8B0000"/>
      <sz val="13"/>
    </font>
    <font>
      <name val="Arial"/>
      <i val="1"/>
      <color theme="1"/>
      <sz val="11"/>
    </font>
    <font>
      <name val="Arial"/>
      <i val="1"/>
      <color rgb="FF595959"/>
      <sz val="10"/>
    </font>
    <font>
      <name val="Arial"/>
      <i val="1"/>
      <color rgb="FF375623"/>
      <sz val="10"/>
    </font>
    <font>
      <name val="Arial"/>
      <i val="1"/>
      <color rgb="FFC00000"/>
      <sz val="10"/>
    </font>
    <font>
      <name val="Arial"/>
      <b val="1"/>
      <i val="1"/>
      <color rgb="FFC00000"/>
      <sz val="10"/>
    </font>
    <font>
      <name val="Arial"/>
      <b val="1"/>
      <color rgb="FF000000"/>
      <sz val="11"/>
    </font>
    <font>
      <name val="Arial"/>
      <i val="1"/>
      <color rgb="FF595959"/>
      <sz val="11"/>
    </font>
    <font>
      <name val="Arial"/>
      <b val="1"/>
      <color rgb="FFC00000"/>
      <sz val="11"/>
    </font>
  </fonts>
  <fills count="13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5D8C"/>
        <bgColor rgb="FF2E5D8C"/>
      </patternFill>
    </fill>
    <fill>
      <patternFill patternType="solid">
        <fgColor rgb="FFFCE4D6"/>
        <bgColor rgb="FFFCE4D6"/>
      </patternFill>
    </fill>
    <fill>
      <patternFill patternType="solid">
        <fgColor rgb="FFFFFACD"/>
        <bgColor rgb="FFFFFACD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FFE699"/>
        <bgColor rgb="FFFFE699"/>
      </patternFill>
    </fill>
    <fill>
      <patternFill patternType="solid">
        <fgColor rgb="FFF3E5FF"/>
        <bgColor rgb="FFF3E5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4"/>
  </cellStyleXfs>
  <cellXfs count="143">
    <xf numFmtId="0" fontId="0" fillId="0" borderId="0" pivotButton="0" quotePrefix="0" xfId="0"/>
    <xf numFmtId="4" fontId="3" fillId="3" borderId="4" applyAlignment="1" pivotButton="0" quotePrefix="0" xfId="0">
      <alignment horizontal="center" readingOrder="2"/>
    </xf>
    <xf numFmtId="0" fontId="4" fillId="3" borderId="4" pivotButton="0" quotePrefix="0" xfId="0"/>
    <xf numFmtId="0" fontId="6" fillId="4" borderId="4" applyAlignment="1" pivotButton="0" quotePrefix="0" xfId="0">
      <alignment horizontal="center" readingOrder="2"/>
    </xf>
    <xf numFmtId="0" fontId="6" fillId="4" borderId="4" applyAlignment="1" pivotButton="0" quotePrefix="0" xfId="0">
      <alignment horizontal="right" readingOrder="2"/>
    </xf>
    <xf numFmtId="0" fontId="7" fillId="5" borderId="4" applyAlignment="1" pivotButton="0" quotePrefix="0" xfId="0">
      <alignment horizontal="center" readingOrder="2"/>
    </xf>
    <xf numFmtId="0" fontId="7" fillId="5" borderId="4" applyAlignment="1" pivotButton="0" quotePrefix="0" xfId="0">
      <alignment horizontal="right" readingOrder="2"/>
    </xf>
    <xf numFmtId="0" fontId="9" fillId="4" borderId="4" pivotButton="0" quotePrefix="0" xfId="0"/>
    <xf numFmtId="4" fontId="10" fillId="5" borderId="4" applyAlignment="1" pivotButton="0" quotePrefix="0" xfId="0">
      <alignment horizontal="center" readingOrder="2"/>
    </xf>
    <xf numFmtId="4" fontId="11" fillId="5" borderId="4" applyAlignment="1" pivotButton="0" quotePrefix="0" xfId="0">
      <alignment horizontal="center" readingOrder="2"/>
    </xf>
    <xf numFmtId="49" fontId="7" fillId="6" borderId="4" applyAlignment="1" pivotButton="0" quotePrefix="0" xfId="0">
      <alignment horizontal="center" readingOrder="2"/>
    </xf>
    <xf numFmtId="4" fontId="12" fillId="5" borderId="4" applyAlignment="1" pivotButton="0" quotePrefix="0" xfId="0">
      <alignment horizontal="center" readingOrder="2"/>
    </xf>
    <xf numFmtId="0" fontId="7" fillId="6" borderId="4" applyAlignment="1" pivotButton="0" quotePrefix="0" xfId="0">
      <alignment horizontal="right" readingOrder="2"/>
    </xf>
    <xf numFmtId="0" fontId="13" fillId="5" borderId="4" applyAlignment="1" pivotButton="0" quotePrefix="0" xfId="0">
      <alignment horizontal="right" readingOrder="2"/>
    </xf>
    <xf numFmtId="0" fontId="7" fillId="7" borderId="4" applyAlignment="1" pivotButton="0" quotePrefix="0" xfId="0">
      <alignment horizontal="right" readingOrder="2"/>
    </xf>
    <xf numFmtId="4" fontId="10" fillId="6" borderId="4" applyAlignment="1" pivotButton="0" quotePrefix="0" xfId="0">
      <alignment horizontal="center" readingOrder="2"/>
    </xf>
    <xf numFmtId="0" fontId="7" fillId="6" borderId="4" applyAlignment="1" pivotButton="0" quotePrefix="0" xfId="0">
      <alignment horizontal="center" readingOrder="2"/>
    </xf>
    <xf numFmtId="4" fontId="12" fillId="5" borderId="4" applyAlignment="1" pivotButton="0" quotePrefix="0" xfId="0">
      <alignment horizontal="right" readingOrder="2"/>
    </xf>
    <xf numFmtId="4" fontId="11" fillId="6" borderId="4" applyAlignment="1" pivotButton="0" quotePrefix="0" xfId="0">
      <alignment horizontal="center" readingOrder="2"/>
    </xf>
    <xf numFmtId="4" fontId="12" fillId="6" borderId="4" applyAlignment="1" pivotButton="0" quotePrefix="0" xfId="0">
      <alignment horizontal="center" readingOrder="2"/>
    </xf>
    <xf numFmtId="0" fontId="7" fillId="7" borderId="4" applyAlignment="1" pivotButton="0" quotePrefix="0" xfId="0">
      <alignment horizontal="center" readingOrder="2"/>
    </xf>
    <xf numFmtId="0" fontId="13" fillId="6" borderId="4" applyAlignment="1" pivotButton="0" quotePrefix="0" xfId="0">
      <alignment horizontal="right" readingOrder="2"/>
    </xf>
    <xf numFmtId="0" fontId="14" fillId="5" borderId="4" pivotButton="0" quotePrefix="0" xfId="0"/>
    <xf numFmtId="4" fontId="7" fillId="7" borderId="4" applyAlignment="1" pivotButton="0" quotePrefix="0" xfId="0">
      <alignment horizontal="center" readingOrder="2"/>
    </xf>
    <xf numFmtId="4" fontId="10" fillId="7" borderId="4" applyAlignment="1" pivotButton="0" quotePrefix="0" xfId="0">
      <alignment horizontal="center" readingOrder="2"/>
    </xf>
    <xf numFmtId="4" fontId="12" fillId="6" borderId="4" applyAlignment="1" pivotButton="0" quotePrefix="0" xfId="0">
      <alignment horizontal="right" readingOrder="2"/>
    </xf>
    <xf numFmtId="0" fontId="14" fillId="6" borderId="4" pivotButton="0" quotePrefix="0" xfId="0"/>
    <xf numFmtId="4" fontId="11" fillId="7" borderId="4" applyAlignment="1" pivotButton="0" quotePrefix="0" xfId="0">
      <alignment horizontal="center" readingOrder="2"/>
    </xf>
    <xf numFmtId="4" fontId="15" fillId="7" borderId="4" applyAlignment="1" pivotButton="0" quotePrefix="0" xfId="0">
      <alignment horizontal="center" readingOrder="2"/>
    </xf>
    <xf numFmtId="4" fontId="12" fillId="7" borderId="4" applyAlignment="1" pivotButton="0" quotePrefix="0" xfId="0">
      <alignment horizontal="center" readingOrder="2"/>
    </xf>
    <xf numFmtId="0" fontId="13" fillId="7" borderId="4" applyAlignment="1" pivotButton="0" quotePrefix="0" xfId="0">
      <alignment horizontal="right" readingOrder="2"/>
    </xf>
    <xf numFmtId="4" fontId="12" fillId="7" borderId="4" applyAlignment="1" pivotButton="0" quotePrefix="0" xfId="0">
      <alignment horizontal="right" readingOrder="2"/>
    </xf>
    <xf numFmtId="0" fontId="7" fillId="8" borderId="4" applyAlignment="1" pivotButton="0" quotePrefix="0" xfId="0">
      <alignment horizontal="right" readingOrder="2"/>
    </xf>
    <xf numFmtId="0" fontId="14" fillId="7" borderId="4" pivotButton="0" quotePrefix="0" xfId="0"/>
    <xf numFmtId="0" fontId="7" fillId="8" borderId="4" applyAlignment="1" pivotButton="0" quotePrefix="0" xfId="0">
      <alignment horizontal="center" readingOrder="2"/>
    </xf>
    <xf numFmtId="4" fontId="7" fillId="8" borderId="4" applyAlignment="1" pivotButton="0" quotePrefix="0" xfId="0">
      <alignment horizontal="center" readingOrder="2"/>
    </xf>
    <xf numFmtId="4" fontId="15" fillId="7" borderId="4" applyAlignment="1" pivotButton="0" quotePrefix="0" xfId="0">
      <alignment horizontal="right" readingOrder="2"/>
    </xf>
    <xf numFmtId="4" fontId="10" fillId="8" borderId="4" applyAlignment="1" pivotButton="0" quotePrefix="0" xfId="0">
      <alignment horizontal="center" readingOrder="2"/>
    </xf>
    <xf numFmtId="49" fontId="7" fillId="7" borderId="4" applyAlignment="1" pivotButton="0" quotePrefix="0" xfId="0">
      <alignment horizontal="center" readingOrder="2"/>
    </xf>
    <xf numFmtId="4" fontId="12" fillId="8" borderId="4" applyAlignment="1" pivotButton="0" quotePrefix="0" xfId="0">
      <alignment horizontal="center" readingOrder="2"/>
    </xf>
    <xf numFmtId="0" fontId="13" fillId="8" borderId="4" applyAlignment="1" pivotButton="0" quotePrefix="0" xfId="0">
      <alignment horizontal="right" readingOrder="2"/>
    </xf>
    <xf numFmtId="4" fontId="15" fillId="6" borderId="4" applyAlignment="1" pivotButton="0" quotePrefix="0" xfId="0">
      <alignment horizontal="right" readingOrder="2"/>
    </xf>
    <xf numFmtId="49" fontId="7" fillId="8" borderId="4" applyAlignment="1" pivotButton="0" quotePrefix="0" xfId="0">
      <alignment horizontal="center" readingOrder="2"/>
    </xf>
    <xf numFmtId="0" fontId="3" fillId="9" borderId="4" applyAlignment="1" pivotButton="0" quotePrefix="0" xfId="0">
      <alignment horizontal="right" readingOrder="2"/>
    </xf>
    <xf numFmtId="0" fontId="3" fillId="9" borderId="4" applyAlignment="1" pivotButton="0" quotePrefix="0" xfId="0">
      <alignment horizontal="center" readingOrder="2"/>
    </xf>
    <xf numFmtId="4" fontId="3" fillId="9" borderId="4" applyAlignment="1" pivotButton="0" quotePrefix="0" xfId="0">
      <alignment horizontal="center" readingOrder="2"/>
    </xf>
    <xf numFmtId="4" fontId="15" fillId="5" borderId="4" applyAlignment="1" pivotButton="0" quotePrefix="0" xfId="0">
      <alignment horizontal="right" readingOrder="2"/>
    </xf>
    <xf numFmtId="49" fontId="7" fillId="5" borderId="4" applyAlignment="1" pivotButton="0" quotePrefix="0" xfId="0">
      <alignment horizontal="center" readingOrder="2"/>
    </xf>
    <xf numFmtId="0" fontId="7" fillId="10" borderId="4" applyAlignment="1" pivotButton="0" quotePrefix="0" xfId="0">
      <alignment horizontal="right" readingOrder="2"/>
    </xf>
    <xf numFmtId="0" fontId="7" fillId="10" borderId="4" applyAlignment="1" pivotButton="0" quotePrefix="0" xfId="0">
      <alignment horizontal="center" readingOrder="2"/>
    </xf>
    <xf numFmtId="4" fontId="7" fillId="10" borderId="4" applyAlignment="1" pivotButton="0" quotePrefix="0" xfId="0">
      <alignment horizontal="center" readingOrder="2"/>
    </xf>
    <xf numFmtId="4" fontId="10" fillId="10" borderId="4" applyAlignment="1" pivotButton="0" quotePrefix="0" xfId="0">
      <alignment horizontal="center" readingOrder="2"/>
    </xf>
    <xf numFmtId="4" fontId="12" fillId="10" borderId="4" applyAlignment="1" pivotButton="0" quotePrefix="0" xfId="0">
      <alignment horizontal="center" readingOrder="2"/>
    </xf>
    <xf numFmtId="0" fontId="13" fillId="10" borderId="4" applyAlignment="1" pivotButton="0" quotePrefix="0" xfId="0">
      <alignment horizontal="right" readingOrder="2"/>
    </xf>
    <xf numFmtId="14" fontId="7" fillId="8" borderId="4" applyAlignment="1" pivotButton="0" quotePrefix="1" xfId="0">
      <alignment horizontal="center" readingOrder="2"/>
    </xf>
    <xf numFmtId="4" fontId="7" fillId="6" borderId="4" applyAlignment="1" pivotButton="0" quotePrefix="0" xfId="0">
      <alignment horizontal="center" readingOrder="2"/>
    </xf>
    <xf numFmtId="4" fontId="16" fillId="6" borderId="4" applyAlignment="1" pivotButton="0" quotePrefix="0" xfId="0">
      <alignment horizontal="right" readingOrder="2"/>
    </xf>
    <xf numFmtId="4" fontId="15" fillId="6" borderId="4" applyAlignment="1" pivotButton="0" quotePrefix="0" xfId="0">
      <alignment horizontal="center" readingOrder="2"/>
    </xf>
    <xf numFmtId="0" fontId="4" fillId="0" borderId="0" pivotButton="0" quotePrefix="0" xfId="0"/>
    <xf numFmtId="14" fontId="7" fillId="7" borderId="4" applyAlignment="1" pivotButton="0" quotePrefix="0" xfId="0">
      <alignment horizontal="center" readingOrder="2"/>
    </xf>
    <xf numFmtId="4" fontId="7" fillId="5" borderId="4" applyAlignment="1" pivotButton="0" quotePrefix="0" xfId="0">
      <alignment horizontal="center" readingOrder="2"/>
    </xf>
    <xf numFmtId="4" fontId="16" fillId="5" borderId="4" applyAlignment="1" pivotButton="0" quotePrefix="0" xfId="0">
      <alignment horizontal="right" readingOrder="2"/>
    </xf>
    <xf numFmtId="4" fontId="16" fillId="7" borderId="4" applyAlignment="1" pivotButton="0" quotePrefix="0" xfId="0">
      <alignment horizontal="right" readingOrder="2"/>
    </xf>
    <xf numFmtId="49" fontId="17" fillId="5" borderId="4" applyAlignment="1" pivotButton="0" quotePrefix="0" xfId="0">
      <alignment horizontal="right" readingOrder="2"/>
    </xf>
    <xf numFmtId="4" fontId="14" fillId="5" borderId="4" pivotButton="0" quotePrefix="0" xfId="0"/>
    <xf numFmtId="4" fontId="17" fillId="5" borderId="4" applyAlignment="1" pivotButton="0" quotePrefix="0" xfId="0">
      <alignment horizontal="right" readingOrder="2"/>
    </xf>
    <xf numFmtId="0" fontId="7" fillId="5" borderId="4" applyAlignment="1" pivotButton="0" quotePrefix="0" xfId="0">
      <alignment horizontal="right"/>
    </xf>
    <xf numFmtId="49" fontId="14" fillId="5" borderId="4" pivotButton="0" quotePrefix="0" xfId="0"/>
    <xf numFmtId="4" fontId="17" fillId="5" borderId="4" applyAlignment="1" pivotButton="0" quotePrefix="0" xfId="0">
      <alignment horizontal="right"/>
    </xf>
    <xf numFmtId="0" fontId="17" fillId="7" borderId="4" applyAlignment="1" pivotButton="0" quotePrefix="0" xfId="0">
      <alignment horizontal="right"/>
    </xf>
    <xf numFmtId="0" fontId="7" fillId="7" borderId="4" applyAlignment="1" pivotButton="0" quotePrefix="0" xfId="0">
      <alignment horizontal="right"/>
    </xf>
    <xf numFmtId="0" fontId="17" fillId="5" borderId="4" applyAlignment="1" pivotButton="0" quotePrefix="0" xfId="0">
      <alignment horizontal="right"/>
    </xf>
    <xf numFmtId="0" fontId="8" fillId="3" borderId="4" applyAlignment="1" pivotButton="0" quotePrefix="0" xfId="0">
      <alignment horizontal="right" readingOrder="2"/>
    </xf>
    <xf numFmtId="4" fontId="4" fillId="3" borderId="4" pivotButton="0" quotePrefix="0" xfId="0"/>
    <xf numFmtId="0" fontId="3" fillId="9" borderId="4" applyAlignment="1" pivotButton="0" quotePrefix="1" xfId="0">
      <alignment horizontal="center" readingOrder="2"/>
    </xf>
    <xf numFmtId="49" fontId="14" fillId="7" borderId="4" pivotButton="0" quotePrefix="0" xfId="0"/>
    <xf numFmtId="0" fontId="18" fillId="0" borderId="0" applyAlignment="1" pivotButton="0" quotePrefix="0" xfId="0">
      <alignment horizontal="right"/>
    </xf>
    <xf numFmtId="0" fontId="8" fillId="3" borderId="4" applyAlignment="1" pivotButton="0" quotePrefix="0" xfId="0">
      <alignment horizontal="center" readingOrder="2"/>
    </xf>
    <xf numFmtId="0" fontId="3" fillId="3" borderId="4" pivotButton="0" quotePrefix="0" xfId="0"/>
    <xf numFmtId="4" fontId="8" fillId="3" borderId="4" applyAlignment="1" pivotButton="0" quotePrefix="0" xfId="0">
      <alignment horizontal="center" readingOrder="2"/>
    </xf>
    <xf numFmtId="0" fontId="19" fillId="3" borderId="4" pivotButton="0" quotePrefix="0" xfId="0"/>
    <xf numFmtId="4" fontId="6" fillId="4" borderId="4" applyAlignment="1" pivotButton="0" quotePrefix="0" xfId="0">
      <alignment horizontal="center" readingOrder="2"/>
    </xf>
    <xf numFmtId="4" fontId="4" fillId="0" borderId="0" pivotButton="0" quotePrefix="0" xfId="0"/>
    <xf numFmtId="4" fontId="19" fillId="3" borderId="4" pivotButton="0" quotePrefix="0" xfId="0"/>
    <xf numFmtId="4" fontId="18" fillId="0" borderId="0" applyAlignment="1" pivotButton="0" quotePrefix="0" xfId="0">
      <alignment horizontal="right"/>
    </xf>
    <xf numFmtId="0" fontId="19" fillId="3" borderId="4" applyAlignment="1" pivotButton="0" quotePrefix="0" xfId="0">
      <alignment horizontal="right"/>
    </xf>
    <xf numFmtId="4" fontId="19" fillId="3" borderId="4" applyAlignment="1" pivotButton="0" quotePrefix="0" xfId="0">
      <alignment horizontal="right"/>
    </xf>
    <xf numFmtId="4" fontId="20" fillId="11" borderId="4" applyAlignment="1" pivotButton="0" quotePrefix="0" xfId="0">
      <alignment horizontal="center" readingOrder="2"/>
    </xf>
    <xf numFmtId="0" fontId="4" fillId="11" borderId="4" pivotButton="0" quotePrefix="0" xfId="0"/>
    <xf numFmtId="0" fontId="21" fillId="0" borderId="0" pivotButton="0" quotePrefix="0" xfId="0"/>
    <xf numFmtId="0" fontId="7" fillId="12" borderId="4" applyAlignment="1" pivotButton="0" quotePrefix="0" xfId="0">
      <alignment horizontal="right" readingOrder="2"/>
    </xf>
    <xf numFmtId="0" fontId="7" fillId="12" borderId="4" applyAlignment="1" pivotButton="0" quotePrefix="0" xfId="0">
      <alignment horizontal="center" readingOrder="2"/>
    </xf>
    <xf numFmtId="4" fontId="12" fillId="12" borderId="4" applyAlignment="1" pivotButton="0" quotePrefix="0" xfId="0">
      <alignment horizontal="center" readingOrder="2"/>
    </xf>
    <xf numFmtId="0" fontId="13" fillId="12" borderId="4" applyAlignment="1" pivotButton="0" quotePrefix="0" xfId="0">
      <alignment horizontal="right" readingOrder="2"/>
    </xf>
    <xf numFmtId="4" fontId="6" fillId="4" borderId="4" applyAlignment="1" pivotButton="0" quotePrefix="0" xfId="0">
      <alignment horizontal="right" readingOrder="2"/>
    </xf>
    <xf numFmtId="14" fontId="22" fillId="6" borderId="4" applyAlignment="1" pivotButton="0" quotePrefix="0" xfId="0">
      <alignment horizontal="center" readingOrder="2"/>
    </xf>
    <xf numFmtId="0" fontId="22" fillId="6" borderId="4" applyAlignment="1" pivotButton="0" quotePrefix="0" xfId="0">
      <alignment horizontal="right" readingOrder="2"/>
    </xf>
    <xf numFmtId="4" fontId="23" fillId="6" borderId="4" applyAlignment="1" pivotButton="0" quotePrefix="0" xfId="0">
      <alignment horizontal="center" readingOrder="2"/>
    </xf>
    <xf numFmtId="4" fontId="24" fillId="6" borderId="4" applyAlignment="1" pivotButton="0" quotePrefix="0" xfId="0">
      <alignment horizontal="center" readingOrder="2"/>
    </xf>
    <xf numFmtId="0" fontId="4" fillId="9" borderId="4" pivotButton="0" quotePrefix="0" xfId="0"/>
    <xf numFmtId="4" fontId="25" fillId="6" borderId="4" applyAlignment="1" pivotButton="0" quotePrefix="0" xfId="0">
      <alignment horizontal="right" readingOrder="2"/>
    </xf>
    <xf numFmtId="0" fontId="5" fillId="6" borderId="4" applyAlignment="1" pivotButton="0" quotePrefix="0" xfId="0">
      <alignment horizontal="right" readingOrder="2"/>
    </xf>
    <xf numFmtId="0" fontId="22" fillId="6" borderId="4" applyAlignment="1" pivotButton="0" quotePrefix="0" xfId="0">
      <alignment horizontal="center" readingOrder="2"/>
    </xf>
    <xf numFmtId="4" fontId="26" fillId="0" borderId="0" applyAlignment="1" pivotButton="0" quotePrefix="0" xfId="0">
      <alignment horizontal="right" readingOrder="2"/>
    </xf>
    <xf numFmtId="0" fontId="27" fillId="6" borderId="4" pivotButton="0" quotePrefix="0" xfId="0"/>
    <xf numFmtId="4" fontId="7" fillId="12" borderId="4" applyAlignment="1" pivotButton="0" quotePrefix="0" xfId="0">
      <alignment horizontal="right" readingOrder="2"/>
    </xf>
    <xf numFmtId="0" fontId="7" fillId="0" borderId="0" applyAlignment="1" pivotButton="0" quotePrefix="0" xfId="0">
      <alignment horizontal="center" readingOrder="2"/>
    </xf>
    <xf numFmtId="0" fontId="9" fillId="4" borderId="5" pivotButton="0" quotePrefix="0" xfId="0"/>
    <xf numFmtId="0" fontId="9" fillId="4" borderId="5" applyAlignment="1" pivotButton="0" quotePrefix="0" xfId="0">
      <alignment horizontal="right"/>
    </xf>
    <xf numFmtId="0" fontId="4" fillId="0" borderId="5" pivotButton="0" quotePrefix="0" xfId="0"/>
    <xf numFmtId="0" fontId="14" fillId="12" borderId="5" pivotButton="0" quotePrefix="0" xfId="0"/>
    <xf numFmtId="4" fontId="28" fillId="12" borderId="5" pivotButton="0" quotePrefix="0" xfId="0"/>
    <xf numFmtId="0" fontId="14" fillId="12" borderId="5" applyAlignment="1" pivotButton="0" quotePrefix="0" xfId="0">
      <alignment horizontal="right"/>
    </xf>
    <xf numFmtId="0" fontId="3" fillId="9" borderId="5" pivotButton="0" quotePrefix="0" xfId="0"/>
    <xf numFmtId="0" fontId="19" fillId="9" borderId="5" pivotButton="0" quotePrefix="0" xfId="0"/>
    <xf numFmtId="4" fontId="3" fillId="9" borderId="5" pivotButton="0" quotePrefix="0" xfId="0"/>
    <xf numFmtId="0" fontId="19" fillId="9" borderId="5" applyAlignment="1" pivotButton="0" quotePrefix="0" xfId="0">
      <alignment horizontal="right"/>
    </xf>
    <xf numFmtId="0" fontId="3" fillId="9" borderId="4" pivotButton="0" quotePrefix="0" xfId="0"/>
    <xf numFmtId="4" fontId="3" fillId="9" borderId="4" pivotButton="0" quotePrefix="0" xfId="0"/>
    <xf numFmtId="0" fontId="20" fillId="11" borderId="4" pivotButton="0" quotePrefix="0" xfId="0"/>
    <xf numFmtId="4" fontId="20" fillId="11" borderId="4" pivotButton="0" quotePrefix="0" xfId="0"/>
    <xf numFmtId="0" fontId="18" fillId="0" borderId="0" pivotButton="0" quotePrefix="0" xfId="0"/>
    <xf numFmtId="0" fontId="26" fillId="0" borderId="0" pivotButton="0" quotePrefix="0" xfId="0"/>
    <xf numFmtId="4" fontId="18" fillId="0" borderId="0" pivotButton="0" quotePrefix="0" xfId="0"/>
    <xf numFmtId="14" fontId="7" fillId="8" borderId="4" applyAlignment="1" pivotButton="0" quotePrefix="0" xfId="0">
      <alignment horizontal="center" readingOrder="2"/>
    </xf>
    <xf numFmtId="14" fontId="3" fillId="9" borderId="4" applyAlignment="1" pivotButton="0" quotePrefix="1" xfId="0">
      <alignment horizontal="center" readingOrder="2"/>
    </xf>
    <xf numFmtId="0" fontId="8" fillId="3" borderId="1" applyAlignment="1" pivotButton="0" quotePrefix="0" xfId="0">
      <alignment horizontal="right" readingOrder="2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readingOrder="2"/>
    </xf>
    <xf numFmtId="0" fontId="0" fillId="0" borderId="0" pivotButton="0" quotePrefix="0" xfId="0"/>
    <xf numFmtId="0" fontId="20" fillId="11" borderId="1" applyAlignment="1" pivotButton="0" quotePrefix="0" xfId="0">
      <alignment horizontal="right" readingOrder="2"/>
    </xf>
    <xf numFmtId="0" fontId="3" fillId="3" borderId="1" applyAlignment="1" pivotButton="0" quotePrefix="0" xfId="0">
      <alignment horizontal="right" readingOrder="2"/>
    </xf>
    <xf numFmtId="0" fontId="4" fillId="0" borderId="0" applyAlignment="1" pivotButton="0" quotePrefix="0" xfId="0">
      <alignment horizontal="right" wrapText="1"/>
    </xf>
    <xf numFmtId="0" fontId="3" fillId="3" borderId="1" applyAlignment="1" pivotButton="0" quotePrefix="0" xfId="0">
      <alignment horizontal="right"/>
    </xf>
    <xf numFmtId="0" fontId="3" fillId="9" borderId="1" applyAlignment="1" pivotButton="0" quotePrefix="0" xfId="0">
      <alignment horizontal="right" readingOrder="2"/>
    </xf>
    <xf numFmtId="0" fontId="1" fillId="2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right" readingOrder="2"/>
    </xf>
    <xf numFmtId="0" fontId="20" fillId="11" borderId="4" applyAlignment="1" pivotButton="0" quotePrefix="0" xfId="0">
      <alignment horizontal="right" readingOrder="2"/>
    </xf>
    <xf numFmtId="0" fontId="3" fillId="3" borderId="4" applyAlignment="1" pivotButton="0" quotePrefix="0" xfId="0">
      <alignment horizontal="right" readingOrder="2"/>
    </xf>
    <xf numFmtId="0" fontId="4" fillId="0" borderId="4" applyAlignment="1" pivotButton="0" quotePrefix="0" xfId="0">
      <alignment horizontal="right" wrapText="1"/>
    </xf>
    <xf numFmtId="0" fontId="3" fillId="3" borderId="4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rightToLeft="1" tabSelected="1" topLeftCell="A65" workbookViewId="0">
      <selection activeCell="A81" sqref="A81:XFD81"/>
    </sheetView>
  </sheetViews>
  <sheetFormatPr baseColWidth="8" defaultColWidth="12.625" defaultRowHeight="15" customHeight="1"/>
  <cols>
    <col width="16" customWidth="1" style="131" min="1" max="2"/>
    <col width="42.625" customWidth="1" style="131" min="3" max="3"/>
    <col width="15" customWidth="1" style="131" min="4" max="6"/>
    <col width="62" customWidth="1" style="131" min="7" max="7"/>
    <col width="8.625" customWidth="1" style="131" min="8" max="26"/>
  </cols>
  <sheetData>
    <row r="1" ht="24" customHeight="1" s="131">
      <c r="A1" s="137" t="inlineStr">
        <is>
          <t>חוב לתאגידי כוח אדם  |  ישר שירותי קרקע לקבלן ולפועל בע"מ  |  ינואר–ספטמבר 2026</t>
        </is>
      </c>
    </row>
    <row r="2" ht="14.25" customHeight="1" s="131">
      <c r="A2" s="138" t="inlineStr">
        <is>
          <t>כל הסכומים כוללים מע"מ 18%</t>
        </is>
      </c>
    </row>
    <row r="3" ht="14.25" customHeight="1" s="131"/>
    <row r="4" ht="14.25" customHeight="1" s="131">
      <c r="A4" s="72" t="inlineStr">
        <is>
          <t>פוגין אינטרנשיונל בע"מ   |   מועד תשלום: ה-25 לחודש</t>
        </is>
      </c>
    </row>
    <row r="5" ht="14.25" customHeight="1" s="131">
      <c r="A5" s="3" t="inlineStr">
        <is>
          <t>חודש עבודה</t>
        </is>
      </c>
      <c r="B5" s="3" t="inlineStr">
        <is>
          <t>מס׳ חשבונית</t>
        </is>
      </c>
      <c r="C5" s="3" t="inlineStr">
        <is>
          <t>תאריך</t>
        </is>
      </c>
      <c r="D5" s="3" t="inlineStr">
        <is>
          <t>גולמי (₪)</t>
        </is>
      </c>
      <c r="E5" s="3" t="inlineStr">
        <is>
          <t>שולם (₪)</t>
        </is>
      </c>
      <c r="F5" s="3" t="inlineStr">
        <is>
          <t>יתרה (₪)</t>
        </is>
      </c>
      <c r="G5" s="3" t="inlineStr">
        <is>
          <t>תאריך תשלום</t>
        </is>
      </c>
    </row>
    <row r="6" ht="14.25" customHeight="1" s="131">
      <c r="A6" s="14" t="inlineStr">
        <is>
          <t>ינואר</t>
        </is>
      </c>
      <c r="B6" s="20" t="inlineStr">
        <is>
          <t>01/000699</t>
        </is>
      </c>
      <c r="C6" s="20" t="inlineStr">
        <is>
          <t>30/01/2026</t>
        </is>
      </c>
      <c r="D6" s="23" t="n">
        <v>25058.5</v>
      </c>
      <c r="E6" s="24" t="n">
        <v>25058.5</v>
      </c>
      <c r="F6" s="29">
        <f>D6-E6</f>
        <v/>
      </c>
      <c r="G6" s="30" t="inlineStr">
        <is>
          <t>22/02 ✅</t>
        </is>
      </c>
    </row>
    <row r="7" ht="14.25" customHeight="1" s="131">
      <c r="A7" s="14" t="inlineStr">
        <is>
          <t>פברואר</t>
        </is>
      </c>
      <c r="B7" s="20" t="inlineStr">
        <is>
          <t>01/000735</t>
        </is>
      </c>
      <c r="C7" s="20" t="inlineStr">
        <is>
          <t>27/02/2026</t>
        </is>
      </c>
      <c r="D7" s="23" t="n">
        <v>22005.8</v>
      </c>
      <c r="E7" s="24" t="n">
        <v>22005.8</v>
      </c>
      <c r="F7" s="29">
        <f>D7-E7</f>
        <v/>
      </c>
      <c r="G7" s="30" t="inlineStr">
        <is>
          <t>22/03 ✅</t>
        </is>
      </c>
    </row>
    <row r="8" ht="14.25" customHeight="1" s="131">
      <c r="A8" s="14" t="inlineStr">
        <is>
          <t>מרץ</t>
        </is>
      </c>
      <c r="B8" s="20" t="inlineStr">
        <is>
          <t>01/000749</t>
        </is>
      </c>
      <c r="C8" s="20" t="inlineStr">
        <is>
          <t>31/03/2026</t>
        </is>
      </c>
      <c r="D8" s="23" t="n">
        <v>19989.2</v>
      </c>
      <c r="E8" s="24" t="n">
        <v>19989.2</v>
      </c>
      <c r="F8" s="29">
        <f>D8-E8</f>
        <v/>
      </c>
      <c r="G8" s="30" t="inlineStr">
        <is>
          <t>08/05 ✅</t>
        </is>
      </c>
    </row>
    <row r="9" ht="14.25" customHeight="1" s="131">
      <c r="A9" s="14" t="inlineStr">
        <is>
          <t>אפריל</t>
        </is>
      </c>
      <c r="B9" s="20" t="inlineStr">
        <is>
          <t>01/000781</t>
        </is>
      </c>
      <c r="C9" s="20" t="inlineStr">
        <is>
          <t>30/04/2026</t>
        </is>
      </c>
      <c r="D9" s="23" t="n">
        <v>3725.3</v>
      </c>
      <c r="E9" s="24" t="n">
        <v>3725.3</v>
      </c>
      <c r="F9" s="29">
        <f>D9-E9</f>
        <v/>
      </c>
      <c r="G9" s="30" t="inlineStr">
        <is>
          <t>22/06 ✅</t>
        </is>
      </c>
    </row>
    <row r="10" ht="14.25" customHeight="1" s="131">
      <c r="A10" s="14" t="inlineStr">
        <is>
          <t>מאי</t>
        </is>
      </c>
      <c r="B10" s="20" t="inlineStr">
        <is>
          <t>01/000810</t>
        </is>
      </c>
      <c r="C10" s="20" t="inlineStr">
        <is>
          <t>31/05/2026</t>
        </is>
      </c>
      <c r="D10" s="23" t="n">
        <v>9449.4</v>
      </c>
      <c r="E10" s="24" t="n">
        <v>9449.4</v>
      </c>
      <c r="F10" s="29">
        <f>D10-E10</f>
        <v/>
      </c>
      <c r="G10" s="30" t="inlineStr">
        <is>
          <t>29/06 ✅</t>
        </is>
      </c>
    </row>
    <row r="11" ht="14.25" customHeight="1" s="131">
      <c r="A11" s="14" t="inlineStr">
        <is>
          <t>יוני</t>
        </is>
      </c>
      <c r="B11" s="20" t="inlineStr">
        <is>
          <t>01/000835</t>
        </is>
      </c>
      <c r="C11" s="20" t="inlineStr">
        <is>
          <t>30/06/2026</t>
        </is>
      </c>
      <c r="D11" s="23" t="n">
        <v>25773.6</v>
      </c>
      <c r="E11" s="24" t="n">
        <v>25773.6</v>
      </c>
      <c r="F11" s="29">
        <f>D11-E11</f>
        <v/>
      </c>
      <c r="G11" s="30" t="inlineStr">
        <is>
          <t>20/07 ✅</t>
        </is>
      </c>
    </row>
    <row r="12" ht="14.25" customHeight="1" s="131">
      <c r="A12" s="32" t="inlineStr">
        <is>
          <t>יולי</t>
        </is>
      </c>
      <c r="B12" s="34" t="inlineStr">
        <is>
          <t>01/000876</t>
        </is>
      </c>
      <c r="C12" s="34" t="inlineStr">
        <is>
          <t>31/07/2026</t>
        </is>
      </c>
      <c r="D12" s="35" t="n">
        <v>25869.7</v>
      </c>
      <c r="E12" s="37" t="n">
        <v>25869.7</v>
      </c>
      <c r="F12" s="39">
        <f>D12-E12</f>
        <v/>
      </c>
      <c r="G12" s="40" t="inlineStr">
        <is>
          <t>20/08 ✅ שולם</t>
        </is>
      </c>
    </row>
    <row r="13" ht="14.25" customHeight="1" s="131">
      <c r="A13" s="32" t="inlineStr">
        <is>
          <t>אוגוסט</t>
        </is>
      </c>
      <c r="B13" s="34" t="inlineStr">
        <is>
          <t>01/000905</t>
        </is>
      </c>
      <c r="C13" s="42" t="inlineStr">
        <is>
          <t>31/08/2026</t>
        </is>
      </c>
      <c r="D13" s="35" t="n">
        <v>25965.9</v>
      </c>
      <c r="E13" s="37" t="n">
        <v>25965</v>
      </c>
      <c r="F13" s="39" t="n">
        <v>0</v>
      </c>
      <c r="G13" s="40" t="inlineStr">
        <is>
          <t>22/09 ✅ שולם 25,965 (פער 0.90 ₪ עיגול)</t>
        </is>
      </c>
    </row>
    <row r="14" ht="14.25" customHeight="1" s="131">
      <c r="A14" s="32" t="inlineStr">
        <is>
          <t>ספטמבר</t>
        </is>
      </c>
      <c r="B14" s="34" t="inlineStr">
        <is>
          <t>01/000938</t>
        </is>
      </c>
      <c r="C14" s="42" t="n">
        <v>46294</v>
      </c>
      <c r="D14" s="35" t="n">
        <v>18262.9</v>
      </c>
      <c r="E14" s="37" t="n">
        <v>0</v>
      </c>
      <c r="F14" s="39">
        <f>D14-E14</f>
        <v/>
      </c>
      <c r="G14" s="40" t="inlineStr">
        <is>
          <t>⏳ לתשלום ב-25/10/2026 (15,477 + מע"מ 2,785.87; עובדים אוזביקים)</t>
        </is>
      </c>
    </row>
    <row r="15" ht="14.25" customHeight="1" s="131">
      <c r="A15" s="43" t="inlineStr">
        <is>
          <t>סה״כ</t>
        </is>
      </c>
      <c r="B15" s="44" t="n"/>
      <c r="C15" s="44" t="n"/>
      <c r="D15" s="45">
        <f>SUM(D6:D14)</f>
        <v/>
      </c>
      <c r="E15" s="45">
        <f>SUM(E6:E14)</f>
        <v/>
      </c>
      <c r="F15" s="45">
        <f>SUM(F6:F14)</f>
        <v/>
      </c>
      <c r="G15" s="44" t="n"/>
    </row>
    <row r="16" ht="14.25" customHeight="1" s="131"/>
    <row r="17" ht="14.25" customHeight="1" s="131">
      <c r="A17" s="72" t="inlineStr">
        <is>
          <t>אחים לימור עובדים זרים לבניין בע"מ</t>
        </is>
      </c>
    </row>
    <row r="18" ht="14.25" customHeight="1" s="131">
      <c r="A18" s="3" t="inlineStr">
        <is>
          <t>חודש עבודה</t>
        </is>
      </c>
      <c r="B18" s="3" t="inlineStr">
        <is>
          <t>מס׳ חשבונית</t>
        </is>
      </c>
      <c r="C18" s="3" t="inlineStr">
        <is>
          <t>תאריך</t>
        </is>
      </c>
      <c r="D18" s="3" t="inlineStr">
        <is>
          <t>גולמי (₪)</t>
        </is>
      </c>
      <c r="E18" s="3" t="inlineStr">
        <is>
          <t>שולם (₪)</t>
        </is>
      </c>
      <c r="F18" s="3" t="inlineStr">
        <is>
          <t>יתרה (₪)</t>
        </is>
      </c>
      <c r="G18" s="3" t="inlineStr">
        <is>
          <t>תאריך תשלום</t>
        </is>
      </c>
    </row>
    <row r="19" ht="14.25" customHeight="1" s="131">
      <c r="A19" s="14" t="inlineStr">
        <is>
          <t>ינואר</t>
        </is>
      </c>
      <c r="B19" s="20" t="inlineStr">
        <is>
          <t>690</t>
        </is>
      </c>
      <c r="C19" s="20" t="inlineStr">
        <is>
          <t>31/01/2026</t>
        </is>
      </c>
      <c r="D19" s="23" t="n">
        <v>216054.46</v>
      </c>
      <c r="E19" s="24" t="n">
        <v>216054.46</v>
      </c>
      <c r="F19" s="29">
        <f>D19-E19</f>
        <v/>
      </c>
      <c r="G19" s="30" t="inlineStr">
        <is>
          <t>✅ שולם</t>
        </is>
      </c>
    </row>
    <row r="20" ht="14.25" customHeight="1" s="131">
      <c r="A20" s="14" t="inlineStr">
        <is>
          <t>פברואר</t>
        </is>
      </c>
      <c r="B20" s="20" t="inlineStr">
        <is>
          <t>725</t>
        </is>
      </c>
      <c r="C20" s="20" t="inlineStr">
        <is>
          <t>28/02/2026</t>
        </is>
      </c>
      <c r="D20" s="23" t="n">
        <v>188820.06</v>
      </c>
      <c r="E20" s="24" t="n">
        <v>188820.06</v>
      </c>
      <c r="F20" s="29">
        <f>D20-E20</f>
        <v/>
      </c>
      <c r="G20" s="30" t="inlineStr">
        <is>
          <t>✅ שולם</t>
        </is>
      </c>
    </row>
    <row r="21" ht="14.25" customHeight="1" s="131">
      <c r="A21" s="14" t="inlineStr">
        <is>
          <t>מרץ</t>
        </is>
      </c>
      <c r="B21" s="20" t="inlineStr">
        <is>
          <t>783</t>
        </is>
      </c>
      <c r="C21" s="20" t="inlineStr">
        <is>
          <t>31/03/2026</t>
        </is>
      </c>
      <c r="D21" s="23" t="n">
        <v>183100.6</v>
      </c>
      <c r="E21" s="24" t="n">
        <v>183100.6</v>
      </c>
      <c r="F21" s="29">
        <f>D21-E21</f>
        <v/>
      </c>
      <c r="G21" s="30" t="inlineStr">
        <is>
          <t>✅ שולם</t>
        </is>
      </c>
    </row>
    <row r="22" ht="14.25" customHeight="1" s="131">
      <c r="A22" s="14" t="inlineStr">
        <is>
          <t>אפריל</t>
        </is>
      </c>
      <c r="B22" s="20" t="inlineStr">
        <is>
          <t>801</t>
        </is>
      </c>
      <c r="C22" s="20" t="inlineStr">
        <is>
          <t>30/04/2026</t>
        </is>
      </c>
      <c r="D22" s="23" t="n">
        <v>89715.07000000001</v>
      </c>
      <c r="E22" s="24" t="n">
        <v>89715.07000000001</v>
      </c>
      <c r="F22" s="29">
        <f>D22-E22</f>
        <v/>
      </c>
      <c r="G22" s="30" t="inlineStr">
        <is>
          <t>✅ שולם</t>
        </is>
      </c>
    </row>
    <row r="23" ht="14.25" customHeight="1" s="131">
      <c r="A23" s="14" t="inlineStr">
        <is>
          <t>מאי</t>
        </is>
      </c>
      <c r="B23" s="20" t="inlineStr">
        <is>
          <t>874</t>
        </is>
      </c>
      <c r="C23" s="20" t="inlineStr">
        <is>
          <t>31/05/2026</t>
        </is>
      </c>
      <c r="D23" s="23" t="n">
        <v>44717.28</v>
      </c>
      <c r="E23" s="24" t="n">
        <v>44717.28</v>
      </c>
      <c r="F23" s="29">
        <f>D23-E23</f>
        <v/>
      </c>
      <c r="G23" s="30" t="inlineStr">
        <is>
          <t>✅ שולם</t>
        </is>
      </c>
    </row>
    <row r="24" ht="14.25" customHeight="1" s="131">
      <c r="A24" s="14" t="inlineStr">
        <is>
          <t>יוני</t>
        </is>
      </c>
      <c r="B24" s="20" t="inlineStr">
        <is>
          <t>908</t>
        </is>
      </c>
      <c r="C24" s="20" t="inlineStr">
        <is>
          <t>30/06/2026</t>
        </is>
      </c>
      <c r="D24" s="23" t="n">
        <v>164926.24</v>
      </c>
      <c r="E24" s="24" t="n">
        <v>164926.24</v>
      </c>
      <c r="F24" s="29">
        <f>D24-E24</f>
        <v/>
      </c>
      <c r="G24" s="30" t="inlineStr">
        <is>
          <t>21/07 ✅</t>
        </is>
      </c>
    </row>
    <row r="25" ht="14.25" customHeight="1" s="131">
      <c r="A25" s="32" t="inlineStr">
        <is>
          <t>יולי</t>
        </is>
      </c>
      <c r="B25" s="34" t="inlineStr">
        <is>
          <t>956</t>
        </is>
      </c>
      <c r="C25" s="34" t="inlineStr">
        <is>
          <t>31/07/2026</t>
        </is>
      </c>
      <c r="D25" s="35" t="n">
        <v>209845.3</v>
      </c>
      <c r="E25" s="37" t="n">
        <v>209845.3</v>
      </c>
      <c r="F25" s="39">
        <f>D25-E25</f>
        <v/>
      </c>
      <c r="G25" s="40" t="inlineStr">
        <is>
          <t>25/08 חלקי 40,000 + 09/09 יתרה 169,845.30 ✅ שולם במלואו</t>
        </is>
      </c>
    </row>
    <row r="26" ht="14.25" customHeight="1" s="131">
      <c r="A26" s="32" t="inlineStr">
        <is>
          <t>אוגוסט</t>
        </is>
      </c>
      <c r="B26" s="34" t="inlineStr">
        <is>
          <t>חשבונית אוגוסט</t>
        </is>
      </c>
      <c r="C26" s="42" t="inlineStr">
        <is>
          <t>31/08/2026</t>
        </is>
      </c>
      <c r="D26" s="35" t="n">
        <v>190858.51</v>
      </c>
      <c r="E26" s="37" t="n">
        <v>190858.51</v>
      </c>
      <c r="F26" s="39">
        <f>D26-E26</f>
        <v/>
      </c>
      <c r="G26" s="40" t="inlineStr">
        <is>
          <t>22/09 ✅ שולם במלואו (חן עסקה 8020)</t>
        </is>
      </c>
    </row>
    <row r="27" ht="14.25" customHeight="1" s="131">
      <c r="A27" s="32" t="inlineStr">
        <is>
          <t>ספטמבר</t>
        </is>
      </c>
      <c r="B27" s="34" t="inlineStr">
        <is>
          <t>חשבון עסקה 8052</t>
        </is>
      </c>
      <c r="C27" s="124" t="n">
        <v>46295</v>
      </c>
      <c r="D27" s="35" t="n">
        <v>107834.3</v>
      </c>
      <c r="E27" s="37" t="n">
        <v>0</v>
      </c>
      <c r="F27" s="39">
        <f>D27-E27</f>
        <v/>
      </c>
      <c r="G27" s="40" t="inlineStr">
        <is>
          <t>⏳ ממתין לתשלום - 1,305.5 שעות × 70 ₪ + מע"מ (גרייטדור 985.5 + ברגשטיין 320)</t>
        </is>
      </c>
    </row>
    <row r="28" ht="14.25" customHeight="1" s="131">
      <c r="A28" s="43" t="inlineStr">
        <is>
          <t>סה״כ</t>
        </is>
      </c>
      <c r="B28" s="44" t="n"/>
      <c r="C28" s="44" t="n"/>
      <c r="D28" s="45">
        <f>SUM(D19:D27)</f>
        <v/>
      </c>
      <c r="E28" s="45">
        <f>SUM(E19:E27)</f>
        <v/>
      </c>
      <c r="F28" s="45">
        <f>SUM(F19:F27)</f>
        <v/>
      </c>
      <c r="G28" s="44" t="n"/>
    </row>
    <row r="29" ht="14.25" customHeight="1" s="131"/>
    <row r="30" ht="14.25" customHeight="1" s="131">
      <c r="A30" s="72" t="inlineStr">
        <is>
          <t>פאנג שירותי כח אדם בע"מ</t>
        </is>
      </c>
    </row>
    <row r="31" ht="14.25" customHeight="1" s="131">
      <c r="A31" s="3" t="inlineStr">
        <is>
          <t>חודש עבודה</t>
        </is>
      </c>
      <c r="B31" s="3" t="inlineStr">
        <is>
          <t>מס׳ חשבונית</t>
        </is>
      </c>
      <c r="C31" s="3" t="inlineStr">
        <is>
          <t>תאריך</t>
        </is>
      </c>
      <c r="D31" s="3" t="inlineStr">
        <is>
          <t>גולמי (₪)</t>
        </is>
      </c>
      <c r="E31" s="3" t="inlineStr">
        <is>
          <t>שולם (₪)</t>
        </is>
      </c>
      <c r="F31" s="3" t="inlineStr">
        <is>
          <t>יתרה (₪)</t>
        </is>
      </c>
      <c r="G31" s="3" t="inlineStr">
        <is>
          <t>תאריך תשלום</t>
        </is>
      </c>
    </row>
    <row r="32" ht="14.25" customHeight="1" s="131">
      <c r="A32" s="14" t="inlineStr">
        <is>
          <t>ינואר</t>
        </is>
      </c>
      <c r="B32" s="20" t="n"/>
      <c r="C32" s="20" t="n"/>
      <c r="D32" s="23" t="n">
        <v>62079.8</v>
      </c>
      <c r="E32" s="24" t="n">
        <v>62079.8</v>
      </c>
      <c r="F32" s="29">
        <f>D32-E32</f>
        <v/>
      </c>
      <c r="G32" s="30" t="inlineStr">
        <is>
          <t>✅ שולם</t>
        </is>
      </c>
    </row>
    <row r="33" ht="14.25" customHeight="1" s="131">
      <c r="A33" s="48" t="inlineStr">
        <is>
          <t>פברואר</t>
        </is>
      </c>
      <c r="B33" s="49" t="n"/>
      <c r="C33" s="49" t="n"/>
      <c r="D33" s="50" t="n">
        <v>0</v>
      </c>
      <c r="E33" s="51" t="n">
        <v>0</v>
      </c>
      <c r="F33" s="52">
        <f>D33-E33</f>
        <v/>
      </c>
      <c r="G33" s="53" t="n"/>
    </row>
    <row r="34" ht="14.25" customHeight="1" s="131">
      <c r="A34" s="48" t="inlineStr">
        <is>
          <t>מרץ</t>
        </is>
      </c>
      <c r="B34" s="49" t="n"/>
      <c r="C34" s="49" t="n"/>
      <c r="D34" s="50" t="n">
        <v>0</v>
      </c>
      <c r="E34" s="51" t="n">
        <v>0</v>
      </c>
      <c r="F34" s="52">
        <f>D34-E34</f>
        <v/>
      </c>
      <c r="G34" s="53" t="n"/>
    </row>
    <row r="35" ht="14.25" customHeight="1" s="131">
      <c r="A35" s="48" t="inlineStr">
        <is>
          <t>אפריל</t>
        </is>
      </c>
      <c r="B35" s="49" t="n"/>
      <c r="C35" s="49" t="n"/>
      <c r="D35" s="50" t="n">
        <v>0</v>
      </c>
      <c r="E35" s="51" t="n">
        <v>0</v>
      </c>
      <c r="F35" s="52">
        <f>D35-E35</f>
        <v/>
      </c>
      <c r="G35" s="53" t="n"/>
    </row>
    <row r="36" ht="14.25" customHeight="1" s="131">
      <c r="A36" s="32" t="inlineStr">
        <is>
          <t>מאי</t>
        </is>
      </c>
      <c r="B36" s="34" t="inlineStr">
        <is>
          <t>01/002624</t>
        </is>
      </c>
      <c r="C36" s="34" t="inlineStr">
        <is>
          <t>18/06/2026</t>
        </is>
      </c>
      <c r="D36" s="35" t="n">
        <v>264462.78</v>
      </c>
      <c r="E36" s="37" t="n">
        <v>264462.78</v>
      </c>
      <c r="F36" s="39">
        <f>D36-E36</f>
        <v/>
      </c>
      <c r="G36" s="40" t="inlineStr">
        <is>
          <t>25/08 ✅ שולם במלואו (צ'ק 5000344)</t>
        </is>
      </c>
    </row>
    <row r="37" ht="14.25" customHeight="1" s="131">
      <c r="A37" s="32" t="inlineStr">
        <is>
          <t>יוני</t>
        </is>
      </c>
      <c r="B37" s="34" t="inlineStr">
        <is>
          <t>01/002663</t>
        </is>
      </c>
      <c r="C37" s="34" t="inlineStr">
        <is>
          <t>12/07/2026</t>
        </is>
      </c>
      <c r="D37" s="35" t="n">
        <v>420836.97</v>
      </c>
      <c r="E37" s="37" t="n">
        <v>295836.97</v>
      </c>
      <c r="F37" s="39">
        <f>D37-E37</f>
        <v/>
      </c>
      <c r="G37" s="40" t="inlineStr">
        <is>
          <t>צ׳ק 5000345 · 125,000 ₪ ✅ ירד 24/09  +  צ׳ק 5000346 · 125,000 ₪ ב-25/10  |  ⚠️ היתרה 125,000 לא כלולה בסה"כ - נכנסת באוקטובר</t>
        </is>
      </c>
    </row>
    <row r="38" ht="14.25" customHeight="1" s="131">
      <c r="A38" s="32" t="inlineStr">
        <is>
          <t>יולי</t>
        </is>
      </c>
      <c r="B38" s="34" t="inlineStr">
        <is>
          <t>01/002702</t>
        </is>
      </c>
      <c r="C38" s="34" t="inlineStr">
        <is>
          <t>09/08/2026</t>
        </is>
      </c>
      <c r="D38" s="35" t="n">
        <v>492998.1</v>
      </c>
      <c r="E38" s="37" t="n">
        <v>492998.1</v>
      </c>
      <c r="F38" s="39">
        <f>D38-E38</f>
        <v/>
      </c>
      <c r="G38" s="40" t="inlineStr">
        <is>
          <t>18/08 ✅ שולם</t>
        </is>
      </c>
    </row>
    <row r="39" ht="14.25" customHeight="1" s="131">
      <c r="A39" s="32" t="inlineStr">
        <is>
          <t>אוגוסט</t>
        </is>
      </c>
      <c r="B39" s="34" t="inlineStr">
        <is>
          <t>01/002721</t>
        </is>
      </c>
      <c r="C39" s="54" t="inlineStr">
        <is>
          <t>07/09/2026</t>
        </is>
      </c>
      <c r="D39" s="35" t="n">
        <v>438316.3</v>
      </c>
      <c r="E39" s="37" t="n">
        <v>230000</v>
      </c>
      <c r="F39" s="39">
        <f>D39-E39</f>
        <v/>
      </c>
      <c r="G39" s="40" t="inlineStr">
        <is>
          <t>07/10 שולם 230,000 ₪ (העברה) · נותרו 208,316.30 · צ׳קים דחויים: 5000286 · 69,438 ב-26/11/2026 | 5000287 · 69,438 ב-26/12/2026 | 5000288 · 69,438 ב-26/01/2027 (סה"כ 208,314; פער 2.30 ₪ מול היתרה)</t>
        </is>
      </c>
    </row>
    <row r="40" ht="14.25" customHeight="1" s="131">
      <c r="A40" s="43" t="inlineStr">
        <is>
          <t>סה״כ</t>
        </is>
      </c>
      <c r="B40" s="44" t="n"/>
      <c r="C40" s="44" t="n"/>
      <c r="D40" s="45">
        <f>SUM(D32:D39)</f>
        <v/>
      </c>
      <c r="E40" s="45">
        <f>SUM(E32:E39)</f>
        <v/>
      </c>
      <c r="F40" s="45">
        <f>SUM(F32:F39)</f>
        <v/>
      </c>
      <c r="G40" s="44" t="n"/>
    </row>
    <row r="41" ht="14.25" customHeight="1" s="131"/>
    <row r="42" ht="14.25" customHeight="1" s="131">
      <c r="A42" s="72" t="inlineStr">
        <is>
          <t>פסגת ליאם כח אדם בע"מ</t>
        </is>
      </c>
    </row>
    <row r="43" ht="14.25" customHeight="1" s="131">
      <c r="A43" s="3" t="inlineStr">
        <is>
          <t>חודש עבודה</t>
        </is>
      </c>
      <c r="B43" s="3" t="inlineStr">
        <is>
          <t>מס׳ חשבונית</t>
        </is>
      </c>
      <c r="C43" s="3" t="inlineStr">
        <is>
          <t>תאריך</t>
        </is>
      </c>
      <c r="D43" s="3" t="inlineStr">
        <is>
          <t>גולמי (₪)</t>
        </is>
      </c>
      <c r="E43" s="3" t="inlineStr">
        <is>
          <t>שולם (₪)</t>
        </is>
      </c>
      <c r="F43" s="3" t="inlineStr">
        <is>
          <t>יתרה (₪)</t>
        </is>
      </c>
      <c r="G43" s="3" t="inlineStr">
        <is>
          <t>תאריך תשלום</t>
        </is>
      </c>
    </row>
    <row r="44" ht="14.25" customHeight="1" s="131">
      <c r="A44" s="14" t="inlineStr">
        <is>
          <t>יולי</t>
        </is>
      </c>
      <c r="B44" s="20" t="inlineStr">
        <is>
          <t>50116</t>
        </is>
      </c>
      <c r="C44" s="20" t="inlineStr">
        <is>
          <t>31/07/2026</t>
        </is>
      </c>
      <c r="D44" s="23" t="n">
        <v>17098.2</v>
      </c>
      <c r="E44" s="24" t="n">
        <v>17098.2</v>
      </c>
      <c r="F44" s="29">
        <f>D44-E44</f>
        <v/>
      </c>
      <c r="G44" s="30" t="inlineStr">
        <is>
          <t>05/08/2026 ✅</t>
        </is>
      </c>
    </row>
    <row r="45" ht="14.25" customHeight="1" s="131">
      <c r="A45" s="14" t="inlineStr">
        <is>
          <t>אוגוסט</t>
        </is>
      </c>
      <c r="B45" s="20" t="n"/>
      <c r="C45" s="59" t="n">
        <v>46121</v>
      </c>
      <c r="D45" s="23" t="n">
        <v>37541.7</v>
      </c>
      <c r="E45" s="24" t="n">
        <v>37541.7</v>
      </c>
      <c r="F45" s="29">
        <f>D45-E45</f>
        <v/>
      </c>
      <c r="G45" s="30" t="inlineStr">
        <is>
          <t>04/09 ✅ שולם במלואו</t>
        </is>
      </c>
    </row>
    <row r="46" ht="14.25" customHeight="1" s="131">
      <c r="A46" s="14" t="inlineStr">
        <is>
          <t>ספטמבר</t>
        </is>
      </c>
      <c r="B46" s="20" t="n">
        <v>50156</v>
      </c>
      <c r="C46" s="59" t="n"/>
      <c r="D46" s="23" t="n">
        <v>12685.71</v>
      </c>
      <c r="E46" s="24" t="n">
        <v>12685.71</v>
      </c>
      <c r="F46" s="29">
        <f>D46-E46</f>
        <v/>
      </c>
      <c r="G46" s="30" t="inlineStr">
        <is>
          <t>06/10 ✅ שולם במלואו (חן 50156)</t>
        </is>
      </c>
    </row>
    <row r="47" ht="14.25" customHeight="1" s="131">
      <c r="A47" s="43" t="inlineStr">
        <is>
          <t>סה״כ</t>
        </is>
      </c>
      <c r="B47" s="44" t="n"/>
      <c r="C47" s="44" t="n"/>
      <c r="D47" s="45">
        <f>SUM(D44:D46)</f>
        <v/>
      </c>
      <c r="E47" s="45">
        <f>SUM(E44:E46)</f>
        <v/>
      </c>
      <c r="F47" s="45">
        <f>SUM(F44:F46)</f>
        <v/>
      </c>
      <c r="G47" s="44" t="n"/>
    </row>
    <row r="48" ht="14.25" customHeight="1" s="131">
      <c r="A48" s="43" t="n"/>
      <c r="B48" s="44" t="n"/>
      <c r="C48" s="44" t="n"/>
      <c r="D48" s="45" t="n"/>
      <c r="E48" s="45" t="n"/>
      <c r="F48" s="45" t="n"/>
      <c r="G48" s="44" t="n"/>
    </row>
    <row r="49" ht="14.25" customHeight="1" s="131">
      <c r="A49" s="72" t="inlineStr">
        <is>
          <t>עוצמת התמרון בע"מ   |   מועד תשלום: ה-15 לחודש</t>
        </is>
      </c>
    </row>
    <row r="50" ht="14.25" customHeight="1" s="131">
      <c r="A50" s="3" t="inlineStr">
        <is>
          <t>חודש עבודה</t>
        </is>
      </c>
      <c r="B50" s="3" t="inlineStr">
        <is>
          <t>מס׳ חשבונית</t>
        </is>
      </c>
      <c r="C50" s="3" t="inlineStr">
        <is>
          <t>תאריך</t>
        </is>
      </c>
      <c r="D50" s="3" t="inlineStr">
        <is>
          <t>גולמי (₪)</t>
        </is>
      </c>
      <c r="E50" s="3" t="inlineStr">
        <is>
          <t>שולם (₪)</t>
        </is>
      </c>
      <c r="F50" s="3" t="inlineStr">
        <is>
          <t>יתרה (₪)</t>
        </is>
      </c>
      <c r="G50" s="3" t="inlineStr">
        <is>
          <t>תאריך תשלום</t>
        </is>
      </c>
    </row>
    <row r="51" ht="14.25" customHeight="1" s="131">
      <c r="A51" s="14" t="inlineStr">
        <is>
          <t>יולי</t>
        </is>
      </c>
      <c r="B51" s="20" t="inlineStr">
        <is>
          <t>SI266000108</t>
        </is>
      </c>
      <c r="C51" s="20" t="inlineStr">
        <is>
          <t>31/07/2026</t>
        </is>
      </c>
      <c r="D51" s="23" t="n">
        <v>10377.51</v>
      </c>
      <c r="E51" s="24" t="n">
        <v>10113.67</v>
      </c>
      <c r="F51" s="29" t="n">
        <v>0</v>
      </c>
      <c r="G51" s="30" t="inlineStr">
        <is>
          <t>17/08 ✅ - שולם בניכוי 3%</t>
        </is>
      </c>
    </row>
    <row r="52" ht="14.25" customHeight="1" s="131">
      <c r="A52" s="43" t="inlineStr">
        <is>
          <t>סה"כ</t>
        </is>
      </c>
      <c r="B52" s="44" t="n"/>
      <c r="C52" s="44" t="n"/>
      <c r="D52" s="45" t="n">
        <v>10377.51</v>
      </c>
      <c r="E52" s="45" t="n">
        <v>10113.67</v>
      </c>
      <c r="F52" s="45">
        <f>F51</f>
        <v/>
      </c>
      <c r="G52" s="44" t="inlineStr">
        <is>
          <t>17/08 ✅ - שולם בניכוי 3%</t>
        </is>
      </c>
    </row>
    <row r="53" ht="14.25" customHeight="1" s="131">
      <c r="A53" s="43" t="n"/>
      <c r="B53" s="44" t="n"/>
      <c r="C53" s="44" t="n"/>
      <c r="D53" s="45" t="n"/>
      <c r="E53" s="45" t="n"/>
      <c r="F53" s="45" t="n"/>
      <c r="G53" s="44" t="n"/>
    </row>
    <row r="54" ht="14.25" customHeight="1" s="131">
      <c r="A54" s="72" t="inlineStr">
        <is>
          <t>פניני התכלת   |   מועד תשלום: ה-20 לחודש</t>
        </is>
      </c>
    </row>
    <row r="55" ht="14.25" customHeight="1" s="131">
      <c r="A55" s="3" t="inlineStr">
        <is>
          <t>חודש עבודה</t>
        </is>
      </c>
      <c r="B55" s="3" t="inlineStr">
        <is>
          <t>מס׳ חשבונית</t>
        </is>
      </c>
      <c r="C55" s="3" t="inlineStr">
        <is>
          <t>תאריך</t>
        </is>
      </c>
      <c r="D55" s="3" t="inlineStr">
        <is>
          <t>גולמי (₪)</t>
        </is>
      </c>
      <c r="E55" s="3" t="inlineStr">
        <is>
          <t>שולם (₪)</t>
        </is>
      </c>
      <c r="F55" s="3" t="inlineStr">
        <is>
          <t>יתרה (₪)</t>
        </is>
      </c>
      <c r="G55" s="3" t="inlineStr">
        <is>
          <t>תאריך תשלום</t>
        </is>
      </c>
    </row>
    <row r="56" ht="14.25" customHeight="1" s="131">
      <c r="A56" s="14" t="inlineStr">
        <is>
          <t>יולי</t>
        </is>
      </c>
      <c r="B56" s="20" t="n">
        <v>90088</v>
      </c>
      <c r="C56" s="20" t="inlineStr">
        <is>
          <t>31/07/2026</t>
        </is>
      </c>
      <c r="D56" s="23" t="n">
        <v>71026.56</v>
      </c>
      <c r="E56" s="24" t="n">
        <v>69822.72</v>
      </c>
      <c r="F56" s="29" t="n">
        <v>0</v>
      </c>
      <c r="G56" s="30" t="inlineStr">
        <is>
          <t>19/08 ✅ שולם (ניכוי 2%, נטו 69,822.72)</t>
        </is>
      </c>
    </row>
    <row r="57" ht="14.25" customHeight="1" s="131">
      <c r="A57" s="14" t="inlineStr">
        <is>
          <t>אוגוסט</t>
        </is>
      </c>
      <c r="B57" s="20" t="n">
        <v>90110</v>
      </c>
      <c r="C57" s="20" t="inlineStr">
        <is>
          <t>31/08/2026</t>
        </is>
      </c>
      <c r="D57" s="23" t="n">
        <v>94093.2</v>
      </c>
      <c r="E57" s="24" t="n">
        <v>92498.39999999999</v>
      </c>
      <c r="F57" s="29" t="n">
        <v>0</v>
      </c>
      <c r="G57" s="30" t="inlineStr">
        <is>
          <t>22/09 ✅ שולם (ניכוי במקור 2% 1,594.80, נטו 92,498.40)</t>
        </is>
      </c>
    </row>
    <row r="58" ht="14.25" customHeight="1" s="131">
      <c r="A58" s="43" t="inlineStr">
        <is>
          <t>סה"כ</t>
        </is>
      </c>
      <c r="B58" s="44" t="n"/>
      <c r="C58" s="44" t="n"/>
      <c r="D58" s="45">
        <f>SUM(D56:D57)</f>
        <v/>
      </c>
      <c r="E58" s="45">
        <f>SUM(E56:E57)</f>
        <v/>
      </c>
      <c r="F58" s="45">
        <f>SUM(F56:F57)</f>
        <v/>
      </c>
      <c r="G58" s="44" t="n"/>
    </row>
    <row r="59" ht="14.25" customHeight="1" s="131"/>
    <row r="60" ht="14.25" customHeight="1" s="131"/>
    <row r="61" ht="14.25" customHeight="1" s="131">
      <c r="A61" s="72" t="inlineStr">
        <is>
          <t>BMG Human Resources and Placement  |  ח.פ. 516886835</t>
        </is>
      </c>
    </row>
    <row r="62" ht="14.25" customHeight="1" s="131">
      <c r="A62" s="3" t="inlineStr">
        <is>
          <t>חודש עבודה</t>
        </is>
      </c>
      <c r="B62" s="3" t="inlineStr">
        <is>
          <t>מס׳ חשבונית</t>
        </is>
      </c>
      <c r="C62" s="3" t="inlineStr">
        <is>
          <t>תאריך</t>
        </is>
      </c>
      <c r="D62" s="3" t="inlineStr">
        <is>
          <t>גולמי (₪)</t>
        </is>
      </c>
      <c r="E62" s="3" t="inlineStr">
        <is>
          <t>שולם (₪)</t>
        </is>
      </c>
      <c r="F62" s="3" t="inlineStr">
        <is>
          <t>יתרה (₪)</t>
        </is>
      </c>
      <c r="G62" s="3" t="inlineStr">
        <is>
          <t>תאריך תשלום</t>
        </is>
      </c>
    </row>
    <row r="63" ht="14.25" customHeight="1" s="131">
      <c r="A63" s="14" t="inlineStr">
        <is>
          <t>ינואר</t>
        </is>
      </c>
      <c r="B63" s="20" t="n"/>
      <c r="C63" s="20" t="n"/>
      <c r="D63" s="23" t="n">
        <v>0</v>
      </c>
      <c r="E63" s="24" t="n">
        <v>0</v>
      </c>
      <c r="F63" s="29">
        <f>D63-E63</f>
        <v/>
      </c>
      <c r="G63" s="30" t="n"/>
    </row>
    <row r="64" ht="14.25" customHeight="1" s="131">
      <c r="A64" s="43" t="inlineStr">
        <is>
          <t>פברואר</t>
        </is>
      </c>
      <c r="B64" s="44" t="n">
        <v>2137</v>
      </c>
      <c r="C64" s="44" t="inlineStr">
        <is>
          <t>28/02/2026</t>
        </is>
      </c>
      <c r="D64" s="45" t="n">
        <v>134971.4</v>
      </c>
      <c r="E64" s="45" t="n">
        <v>130511</v>
      </c>
      <c r="F64" s="45">
        <f>D64-E64</f>
        <v/>
      </c>
      <c r="G64" s="44" t="inlineStr">
        <is>
          <t>03/04 חלקי</t>
        </is>
      </c>
    </row>
    <row r="65" ht="14.25" customHeight="1" s="131">
      <c r="A65" s="43" t="inlineStr">
        <is>
          <t>מרץ</t>
        </is>
      </c>
      <c r="B65" s="44" t="n">
        <v>2154</v>
      </c>
      <c r="C65" s="44" t="inlineStr">
        <is>
          <t>31/03/2026</t>
        </is>
      </c>
      <c r="D65" s="45" t="n">
        <v>204776.99</v>
      </c>
      <c r="E65" s="45" t="n">
        <v>204776.99</v>
      </c>
      <c r="F65" s="45">
        <f>D65-E65</f>
        <v/>
      </c>
      <c r="G65" s="44" t="inlineStr">
        <is>
          <t>20/05 ✅</t>
        </is>
      </c>
    </row>
    <row r="66" ht="14.25" customHeight="1" s="131">
      <c r="A66" s="72" t="inlineStr">
        <is>
          <t>אפריל</t>
        </is>
      </c>
      <c r="B66" s="2" t="n">
        <v>2204</v>
      </c>
      <c r="C66" s="2" t="inlineStr">
        <is>
          <t>30/04/2026</t>
        </is>
      </c>
      <c r="D66" s="73" t="n">
        <v>164619.44</v>
      </c>
      <c r="E66" s="73" t="n">
        <v>144703.45</v>
      </c>
      <c r="F66" s="73">
        <f>D66-E66</f>
        <v/>
      </c>
      <c r="G66" s="2" t="inlineStr">
        <is>
          <t>13/07 חלקי</t>
        </is>
      </c>
    </row>
    <row r="67" ht="14.25" customHeight="1" s="131">
      <c r="A67" s="3" t="inlineStr">
        <is>
          <t>מאי</t>
        </is>
      </c>
      <c r="B67" s="3" t="n">
        <v>1101</v>
      </c>
      <c r="C67" s="3" t="inlineStr">
        <is>
          <t>30/06/2026</t>
        </is>
      </c>
      <c r="D67" s="3" t="n">
        <v>102027.52</v>
      </c>
      <c r="E67" s="3" t="n">
        <v>102027.52</v>
      </c>
      <c r="F67" s="3">
        <f>D67-E67</f>
        <v/>
      </c>
      <c r="G67" s="3" t="inlineStr">
        <is>
          <t>30/06 ✅</t>
        </is>
      </c>
    </row>
    <row r="68" ht="14.25" customHeight="1" s="131">
      <c r="A68" s="14" t="inlineStr">
        <is>
          <t>יוני</t>
        </is>
      </c>
      <c r="B68" s="20" t="n">
        <v>3000</v>
      </c>
      <c r="C68" s="20" t="inlineStr">
        <is>
          <t>30/06/2026</t>
        </is>
      </c>
      <c r="D68" s="23" t="n">
        <v>92764.64</v>
      </c>
      <c r="E68" s="24" t="n">
        <v>92764.64</v>
      </c>
      <c r="F68" s="29">
        <f>D68-E68</f>
        <v/>
      </c>
      <c r="G68" s="30" t="inlineStr">
        <is>
          <t>31/07 חלקי + 10/08 השלמה ✅</t>
        </is>
      </c>
    </row>
    <row r="69" ht="14.25" customHeight="1" s="131">
      <c r="A69" s="43" t="inlineStr">
        <is>
          <t>יולי</t>
        </is>
      </c>
      <c r="B69" s="44" t="n">
        <v>3006</v>
      </c>
      <c r="C69" s="44" t="inlineStr">
        <is>
          <t>30/07/2026</t>
        </is>
      </c>
      <c r="D69" s="45" t="n">
        <v>94801.78999999999</v>
      </c>
      <c r="E69" s="45" t="n">
        <v>94801.78999999999</v>
      </c>
      <c r="F69" s="45">
        <f>D69-E69</f>
        <v/>
      </c>
      <c r="G69" s="44" t="inlineStr">
        <is>
          <t>20/08 ✅ שולם</t>
        </is>
      </c>
    </row>
    <row r="70" ht="14.25" customHeight="1" s="131">
      <c r="A70" s="43" t="inlineStr">
        <is>
          <t>אוגוסט</t>
        </is>
      </c>
      <c r="B70" s="44" t="n">
        <v>4076</v>
      </c>
      <c r="C70" s="74" t="inlineStr">
        <is>
          <t>30/08/2026</t>
        </is>
      </c>
      <c r="D70" s="45" t="n">
        <v>69702.00999999999</v>
      </c>
      <c r="E70" s="45" t="n">
        <v>69702.00999999999</v>
      </c>
      <c r="F70" s="45">
        <f>D70-E70</f>
        <v/>
      </c>
      <c r="G70" s="44" t="inlineStr">
        <is>
          <t>05/10 ✅ שולם במלואו (חן 4076) - 69,702.01 ₪</t>
        </is>
      </c>
    </row>
    <row r="71" ht="14.25" customHeight="1" s="131">
      <c r="A71" s="43" t="inlineStr">
        <is>
          <t>סה"כ</t>
        </is>
      </c>
      <c r="B71" s="44" t="n"/>
      <c r="C71" s="44" t="n"/>
      <c r="D71" s="45">
        <f>SUM(D63:D70)</f>
        <v/>
      </c>
      <c r="E71" s="45">
        <f>SUM(E63:E70)</f>
        <v/>
      </c>
      <c r="F71" s="45">
        <f>SUM(F63:F70)</f>
        <v/>
      </c>
      <c r="G71" s="44" t="inlineStr">
        <is>
          <t>⚠️ רק פברואר+אפריל לא נכללים בסה"כ למטה (ממתין לכרטסת) - יולי מעודכן ונכלל</t>
        </is>
      </c>
    </row>
    <row r="72" ht="14.25" customHeight="1" s="131">
      <c r="A72" s="72" t="inlineStr">
        <is>
          <t>שי-לי כח אדם בע"מ  |  ע.מ. 515379725   |   מועד תשלום: ה-25 לחודש</t>
        </is>
      </c>
    </row>
    <row r="73" ht="14.25" customHeight="1" s="131">
      <c r="A73" s="3" t="inlineStr">
        <is>
          <t>חודש עבודה</t>
        </is>
      </c>
      <c r="B73" s="3" t="inlineStr">
        <is>
          <t>מס׳ חשבונית</t>
        </is>
      </c>
      <c r="C73" s="3" t="inlineStr">
        <is>
          <t>תאריך</t>
        </is>
      </c>
      <c r="D73" s="3" t="inlineStr">
        <is>
          <t>גולמי (₪)</t>
        </is>
      </c>
      <c r="E73" s="3" t="inlineStr">
        <is>
          <t>שולם (₪)</t>
        </is>
      </c>
      <c r="F73" s="3" t="inlineStr">
        <is>
          <t>יתרה (₪)</t>
        </is>
      </c>
      <c r="G73" s="3" t="inlineStr">
        <is>
          <t>תאריך תשלום</t>
        </is>
      </c>
    </row>
    <row r="74" ht="14.25" customHeight="1" s="131">
      <c r="A74" s="14" t="inlineStr">
        <is>
          <t>יולי</t>
        </is>
      </c>
      <c r="B74" s="20" t="n">
        <v>230673</v>
      </c>
      <c r="C74" s="20" t="inlineStr">
        <is>
          <t>31/07/2026</t>
        </is>
      </c>
      <c r="D74" s="23" t="n">
        <v>44156</v>
      </c>
      <c r="E74" s="24" t="n">
        <v>44156</v>
      </c>
      <c r="F74" s="29">
        <f>D74-E74</f>
        <v/>
      </c>
      <c r="G74" s="30" t="inlineStr">
        <is>
          <t>26/08 ⏳ שולם, טרם סופי</t>
        </is>
      </c>
    </row>
    <row r="75" ht="14.25" customHeight="1" s="131">
      <c r="A75" s="14" t="inlineStr">
        <is>
          <t>אוגוסט</t>
        </is>
      </c>
      <c r="B75" s="20" t="n">
        <v>230703</v>
      </c>
      <c r="C75" s="38" t="inlineStr">
        <is>
          <t>31/08/2026</t>
        </is>
      </c>
      <c r="D75" s="23" t="n">
        <v>67944</v>
      </c>
      <c r="E75" s="24" t="n">
        <v>67944</v>
      </c>
      <c r="F75" s="29">
        <f>D75-E75</f>
        <v/>
      </c>
      <c r="G75" s="30" t="inlineStr">
        <is>
          <t>24/09 ✅ שולם במלואו (חן 230703)</t>
        </is>
      </c>
    </row>
    <row r="76" ht="14.25" customHeight="1" s="131">
      <c r="A76" s="14" t="inlineStr">
        <is>
          <t>ספטמבר</t>
        </is>
      </c>
      <c r="B76" s="20" t="n">
        <v>230747</v>
      </c>
      <c r="C76" s="59" t="n">
        <v>46295</v>
      </c>
      <c r="D76" s="23" t="n">
        <v>44571</v>
      </c>
      <c r="E76" s="24" t="n">
        <v>0</v>
      </c>
      <c r="F76" s="29">
        <f>D76-E76</f>
        <v/>
      </c>
      <c r="G76" s="30" t="inlineStr">
        <is>
          <t>⏳ לתשלום ב-25/10/2026 (532 שעות × 71 ₪ + מע"מ; אתר הקליר 10, ירושלים)</t>
        </is>
      </c>
    </row>
    <row r="77" ht="14.25" customHeight="1" s="131">
      <c r="A77" s="43" t="inlineStr">
        <is>
          <t>סה"כ</t>
        </is>
      </c>
      <c r="B77" s="44" t="n"/>
      <c r="C77" s="44" t="n"/>
      <c r="D77" s="45">
        <f>SUM(D74:D76)</f>
        <v/>
      </c>
      <c r="E77" s="45">
        <f>SUM(E74:E76)</f>
        <v/>
      </c>
      <c r="F77" s="45">
        <f>SUM(F74:F76)</f>
        <v/>
      </c>
      <c r="G77" s="44" t="n"/>
    </row>
    <row r="78" ht="14.25" customHeight="1" s="131">
      <c r="A78" s="43" t="inlineStr">
        <is>
          <t>ד.יוחאי בע"מ  |  עוסק מורשה 516890944   |   מועד תשלום: ה-20 לחודש</t>
        </is>
      </c>
      <c r="B78" s="44" t="n"/>
      <c r="C78" s="44" t="n"/>
      <c r="D78" s="45" t="n"/>
      <c r="E78" s="45" t="n"/>
      <c r="F78" s="45" t="n"/>
      <c r="G78" s="44" t="n"/>
    </row>
    <row r="79" ht="14.25" customHeight="1" s="131">
      <c r="A79" s="43" t="inlineStr">
        <is>
          <t>חודש עבודה</t>
        </is>
      </c>
      <c r="B79" s="44" t="inlineStr">
        <is>
          <t>מס׳ חשבונית</t>
        </is>
      </c>
      <c r="C79" s="44" t="inlineStr">
        <is>
          <t>תאריך</t>
        </is>
      </c>
      <c r="D79" s="45" t="inlineStr">
        <is>
          <t>גולמי (₪)</t>
        </is>
      </c>
      <c r="E79" s="45" t="inlineStr">
        <is>
          <t>שולם (₪)</t>
        </is>
      </c>
      <c r="F79" s="45" t="inlineStr">
        <is>
          <t>יתרה (₪)</t>
        </is>
      </c>
      <c r="G79" s="44" t="inlineStr">
        <is>
          <t>תאריך תשלום</t>
        </is>
      </c>
    </row>
    <row r="80" ht="14.25" customHeight="1" s="131">
      <c r="A80" s="43" t="inlineStr">
        <is>
          <t>אוגוסט</t>
        </is>
      </c>
      <c r="B80" s="44" t="inlineStr">
        <is>
          <t>IN264000106</t>
        </is>
      </c>
      <c r="C80" s="74" t="inlineStr">
        <is>
          <t>31/08/2026</t>
        </is>
      </c>
      <c r="D80" s="45" t="n">
        <v>35758.81</v>
      </c>
      <c r="E80" s="45" t="n">
        <v>35758.81</v>
      </c>
      <c r="F80" s="45">
        <f>D80-E80</f>
        <v/>
      </c>
      <c r="G80" s="44" t="inlineStr">
        <is>
          <t>22/09 ✅ שולם במלואו</t>
        </is>
      </c>
    </row>
    <row r="81" ht="14.25" customHeight="1" s="131">
      <c r="A81" s="43" t="inlineStr">
        <is>
          <t>ספטמבר</t>
        </is>
      </c>
      <c r="B81" s="44" t="inlineStr">
        <is>
          <t>IN264000117</t>
        </is>
      </c>
      <c r="C81" s="125" t="n">
        <v>46295</v>
      </c>
      <c r="D81" s="45" t="n">
        <v>35432.57</v>
      </c>
      <c r="E81" s="45" t="n">
        <v>0</v>
      </c>
      <c r="F81" s="45">
        <f>D81-E81</f>
        <v/>
      </c>
      <c r="G81" s="44" t="inlineStr">
        <is>
          <t>⏳ לתשלום ב-20/10/2026 · 321.05 שעות ספטמבר + 96 שעות השלמה לתקן = 417.05 × 72 ₪ = 30,027.60 + מע"מ 5,404.97</t>
        </is>
      </c>
    </row>
    <row r="82" ht="14.25" customHeight="1" s="131">
      <c r="A82" s="43" t="inlineStr">
        <is>
          <t>סה"כ</t>
        </is>
      </c>
      <c r="B82" s="44" t="n"/>
      <c r="C82" s="44" t="n"/>
      <c r="D82" s="45">
        <f>SUM(D80:D81)</f>
        <v/>
      </c>
      <c r="E82" s="45">
        <f>SUM(E80:E81)</f>
        <v/>
      </c>
      <c r="F82" s="45">
        <f>SUM(F80:F81)</f>
        <v/>
      </c>
      <c r="G82" s="44" t="n"/>
    </row>
    <row r="83" ht="14.25" customHeight="1" s="131">
      <c r="A83" s="43" t="n"/>
      <c r="B83" s="44" t="n"/>
      <c r="C83" s="44" t="n"/>
      <c r="D83" s="45" t="n"/>
      <c r="E83" s="45" t="n"/>
      <c r="F83" s="45" t="n"/>
      <c r="G83" s="44" t="n"/>
    </row>
    <row r="84" ht="14.25" customHeight="1" s="131">
      <c r="A84" s="72" t="inlineStr">
        <is>
          <t>שרף (ד.י שרף השקעות)   |   ירון 054-6477110   |   ✅ שולם 09/09/2026 - החשבונית עצמה טרם התקבלה</t>
        </is>
      </c>
      <c r="B84" s="77" t="n"/>
      <c r="C84" s="77" t="n"/>
      <c r="D84" s="79" t="n"/>
      <c r="E84" s="79" t="n"/>
      <c r="F84" s="79" t="n"/>
      <c r="G84" s="77" t="n"/>
    </row>
    <row r="85" ht="14.25" customHeight="1" s="131">
      <c r="A85" s="4" t="inlineStr">
        <is>
          <t>חודש עבודה</t>
        </is>
      </c>
      <c r="B85" s="3" t="inlineStr">
        <is>
          <t>מס׳ חשבונית</t>
        </is>
      </c>
      <c r="C85" s="3" t="inlineStr">
        <is>
          <t>תאריך</t>
        </is>
      </c>
      <c r="D85" s="81" t="inlineStr">
        <is>
          <t>גולמי (₪)</t>
        </is>
      </c>
      <c r="E85" s="81" t="inlineStr">
        <is>
          <t>שולם (₪)</t>
        </is>
      </c>
      <c r="F85" s="81" t="inlineStr">
        <is>
          <t>יתרה (₪)</t>
        </is>
      </c>
      <c r="G85" s="3" t="inlineStr">
        <is>
          <t>תאריך תשלום</t>
        </is>
      </c>
    </row>
    <row r="86" ht="14.25" customHeight="1" s="131">
      <c r="A86" s="14" t="inlineStr">
        <is>
          <t>אוגוסט</t>
        </is>
      </c>
      <c r="B86" s="20" t="inlineStr">
        <is>
          <t>ממתין לקבלת חשבונית</t>
        </is>
      </c>
      <c r="C86" s="38" t="inlineStr">
        <is>
          <t>31/08/2026</t>
        </is>
      </c>
      <c r="D86" s="23" t="n">
        <v>75065</v>
      </c>
      <c r="E86" s="23" t="n">
        <v>75065</v>
      </c>
      <c r="F86" s="23">
        <f>D86-E86</f>
        <v/>
      </c>
      <c r="G86" s="20" t="inlineStr">
        <is>
          <t>✅ שולם 09/09/2026 בהעברה דיגיטלית - 75,065 ₪ (סכום מאומת מול הבנק, לא אומדן). עדיין יש לקבל את מסמך החשבונית עצמו מהתאגיד</t>
        </is>
      </c>
    </row>
    <row r="87" ht="14.25" customHeight="1" s="131">
      <c r="A87" s="43" t="inlineStr">
        <is>
          <t>סה"כ</t>
        </is>
      </c>
      <c r="B87" s="44" t="n"/>
      <c r="C87" s="44" t="n"/>
      <c r="D87" s="45">
        <f>D86</f>
        <v/>
      </c>
      <c r="E87" s="45">
        <f>E86</f>
        <v/>
      </c>
      <c r="F87" s="45">
        <f>F86</f>
        <v/>
      </c>
      <c r="G87" s="44" t="n"/>
    </row>
    <row r="88" ht="14.25" customHeight="1" s="131">
      <c r="A88" s="72" t="inlineStr">
        <is>
          <t>ג.ד. קלמרה הנדסה ובנייה בע"מ   |   ח.פ. 516489689</t>
        </is>
      </c>
      <c r="B88" s="77" t="n"/>
      <c r="C88" s="77" t="n"/>
      <c r="D88" s="79" t="n"/>
      <c r="E88" s="79" t="n"/>
      <c r="F88" s="79" t="n"/>
      <c r="G88" s="77" t="n"/>
    </row>
    <row r="89" ht="14.25" customHeight="1" s="131">
      <c r="A89" s="4" t="inlineStr">
        <is>
          <t>חודש עבודה</t>
        </is>
      </c>
      <c r="B89" s="3" t="inlineStr">
        <is>
          <t>מס׳ חשבונית</t>
        </is>
      </c>
      <c r="C89" s="3" t="inlineStr">
        <is>
          <t>תאריך</t>
        </is>
      </c>
      <c r="D89" s="81" t="inlineStr">
        <is>
          <t>גולמי (₪)</t>
        </is>
      </c>
      <c r="E89" s="81" t="inlineStr">
        <is>
          <t>שולם (₪)</t>
        </is>
      </c>
      <c r="F89" s="81" t="inlineStr">
        <is>
          <t>יתרה (₪)</t>
        </is>
      </c>
      <c r="G89" s="3" t="inlineStr">
        <is>
          <t>תאריך תשלום</t>
        </is>
      </c>
    </row>
    <row r="90" ht="14.25" customHeight="1" s="131">
      <c r="A90" s="14" t="inlineStr">
        <is>
          <t>אוגוסט</t>
        </is>
      </c>
      <c r="B90" s="20" t="n">
        <v>20019</v>
      </c>
      <c r="C90" s="38" t="inlineStr">
        <is>
          <t>14/09/2026</t>
        </is>
      </c>
      <c r="D90" s="23" t="n">
        <v>4085</v>
      </c>
      <c r="E90" s="23" t="n">
        <v>4085</v>
      </c>
      <c r="F90" s="23">
        <f>D90-E90</f>
        <v/>
      </c>
      <c r="G90" s="20" t="inlineStr">
        <is>
          <t>22/09 ✅ שולם</t>
        </is>
      </c>
    </row>
    <row r="91" ht="14.25" customHeight="1" s="131">
      <c r="A91" s="43" t="inlineStr">
        <is>
          <t>סה"כ</t>
        </is>
      </c>
      <c r="B91" s="44" t="n"/>
      <c r="C91" s="44" t="n"/>
      <c r="D91" s="45" t="n">
        <v>4085</v>
      </c>
      <c r="E91" s="45" t="n">
        <v>4085</v>
      </c>
      <c r="F91" s="45" t="n">
        <v>0</v>
      </c>
      <c r="G91" s="44" t="n"/>
    </row>
    <row r="92" ht="14.25" customHeight="1" s="131">
      <c r="A92" s="43" t="n"/>
      <c r="B92" s="44" t="n"/>
      <c r="C92" s="44" t="n"/>
      <c r="D92" s="45" t="n"/>
      <c r="E92" s="45" t="n"/>
      <c r="F92" s="45" t="n"/>
      <c r="G92" s="44" t="n"/>
    </row>
    <row r="93" ht="14.25" customHeight="1" s="131"/>
    <row r="94" ht="21.75" customHeight="1" s="131">
      <c r="A94" s="139" t="inlineStr">
        <is>
          <t>💰  סך חוב פתוח לכל התאגידים   (✱ לא כולל BMG פברואר+אפריל | לא כולל פאנג יוני 125,000 - צ׳ק 5000346 ב-25/10)</t>
        </is>
      </c>
      <c r="D94" s="87">
        <f>F15+F28+(F40-125000)+F47+F52+F58+(F71-4460.4-19915.99)+F77+F82+F87+F91</f>
        <v/>
      </c>
      <c r="E94" s="88" t="n"/>
      <c r="F94" s="88" t="n"/>
      <c r="G94" s="88" t="n"/>
    </row>
    <row r="95" ht="14.25" customHeight="1" s="131"/>
    <row r="96" ht="14.25" customHeight="1" s="131">
      <c r="A96" s="138" t="inlineStr">
        <is>
          <t>✱ יתרת פאנג יוני: צ׳ק 24/09/2026 ירד ✅ · נותר צ׳ק 25/10/2026</t>
        </is>
      </c>
    </row>
    <row r="97" ht="14.25" customHeight="1" s="131">
      <c r="A97" s="58" t="inlineStr">
        <is>
          <t>✅ כל חשבוניות אוגוסט התקבלו. שולמו: פסגת ליאם, שרף (09/09), פניני התכלת, ד.יוחאי, אחים לימור, ג.ד קלמרה, פוגין (22/09), שי-לי (24/09), BMG (05/10). נותרה לתשלום: פאנג. ✅ פסגת ליאם ספטמבר (50156) שולם 06/10 - 12,685.71 ₪. שרף - עדיין ממתין למסמך החשבונית עצמו. ⏳ פוגין ספטמבר (01/000938) - 18,262.90 ₪ לתשלום 25/10. ⏳ שי-לי ספטמבר (230747) - 44,571 ₪ לתשלום 25/10. ⏳ אחים לימור ספטמבר (חשבון עסקה 8052) - 107,834.30 ₪.</t>
        </is>
      </c>
    </row>
    <row r="98" ht="14.25" customHeight="1" s="131"/>
    <row r="99" ht="14.25" customHeight="1" s="131">
      <c r="A99" s="89" t="inlineStr">
        <is>
          <t>מועדי תשלום קבועים לתאגידים: עוצמת התמרון - ה-15 לחודש · פניני התכלת - ה-20 לחודש · יוחאי - ה-20 לחודש · שי-לי - ה-25 לחודש · פוגין - ה-25 לחודש</t>
        </is>
      </c>
    </row>
    <row r="100" ht="14.25" customHeight="1" s="131"/>
    <row r="101" ht="14.25" customHeight="1" s="131"/>
    <row r="102" ht="14.25" customHeight="1" s="131"/>
    <row r="103" ht="14.25" customHeight="1" s="131"/>
    <row r="104" ht="14.25" customHeight="1" s="131"/>
    <row r="105" ht="14.25" customHeight="1" s="131"/>
    <row r="106" ht="14.25" customHeight="1" s="131"/>
    <row r="107" ht="14.25" customHeight="1" s="131"/>
    <row r="108" ht="14.25" customHeight="1" s="131"/>
    <row r="109" ht="14.25" customHeight="1" s="131"/>
    <row r="110" ht="14.25" customHeight="1" s="131"/>
    <row r="111" ht="14.25" customHeight="1" s="131"/>
    <row r="112" ht="14.25" customHeight="1" s="131"/>
    <row r="113" ht="14.25" customHeight="1" s="131"/>
    <row r="114" ht="14.25" customHeight="1" s="131"/>
    <row r="115" ht="14.25" customHeight="1" s="131"/>
    <row r="116" ht="14.25" customHeight="1" s="131"/>
    <row r="117" ht="14.25" customHeight="1" s="131"/>
    <row r="118" ht="14.25" customHeight="1" s="131"/>
    <row r="119" ht="14.25" customHeight="1" s="131"/>
    <row r="120" ht="14.25" customHeight="1" s="131"/>
    <row r="121" ht="14.25" customHeight="1" s="131"/>
    <row r="122" ht="14.25" customHeight="1" s="131"/>
    <row r="123" ht="14.25" customHeight="1" s="131"/>
    <row r="124" ht="14.25" customHeight="1" s="131"/>
    <row r="125" ht="14.25" customHeight="1" s="131"/>
    <row r="126" ht="14.25" customHeight="1" s="131"/>
    <row r="127" ht="14.25" customHeight="1" s="131"/>
    <row r="128" ht="14.25" customHeight="1" s="131"/>
    <row r="129" ht="14.25" customHeight="1" s="131"/>
    <row r="130" ht="14.25" customHeight="1" s="131"/>
    <row r="131" ht="14.25" customHeight="1" s="131"/>
    <row r="132" ht="14.25" customHeight="1" s="131"/>
    <row r="133" ht="14.25" customHeight="1" s="131"/>
    <row r="134" ht="14.25" customHeight="1" s="131"/>
    <row r="135" ht="14.25" customHeight="1" s="131"/>
    <row r="136" ht="14.25" customHeight="1" s="131"/>
    <row r="137" ht="14.25" customHeight="1" s="131"/>
    <row r="138" ht="14.25" customHeight="1" s="131"/>
    <row r="139" ht="14.25" customHeight="1" s="131"/>
    <row r="140" ht="14.25" customHeight="1" s="131"/>
    <row r="141" ht="14.25" customHeight="1" s="131"/>
    <row r="142" ht="14.25" customHeight="1" s="131"/>
    <row r="143" ht="14.25" customHeight="1" s="131"/>
    <row r="144" ht="14.25" customHeight="1" s="131"/>
    <row r="145" ht="14.25" customHeight="1" s="131"/>
    <row r="146" ht="14.25" customHeight="1" s="131"/>
    <row r="147" ht="14.25" customHeight="1" s="131"/>
    <row r="148" ht="14.25" customHeight="1" s="131"/>
    <row r="149" ht="14.25" customHeight="1" s="131"/>
    <row r="150" ht="14.25" customHeight="1" s="131"/>
    <row r="151" ht="14.25" customHeight="1" s="131"/>
    <row r="152" ht="14.25" customHeight="1" s="131"/>
    <row r="153" ht="14.25" customHeight="1" s="131"/>
    <row r="154" ht="14.25" customHeight="1" s="131"/>
    <row r="155" ht="14.25" customHeight="1" s="131"/>
    <row r="156" ht="14.25" customHeight="1" s="131"/>
    <row r="157" ht="14.25" customHeight="1" s="131"/>
    <row r="158" ht="14.25" customHeight="1" s="131"/>
    <row r="159" ht="14.25" customHeight="1" s="131"/>
    <row r="160" ht="14.25" customHeight="1" s="131"/>
    <row r="161" ht="14.25" customHeight="1" s="131"/>
    <row r="162" ht="14.25" customHeight="1" s="131"/>
    <row r="163" ht="14.25" customHeight="1" s="131"/>
    <row r="164" ht="14.25" customHeight="1" s="131"/>
    <row r="165" ht="14.25" customHeight="1" s="131"/>
    <row r="166" ht="14.25" customHeight="1" s="131"/>
    <row r="167" ht="14.25" customHeight="1" s="131"/>
    <row r="168" ht="14.25" customHeight="1" s="131"/>
    <row r="169" ht="14.25" customHeight="1" s="131"/>
    <row r="170" ht="14.25" customHeight="1" s="131"/>
    <row r="171" ht="14.25" customHeight="1" s="131"/>
    <row r="172" ht="14.25" customHeight="1" s="131"/>
    <row r="173" ht="14.25" customHeight="1" s="131"/>
    <row r="174" ht="14.25" customHeight="1" s="131"/>
    <row r="175" ht="14.25" customHeight="1" s="131"/>
    <row r="176" ht="14.25" customHeight="1" s="131"/>
    <row r="177" ht="14.25" customHeight="1" s="131"/>
    <row r="178" ht="14.25" customHeight="1" s="131"/>
    <row r="179" ht="14.25" customHeight="1" s="131"/>
    <row r="180" ht="14.25" customHeight="1" s="131"/>
    <row r="181" ht="14.25" customHeight="1" s="131"/>
    <row r="182" ht="14.25" customHeight="1" s="131"/>
    <row r="183" ht="14.25" customHeight="1" s="131"/>
    <row r="184" ht="14.25" customHeight="1" s="131"/>
    <row r="185" ht="14.25" customHeight="1" s="131"/>
    <row r="186" ht="14.25" customHeight="1" s="131"/>
    <row r="187" ht="14.25" customHeight="1" s="131"/>
    <row r="188" ht="14.25" customHeight="1" s="131"/>
    <row r="189" ht="14.25" customHeight="1" s="131"/>
    <row r="190" ht="14.25" customHeight="1" s="131"/>
    <row r="191" ht="14.25" customHeight="1" s="131"/>
    <row r="192" ht="14.25" customHeight="1" s="131"/>
    <row r="193" ht="14.25" customHeight="1" s="131"/>
    <row r="194" ht="14.25" customHeight="1" s="131"/>
    <row r="195" ht="14.25" customHeight="1" s="131"/>
    <row r="196" ht="14.25" customHeight="1" s="131"/>
    <row r="197" ht="14.25" customHeight="1" s="131"/>
    <row r="198" ht="14.25" customHeight="1" s="131"/>
    <row r="199" ht="14.25" customHeight="1" s="131"/>
    <row r="200" ht="14.25" customHeight="1" s="131"/>
    <row r="201" ht="14.25" customHeight="1" s="131"/>
    <row r="202" ht="14.25" customHeight="1" s="131"/>
    <row r="203" ht="14.25" customHeight="1" s="131"/>
    <row r="204" ht="14.25" customHeight="1" s="131"/>
    <row r="205" ht="14.25" customHeight="1" s="131"/>
    <row r="206" ht="14.25" customHeight="1" s="131"/>
    <row r="207" ht="14.25" customHeight="1" s="131"/>
    <row r="208" ht="14.25" customHeight="1" s="131"/>
    <row r="209" ht="14.25" customHeight="1" s="131"/>
    <row r="210" ht="14.25" customHeight="1" s="131"/>
    <row r="211" ht="14.25" customHeight="1" s="131"/>
    <row r="212" ht="14.25" customHeight="1" s="131"/>
    <row r="213" ht="14.25" customHeight="1" s="131"/>
    <row r="214" ht="14.25" customHeight="1" s="131"/>
    <row r="215" ht="14.25" customHeight="1" s="131"/>
    <row r="216" ht="14.25" customHeight="1" s="131"/>
    <row r="217" ht="14.25" customHeight="1" s="131"/>
    <row r="218" ht="14.25" customHeight="1" s="131"/>
    <row r="219" ht="14.25" customHeight="1" s="131"/>
    <row r="220" ht="14.25" customHeight="1" s="131"/>
    <row r="221" ht="14.25" customHeight="1" s="131"/>
    <row r="222" ht="14.25" customHeight="1" s="131"/>
    <row r="223" ht="14.25" customHeight="1" s="131"/>
    <row r="224" ht="14.25" customHeight="1" s="131"/>
    <row r="225" ht="14.25" customHeight="1" s="131"/>
    <row r="226" ht="14.25" customHeight="1" s="131"/>
    <row r="227" ht="14.25" customHeight="1" s="131"/>
    <row r="228" ht="14.25" customHeight="1" s="131"/>
    <row r="229" ht="14.25" customHeight="1" s="131"/>
    <row r="230" ht="14.25" customHeight="1" s="131"/>
    <row r="231" ht="14.25" customHeight="1" s="131"/>
    <row r="232" ht="14.25" customHeight="1" s="131"/>
    <row r="233" ht="14.25" customHeight="1" s="131"/>
    <row r="234" ht="14.25" customHeight="1" s="131"/>
    <row r="235" ht="14.25" customHeight="1" s="131"/>
    <row r="236" ht="14.25" customHeight="1" s="131"/>
    <row r="237" ht="14.25" customHeight="1" s="131"/>
    <row r="238" ht="14.25" customHeight="1" s="131"/>
    <row r="239" ht="14.25" customHeight="1" s="131"/>
    <row r="240" ht="14.25" customHeight="1" s="131"/>
    <row r="241" ht="14.25" customHeight="1" s="131"/>
    <row r="242" ht="14.25" customHeight="1" s="131"/>
    <row r="243" ht="14.25" customHeight="1" s="131"/>
    <row r="244" ht="14.25" customHeight="1" s="131"/>
    <row r="245" ht="14.25" customHeight="1" s="131"/>
    <row r="246" ht="14.25" customHeight="1" s="131"/>
    <row r="247" ht="14.25" customHeight="1" s="131"/>
    <row r="248" ht="14.25" customHeight="1" s="131"/>
    <row r="249" ht="14.25" customHeight="1" s="131"/>
    <row r="250" ht="14.25" customHeight="1" s="131"/>
    <row r="251" ht="14.25" customHeight="1" s="131"/>
    <row r="252" ht="14.25" customHeight="1" s="131"/>
    <row r="253" ht="14.25" customHeight="1" s="131"/>
    <row r="254" ht="14.25" customHeight="1" s="131"/>
    <row r="255" ht="14.25" customHeight="1" s="131"/>
    <row r="256" ht="14.25" customHeight="1" s="131"/>
    <row r="257" ht="14.25" customHeight="1" s="131"/>
    <row r="258" ht="14.25" customHeight="1" s="131"/>
    <row r="259" ht="14.25" customHeight="1" s="131"/>
    <row r="260" ht="14.25" customHeight="1" s="131"/>
    <row r="261" ht="14.25" customHeight="1" s="131"/>
    <row r="262" ht="14.25" customHeight="1" s="131"/>
    <row r="263" ht="14.25" customHeight="1" s="131"/>
    <row r="264" ht="14.25" customHeight="1" s="131"/>
    <row r="265" ht="14.25" customHeight="1" s="131"/>
    <row r="266" ht="14.25" customHeight="1" s="131"/>
    <row r="267" ht="14.25" customHeight="1" s="131"/>
    <row r="268" ht="14.25" customHeight="1" s="131"/>
    <row r="269" ht="14.25" customHeight="1" s="131"/>
    <row r="270" ht="14.25" customHeight="1" s="131"/>
    <row r="271" ht="14.25" customHeight="1" s="131"/>
    <row r="272" ht="14.25" customHeight="1" s="131"/>
    <row r="273" ht="14.25" customHeight="1" s="131"/>
    <row r="274" ht="14.25" customHeight="1" s="131"/>
    <row r="275" ht="14.25" customHeight="1" s="131"/>
    <row r="276" ht="14.25" customHeight="1" s="131"/>
    <row r="277" ht="14.25" customHeight="1" s="131"/>
    <row r="278" ht="14.25" customHeight="1" s="131"/>
    <row r="279" ht="14.25" customHeight="1" s="131"/>
    <row r="280" ht="14.25" customHeight="1" s="131"/>
    <row r="281" ht="14.25" customHeight="1" s="131"/>
    <row r="282" ht="14.25" customHeight="1" s="131"/>
    <row r="283" ht="14.25" customHeight="1" s="131"/>
    <row r="284" ht="14.25" customHeight="1" s="131"/>
    <row r="285" ht="14.25" customHeight="1" s="131"/>
    <row r="286" ht="14.25" customHeight="1" s="131"/>
    <row r="287" ht="14.25" customHeight="1" s="131"/>
    <row r="288" ht="14.25" customHeight="1" s="131"/>
    <row r="289" ht="14.25" customHeight="1" s="131"/>
    <row r="290" ht="14.25" customHeight="1" s="131"/>
    <row r="291" ht="14.25" customHeight="1" s="131"/>
    <row r="292" ht="14.25" customHeight="1" s="131"/>
    <row r="293" ht="14.25" customHeight="1" s="131"/>
    <row r="294" ht="14.25" customHeight="1" s="131"/>
    <row r="295" ht="14.25" customHeight="1" s="131"/>
    <row r="296" ht="14.25" customHeight="1" s="131"/>
    <row r="297" ht="14.25" customHeight="1" s="131"/>
    <row r="298" ht="14.25" customHeight="1" s="131"/>
    <row r="299" ht="14.25" customHeight="1" s="131"/>
    <row r="300" ht="14.25" customHeight="1" s="131"/>
    <row r="301" ht="14.25" customHeight="1" s="131"/>
    <row r="302" ht="14.25" customHeight="1" s="131"/>
    <row r="303" ht="14.25" customHeight="1" s="131"/>
    <row r="304" ht="14.25" customHeight="1" s="131"/>
    <row r="305" ht="14.25" customHeight="1" s="131"/>
    <row r="306" ht="14.25" customHeight="1" s="131"/>
    <row r="307" ht="14.25" customHeight="1" s="131"/>
    <row r="308" ht="14.25" customHeight="1" s="131"/>
    <row r="309" ht="14.25" customHeight="1" s="131"/>
    <row r="310" ht="14.25" customHeight="1" s="131"/>
    <row r="311" ht="14.25" customHeight="1" s="131"/>
    <row r="312" ht="14.25" customHeight="1" s="131"/>
    <row r="313" ht="14.25" customHeight="1" s="131"/>
    <row r="314" ht="14.25" customHeight="1" s="131"/>
    <row r="315" ht="14.25" customHeight="1" s="131"/>
    <row r="316" ht="14.25" customHeight="1" s="131"/>
    <row r="317" ht="14.25" customHeight="1" s="131"/>
    <row r="318" ht="14.25" customHeight="1" s="131"/>
    <row r="319" ht="14.25" customHeight="1" s="131"/>
    <row r="320" ht="14.25" customHeight="1" s="131"/>
    <row r="321" ht="14.25" customHeight="1" s="131"/>
    <row r="322" ht="14.25" customHeight="1" s="131"/>
    <row r="323" ht="14.25" customHeight="1" s="131"/>
    <row r="324" ht="14.25" customHeight="1" s="131"/>
    <row r="325" ht="14.25" customHeight="1" s="131"/>
    <row r="326" ht="14.25" customHeight="1" s="131"/>
    <row r="327" ht="14.25" customHeight="1" s="131"/>
    <row r="328" ht="14.25" customHeight="1" s="131"/>
    <row r="329" ht="14.25" customHeight="1" s="131"/>
    <row r="330" ht="14.25" customHeight="1" s="131"/>
    <row r="331" ht="14.25" customHeight="1" s="131"/>
    <row r="332" ht="14.25" customHeight="1" s="131"/>
    <row r="333" ht="14.25" customHeight="1" s="131"/>
    <row r="334" ht="14.25" customHeight="1" s="131"/>
    <row r="335" ht="14.25" customHeight="1" s="131"/>
    <row r="336" ht="14.25" customHeight="1" s="131"/>
    <row r="337" ht="14.25" customHeight="1" s="131"/>
    <row r="338" ht="14.25" customHeight="1" s="131"/>
    <row r="339" ht="14.25" customHeight="1" s="131"/>
    <row r="340" ht="14.25" customHeight="1" s="131"/>
    <row r="341" ht="14.25" customHeight="1" s="131"/>
    <row r="342" ht="14.25" customHeight="1" s="131"/>
    <row r="343" ht="14.25" customHeight="1" s="131"/>
    <row r="344" ht="14.25" customHeight="1" s="131"/>
    <row r="345" ht="14.25" customHeight="1" s="131"/>
    <row r="346" ht="14.25" customHeight="1" s="131"/>
    <row r="347" ht="14.25" customHeight="1" s="131"/>
    <row r="348" ht="14.25" customHeight="1" s="131"/>
    <row r="349" ht="14.25" customHeight="1" s="131"/>
    <row r="350" ht="14.25" customHeight="1" s="131"/>
    <row r="351" ht="14.25" customHeight="1" s="131"/>
    <row r="352" ht="14.25" customHeight="1" s="131"/>
    <row r="353" ht="14.25" customHeight="1" s="131"/>
    <row r="354" ht="14.25" customHeight="1" s="131"/>
    <row r="355" ht="14.25" customHeight="1" s="131"/>
    <row r="356" ht="14.25" customHeight="1" s="131"/>
    <row r="357" ht="14.25" customHeight="1" s="131"/>
    <row r="358" ht="14.25" customHeight="1" s="131"/>
    <row r="359" ht="14.25" customHeight="1" s="131"/>
    <row r="360" ht="14.25" customHeight="1" s="131"/>
    <row r="361" ht="14.25" customHeight="1" s="131"/>
    <row r="362" ht="14.25" customHeight="1" s="131"/>
    <row r="363" ht="14.25" customHeight="1" s="131"/>
    <row r="364" ht="14.25" customHeight="1" s="131"/>
    <row r="365" ht="14.25" customHeight="1" s="131"/>
    <row r="366" ht="14.25" customHeight="1" s="131"/>
    <row r="367" ht="14.25" customHeight="1" s="131"/>
    <row r="368" ht="14.25" customHeight="1" s="131"/>
    <row r="369" ht="14.25" customHeight="1" s="131"/>
    <row r="370" ht="14.25" customHeight="1" s="131"/>
    <row r="371" ht="14.25" customHeight="1" s="131"/>
    <row r="372" ht="14.25" customHeight="1" s="131"/>
    <row r="373" ht="14.25" customHeight="1" s="131"/>
    <row r="374" ht="14.25" customHeight="1" s="131"/>
    <row r="375" ht="14.25" customHeight="1" s="131"/>
    <row r="376" ht="14.25" customHeight="1" s="131"/>
    <row r="377" ht="14.25" customHeight="1" s="131"/>
    <row r="378" ht="14.25" customHeight="1" s="131"/>
    <row r="379" ht="14.25" customHeight="1" s="131"/>
    <row r="380" ht="14.25" customHeight="1" s="131"/>
    <row r="381" ht="14.25" customHeight="1" s="131"/>
    <row r="382" ht="14.25" customHeight="1" s="131"/>
    <row r="383" ht="14.25" customHeight="1" s="131"/>
    <row r="384" ht="14.25" customHeight="1" s="131"/>
    <row r="385" ht="14.25" customHeight="1" s="131"/>
    <row r="386" ht="14.25" customHeight="1" s="131"/>
    <row r="387" ht="14.25" customHeight="1" s="131"/>
    <row r="388" ht="14.25" customHeight="1" s="131"/>
    <row r="389" ht="14.25" customHeight="1" s="131"/>
    <row r="390" ht="14.25" customHeight="1" s="131"/>
    <row r="391" ht="14.25" customHeight="1" s="131"/>
    <row r="392" ht="14.25" customHeight="1" s="131"/>
    <row r="393" ht="14.25" customHeight="1" s="131"/>
    <row r="394" ht="14.25" customHeight="1" s="131"/>
    <row r="395" ht="14.25" customHeight="1" s="131"/>
    <row r="396" ht="14.25" customHeight="1" s="131"/>
    <row r="397" ht="14.25" customHeight="1" s="131"/>
    <row r="398" ht="14.25" customHeight="1" s="131"/>
    <row r="399" ht="14.25" customHeight="1" s="131"/>
    <row r="400" ht="14.25" customHeight="1" s="131"/>
    <row r="401" ht="14.25" customHeight="1" s="131"/>
    <row r="402" ht="14.25" customHeight="1" s="131"/>
    <row r="403" ht="14.25" customHeight="1" s="131"/>
    <row r="404" ht="14.25" customHeight="1" s="131"/>
    <row r="405" ht="14.25" customHeight="1" s="131"/>
    <row r="406" ht="14.25" customHeight="1" s="131"/>
    <row r="407" ht="14.25" customHeight="1" s="131"/>
    <row r="408" ht="14.25" customHeight="1" s="131"/>
    <row r="409" ht="14.25" customHeight="1" s="131"/>
    <row r="410" ht="14.25" customHeight="1" s="131"/>
    <row r="411" ht="14.25" customHeight="1" s="131"/>
    <row r="412" ht="14.25" customHeight="1" s="131"/>
    <row r="413" ht="14.25" customHeight="1" s="131"/>
    <row r="414" ht="14.25" customHeight="1" s="131"/>
    <row r="415" ht="14.25" customHeight="1" s="131"/>
    <row r="416" ht="14.25" customHeight="1" s="131"/>
    <row r="417" ht="14.25" customHeight="1" s="131"/>
    <row r="418" ht="14.25" customHeight="1" s="131"/>
    <row r="419" ht="14.25" customHeight="1" s="131"/>
    <row r="420" ht="14.25" customHeight="1" s="131"/>
    <row r="421" ht="14.25" customHeight="1" s="131"/>
    <row r="422" ht="14.25" customHeight="1" s="131"/>
    <row r="423" ht="14.25" customHeight="1" s="131"/>
    <row r="424" ht="14.25" customHeight="1" s="131"/>
    <row r="425" ht="14.25" customHeight="1" s="131"/>
    <row r="426" ht="14.25" customHeight="1" s="131"/>
    <row r="427" ht="14.25" customHeight="1" s="131"/>
    <row r="428" ht="14.25" customHeight="1" s="131"/>
    <row r="429" ht="14.25" customHeight="1" s="131"/>
    <row r="430" ht="14.25" customHeight="1" s="131"/>
    <row r="431" ht="14.25" customHeight="1" s="131"/>
    <row r="432" ht="14.25" customHeight="1" s="131"/>
    <row r="433" ht="14.25" customHeight="1" s="131"/>
    <row r="434" ht="14.25" customHeight="1" s="131"/>
    <row r="435" ht="14.25" customHeight="1" s="131"/>
    <row r="436" ht="14.25" customHeight="1" s="131"/>
    <row r="437" ht="14.25" customHeight="1" s="131"/>
    <row r="438" ht="14.25" customHeight="1" s="131"/>
    <row r="439" ht="14.25" customHeight="1" s="131"/>
    <row r="440" ht="14.25" customHeight="1" s="131"/>
    <row r="441" ht="14.25" customHeight="1" s="131"/>
    <row r="442" ht="14.25" customHeight="1" s="131"/>
    <row r="443" ht="14.25" customHeight="1" s="131"/>
    <row r="444" ht="14.25" customHeight="1" s="131"/>
    <row r="445" ht="14.25" customHeight="1" s="131"/>
    <row r="446" ht="14.25" customHeight="1" s="131"/>
    <row r="447" ht="14.25" customHeight="1" s="131"/>
    <row r="448" ht="14.25" customHeight="1" s="131"/>
    <row r="449" ht="14.25" customHeight="1" s="131"/>
    <row r="450" ht="14.25" customHeight="1" s="131"/>
    <row r="451" ht="14.25" customHeight="1" s="131"/>
    <row r="452" ht="14.25" customHeight="1" s="131"/>
    <row r="453" ht="14.25" customHeight="1" s="131"/>
    <row r="454" ht="14.25" customHeight="1" s="131"/>
    <row r="455" ht="14.25" customHeight="1" s="131"/>
    <row r="456" ht="14.25" customHeight="1" s="131"/>
    <row r="457" ht="14.25" customHeight="1" s="131"/>
    <row r="458" ht="14.25" customHeight="1" s="131"/>
    <row r="459" ht="14.25" customHeight="1" s="131"/>
    <row r="460" ht="14.25" customHeight="1" s="131"/>
    <row r="461" ht="14.25" customHeight="1" s="131"/>
    <row r="462" ht="14.25" customHeight="1" s="131"/>
    <row r="463" ht="14.25" customHeight="1" s="131"/>
    <row r="464" ht="14.25" customHeight="1" s="131"/>
    <row r="465" ht="14.25" customHeight="1" s="131"/>
    <row r="466" ht="14.25" customHeight="1" s="131"/>
    <row r="467" ht="14.25" customHeight="1" s="131"/>
    <row r="468" ht="14.25" customHeight="1" s="131"/>
    <row r="469" ht="14.25" customHeight="1" s="131"/>
    <row r="470" ht="14.25" customHeight="1" s="131"/>
    <row r="471" ht="14.25" customHeight="1" s="131"/>
    <row r="472" ht="14.25" customHeight="1" s="131"/>
    <row r="473" ht="14.25" customHeight="1" s="131"/>
    <row r="474" ht="14.25" customHeight="1" s="131"/>
    <row r="475" ht="14.25" customHeight="1" s="131"/>
    <row r="476" ht="14.25" customHeight="1" s="131"/>
    <row r="477" ht="14.25" customHeight="1" s="131"/>
    <row r="478" ht="14.25" customHeight="1" s="131"/>
    <row r="479" ht="14.25" customHeight="1" s="131"/>
    <row r="480" ht="14.25" customHeight="1" s="131"/>
    <row r="481" ht="14.25" customHeight="1" s="131"/>
    <row r="482" ht="14.25" customHeight="1" s="131"/>
    <row r="483" ht="14.25" customHeight="1" s="131"/>
    <row r="484" ht="14.25" customHeight="1" s="131"/>
    <row r="485" ht="14.25" customHeight="1" s="131"/>
    <row r="486" ht="14.25" customHeight="1" s="131"/>
    <row r="487" ht="14.25" customHeight="1" s="131"/>
    <row r="488" ht="14.25" customHeight="1" s="131"/>
    <row r="489" ht="14.25" customHeight="1" s="131"/>
    <row r="490" ht="14.25" customHeight="1" s="131"/>
    <row r="491" ht="14.25" customHeight="1" s="131"/>
    <row r="492" ht="14.25" customHeight="1" s="131"/>
    <row r="493" ht="14.25" customHeight="1" s="131"/>
    <row r="494" ht="14.25" customHeight="1" s="131"/>
    <row r="495" ht="14.25" customHeight="1" s="131"/>
    <row r="496" ht="14.25" customHeight="1" s="131"/>
    <row r="497" ht="14.25" customHeight="1" s="131"/>
    <row r="498" ht="14.25" customHeight="1" s="131"/>
    <row r="499" ht="14.25" customHeight="1" s="131"/>
    <row r="500" ht="14.25" customHeight="1" s="131"/>
    <row r="501" ht="14.25" customHeight="1" s="131"/>
    <row r="502" ht="14.25" customHeight="1" s="131"/>
    <row r="503" ht="14.25" customHeight="1" s="131"/>
    <row r="504" ht="14.25" customHeight="1" s="131"/>
    <row r="505" ht="14.25" customHeight="1" s="131"/>
    <row r="506" ht="14.25" customHeight="1" s="131"/>
    <row r="507" ht="14.25" customHeight="1" s="131"/>
    <row r="508" ht="14.25" customHeight="1" s="131"/>
    <row r="509" ht="14.25" customHeight="1" s="131"/>
    <row r="510" ht="14.25" customHeight="1" s="131"/>
    <row r="511" ht="14.25" customHeight="1" s="131"/>
    <row r="512" ht="14.25" customHeight="1" s="131"/>
    <row r="513" ht="14.25" customHeight="1" s="131"/>
    <row r="514" ht="14.25" customHeight="1" s="131"/>
    <row r="515" ht="14.25" customHeight="1" s="131"/>
    <row r="516" ht="14.25" customHeight="1" s="131"/>
    <row r="517" ht="14.25" customHeight="1" s="131"/>
    <row r="518" ht="14.25" customHeight="1" s="131"/>
    <row r="519" ht="14.25" customHeight="1" s="131"/>
    <row r="520" ht="14.25" customHeight="1" s="131"/>
    <row r="521" ht="14.25" customHeight="1" s="131"/>
    <row r="522" ht="14.25" customHeight="1" s="131"/>
    <row r="523" ht="14.25" customHeight="1" s="131"/>
    <row r="524" ht="14.25" customHeight="1" s="131"/>
    <row r="525" ht="14.25" customHeight="1" s="131"/>
    <row r="526" ht="14.25" customHeight="1" s="131"/>
    <row r="527" ht="14.25" customHeight="1" s="131"/>
    <row r="528" ht="14.25" customHeight="1" s="131"/>
    <row r="529" ht="14.25" customHeight="1" s="131"/>
    <row r="530" ht="14.25" customHeight="1" s="131"/>
    <row r="531" ht="14.25" customHeight="1" s="131"/>
    <row r="532" ht="14.25" customHeight="1" s="131"/>
    <row r="533" ht="14.25" customHeight="1" s="131"/>
    <row r="534" ht="14.25" customHeight="1" s="131"/>
    <row r="535" ht="14.25" customHeight="1" s="131"/>
    <row r="536" ht="14.25" customHeight="1" s="131"/>
    <row r="537" ht="14.25" customHeight="1" s="131"/>
    <row r="538" ht="14.25" customHeight="1" s="131"/>
    <row r="539" ht="14.25" customHeight="1" s="131"/>
    <row r="540" ht="14.25" customHeight="1" s="131"/>
    <row r="541" ht="14.25" customHeight="1" s="131"/>
    <row r="542" ht="14.25" customHeight="1" s="131"/>
    <row r="543" ht="14.25" customHeight="1" s="131"/>
    <row r="544" ht="14.25" customHeight="1" s="131"/>
    <row r="545" ht="14.25" customHeight="1" s="131"/>
    <row r="546" ht="14.25" customHeight="1" s="131"/>
    <row r="547" ht="14.25" customHeight="1" s="131"/>
    <row r="548" ht="14.25" customHeight="1" s="131"/>
    <row r="549" ht="14.25" customHeight="1" s="131"/>
    <row r="550" ht="14.25" customHeight="1" s="131"/>
    <row r="551" ht="14.25" customHeight="1" s="131"/>
    <row r="552" ht="14.25" customHeight="1" s="131"/>
    <row r="553" ht="14.25" customHeight="1" s="131"/>
    <row r="554" ht="14.25" customHeight="1" s="131"/>
    <row r="555" ht="14.25" customHeight="1" s="131"/>
    <row r="556" ht="14.25" customHeight="1" s="131"/>
    <row r="557" ht="14.25" customHeight="1" s="131"/>
    <row r="558" ht="14.25" customHeight="1" s="131"/>
    <row r="559" ht="14.25" customHeight="1" s="131"/>
    <row r="560" ht="14.25" customHeight="1" s="131"/>
    <row r="561" ht="14.25" customHeight="1" s="131"/>
    <row r="562" ht="14.25" customHeight="1" s="131"/>
    <row r="563" ht="14.25" customHeight="1" s="131"/>
    <row r="564" ht="14.25" customHeight="1" s="131"/>
    <row r="565" ht="14.25" customHeight="1" s="131"/>
    <row r="566" ht="14.25" customHeight="1" s="131"/>
    <row r="567" ht="14.25" customHeight="1" s="131"/>
    <row r="568" ht="14.25" customHeight="1" s="131"/>
    <row r="569" ht="14.25" customHeight="1" s="131"/>
    <row r="570" ht="14.25" customHeight="1" s="131"/>
    <row r="571" ht="14.25" customHeight="1" s="131"/>
    <row r="572" ht="14.25" customHeight="1" s="131"/>
    <row r="573" ht="14.25" customHeight="1" s="131"/>
    <row r="574" ht="14.25" customHeight="1" s="131"/>
    <row r="575" ht="14.25" customHeight="1" s="131"/>
    <row r="576" ht="14.25" customHeight="1" s="131"/>
    <row r="577" ht="14.25" customHeight="1" s="131"/>
    <row r="578" ht="14.25" customHeight="1" s="131"/>
    <row r="579" ht="14.25" customHeight="1" s="131"/>
    <row r="580" ht="14.25" customHeight="1" s="131"/>
    <row r="581" ht="14.25" customHeight="1" s="131"/>
    <row r="582" ht="14.25" customHeight="1" s="131"/>
    <row r="583" ht="14.25" customHeight="1" s="131"/>
    <row r="584" ht="14.25" customHeight="1" s="131"/>
    <row r="585" ht="14.25" customHeight="1" s="131"/>
    <row r="586" ht="14.25" customHeight="1" s="131"/>
    <row r="587" ht="14.25" customHeight="1" s="131"/>
    <row r="588" ht="14.25" customHeight="1" s="131"/>
    <row r="589" ht="14.25" customHeight="1" s="131"/>
    <row r="590" ht="14.25" customHeight="1" s="131"/>
    <row r="591" ht="14.25" customHeight="1" s="131"/>
    <row r="592" ht="14.25" customHeight="1" s="131"/>
    <row r="593" ht="14.25" customHeight="1" s="131"/>
    <row r="594" ht="14.25" customHeight="1" s="131"/>
    <row r="595" ht="14.25" customHeight="1" s="131"/>
    <row r="596" ht="14.25" customHeight="1" s="131"/>
    <row r="597" ht="14.25" customHeight="1" s="131"/>
    <row r="598" ht="14.25" customHeight="1" s="131"/>
    <row r="599" ht="14.25" customHeight="1" s="131"/>
    <row r="600" ht="14.25" customHeight="1" s="131"/>
    <row r="601" ht="14.25" customHeight="1" s="131"/>
    <row r="602" ht="14.25" customHeight="1" s="131"/>
    <row r="603" ht="14.25" customHeight="1" s="131"/>
    <row r="604" ht="14.25" customHeight="1" s="131"/>
    <row r="605" ht="14.25" customHeight="1" s="131"/>
    <row r="606" ht="14.25" customHeight="1" s="131"/>
    <row r="607" ht="14.25" customHeight="1" s="131"/>
    <row r="608" ht="14.25" customHeight="1" s="131"/>
    <row r="609" ht="14.25" customHeight="1" s="131"/>
    <row r="610" ht="14.25" customHeight="1" s="131"/>
    <row r="611" ht="14.25" customHeight="1" s="131"/>
    <row r="612" ht="14.25" customHeight="1" s="131"/>
    <row r="613" ht="14.25" customHeight="1" s="131"/>
    <row r="614" ht="14.25" customHeight="1" s="131"/>
    <row r="615" ht="14.25" customHeight="1" s="131"/>
    <row r="616" ht="14.25" customHeight="1" s="131"/>
    <row r="617" ht="14.25" customHeight="1" s="131"/>
    <row r="618" ht="14.25" customHeight="1" s="131"/>
    <row r="619" ht="14.25" customHeight="1" s="131"/>
    <row r="620" ht="14.25" customHeight="1" s="131"/>
    <row r="621" ht="14.25" customHeight="1" s="131"/>
    <row r="622" ht="14.25" customHeight="1" s="131"/>
    <row r="623" ht="14.25" customHeight="1" s="131"/>
    <row r="624" ht="14.25" customHeight="1" s="131"/>
    <row r="625" ht="14.25" customHeight="1" s="131"/>
    <row r="626" ht="14.25" customHeight="1" s="131"/>
    <row r="627" ht="14.25" customHeight="1" s="131"/>
    <row r="628" ht="14.25" customHeight="1" s="131"/>
    <row r="629" ht="14.25" customHeight="1" s="131"/>
    <row r="630" ht="14.25" customHeight="1" s="131"/>
    <row r="631" ht="14.25" customHeight="1" s="131"/>
    <row r="632" ht="14.25" customHeight="1" s="131"/>
    <row r="633" ht="14.25" customHeight="1" s="131"/>
    <row r="634" ht="14.25" customHeight="1" s="131"/>
    <row r="635" ht="14.25" customHeight="1" s="131"/>
    <row r="636" ht="14.25" customHeight="1" s="131"/>
    <row r="637" ht="14.25" customHeight="1" s="131"/>
    <row r="638" ht="14.25" customHeight="1" s="131"/>
    <row r="639" ht="14.25" customHeight="1" s="131"/>
    <row r="640" ht="14.25" customHeight="1" s="131"/>
    <row r="641" ht="14.25" customHeight="1" s="131"/>
    <row r="642" ht="14.25" customHeight="1" s="131"/>
    <row r="643" ht="14.25" customHeight="1" s="131"/>
    <row r="644" ht="14.25" customHeight="1" s="131"/>
    <row r="645" ht="14.25" customHeight="1" s="131"/>
    <row r="646" ht="14.25" customHeight="1" s="131"/>
    <row r="647" ht="14.25" customHeight="1" s="131"/>
    <row r="648" ht="14.25" customHeight="1" s="131"/>
    <row r="649" ht="14.25" customHeight="1" s="131"/>
    <row r="650" ht="14.25" customHeight="1" s="131"/>
    <row r="651" ht="14.25" customHeight="1" s="131"/>
    <row r="652" ht="14.25" customHeight="1" s="131"/>
    <row r="653" ht="14.25" customHeight="1" s="131"/>
    <row r="654" ht="14.25" customHeight="1" s="131"/>
    <row r="655" ht="14.25" customHeight="1" s="131"/>
    <row r="656" ht="14.25" customHeight="1" s="131"/>
    <row r="657" ht="14.25" customHeight="1" s="131"/>
    <row r="658" ht="14.25" customHeight="1" s="131"/>
    <row r="659" ht="14.25" customHeight="1" s="131"/>
    <row r="660" ht="14.25" customHeight="1" s="131"/>
    <row r="661" ht="14.25" customHeight="1" s="131"/>
    <row r="662" ht="14.25" customHeight="1" s="131"/>
    <row r="663" ht="14.25" customHeight="1" s="131"/>
    <row r="664" ht="14.25" customHeight="1" s="131"/>
    <row r="665" ht="14.25" customHeight="1" s="131"/>
    <row r="666" ht="14.25" customHeight="1" s="131"/>
    <row r="667" ht="14.25" customHeight="1" s="131"/>
    <row r="668" ht="14.25" customHeight="1" s="131"/>
    <row r="669" ht="14.25" customHeight="1" s="131"/>
    <row r="670" ht="14.25" customHeight="1" s="131"/>
    <row r="671" ht="14.25" customHeight="1" s="131"/>
    <row r="672" ht="14.25" customHeight="1" s="131"/>
    <row r="673" ht="14.25" customHeight="1" s="131"/>
    <row r="674" ht="14.25" customHeight="1" s="131"/>
    <row r="675" ht="14.25" customHeight="1" s="131"/>
    <row r="676" ht="14.25" customHeight="1" s="131"/>
    <row r="677" ht="14.25" customHeight="1" s="131"/>
    <row r="678" ht="14.25" customHeight="1" s="131"/>
    <row r="679" ht="14.25" customHeight="1" s="131"/>
    <row r="680" ht="14.25" customHeight="1" s="131"/>
    <row r="681" ht="14.25" customHeight="1" s="131"/>
    <row r="682" ht="14.25" customHeight="1" s="131"/>
    <row r="683" ht="14.25" customHeight="1" s="131"/>
    <row r="684" ht="14.25" customHeight="1" s="131"/>
    <row r="685" ht="14.25" customHeight="1" s="131"/>
    <row r="686" ht="14.25" customHeight="1" s="131"/>
    <row r="687" ht="14.25" customHeight="1" s="131"/>
    <row r="688" ht="14.25" customHeight="1" s="131"/>
    <row r="689" ht="14.25" customHeight="1" s="131"/>
    <row r="690" ht="14.25" customHeight="1" s="131"/>
    <row r="691" ht="14.25" customHeight="1" s="131"/>
    <row r="692" ht="14.25" customHeight="1" s="131"/>
    <row r="693" ht="14.25" customHeight="1" s="131"/>
    <row r="694" ht="14.25" customHeight="1" s="131"/>
    <row r="695" ht="14.25" customHeight="1" s="131"/>
    <row r="696" ht="14.25" customHeight="1" s="131"/>
    <row r="697" ht="14.25" customHeight="1" s="131"/>
    <row r="698" ht="14.25" customHeight="1" s="131"/>
    <row r="699" ht="14.25" customHeight="1" s="131"/>
    <row r="700" ht="14.25" customHeight="1" s="131"/>
    <row r="701" ht="14.25" customHeight="1" s="131"/>
    <row r="702" ht="14.25" customHeight="1" s="131"/>
    <row r="703" ht="14.25" customHeight="1" s="131"/>
    <row r="704" ht="14.25" customHeight="1" s="131"/>
    <row r="705" ht="14.25" customHeight="1" s="131"/>
    <row r="706" ht="14.25" customHeight="1" s="131"/>
    <row r="707" ht="14.25" customHeight="1" s="131"/>
    <row r="708" ht="14.25" customHeight="1" s="131"/>
    <row r="709" ht="14.25" customHeight="1" s="131"/>
    <row r="710" ht="14.25" customHeight="1" s="131"/>
    <row r="711" ht="14.25" customHeight="1" s="131"/>
    <row r="712" ht="14.25" customHeight="1" s="131"/>
    <row r="713" ht="14.25" customHeight="1" s="131"/>
    <row r="714" ht="14.25" customHeight="1" s="131"/>
    <row r="715" ht="14.25" customHeight="1" s="131"/>
    <row r="716" ht="14.25" customHeight="1" s="131"/>
    <row r="717" ht="14.25" customHeight="1" s="131"/>
    <row r="718" ht="14.25" customHeight="1" s="131"/>
    <row r="719" ht="14.25" customHeight="1" s="131"/>
    <row r="720" ht="14.25" customHeight="1" s="131"/>
    <row r="721" ht="14.25" customHeight="1" s="131"/>
    <row r="722" ht="14.25" customHeight="1" s="131"/>
    <row r="723" ht="14.25" customHeight="1" s="131"/>
    <row r="724" ht="14.25" customHeight="1" s="131"/>
    <row r="725" ht="14.25" customHeight="1" s="131"/>
    <row r="726" ht="14.25" customHeight="1" s="131"/>
    <row r="727" ht="14.25" customHeight="1" s="131"/>
    <row r="728" ht="14.25" customHeight="1" s="131"/>
    <row r="729" ht="14.25" customHeight="1" s="131"/>
    <row r="730" ht="14.25" customHeight="1" s="131"/>
    <row r="731" ht="14.25" customHeight="1" s="131"/>
    <row r="732" ht="14.25" customHeight="1" s="131"/>
    <row r="733" ht="14.25" customHeight="1" s="131"/>
    <row r="734" ht="14.25" customHeight="1" s="131"/>
    <row r="735" ht="14.25" customHeight="1" s="131"/>
    <row r="736" ht="14.25" customHeight="1" s="131"/>
    <row r="737" ht="14.25" customHeight="1" s="131"/>
    <row r="738" ht="14.25" customHeight="1" s="131"/>
    <row r="739" ht="14.25" customHeight="1" s="131"/>
    <row r="740" ht="14.25" customHeight="1" s="131"/>
    <row r="741" ht="14.25" customHeight="1" s="131"/>
    <row r="742" ht="14.25" customHeight="1" s="131"/>
    <row r="743" ht="14.25" customHeight="1" s="131"/>
    <row r="744" ht="14.25" customHeight="1" s="131"/>
    <row r="745" ht="14.25" customHeight="1" s="131"/>
    <row r="746" ht="14.25" customHeight="1" s="131"/>
    <row r="747" ht="14.25" customHeight="1" s="131"/>
    <row r="748" ht="14.25" customHeight="1" s="131"/>
    <row r="749" ht="14.25" customHeight="1" s="131"/>
    <row r="750" ht="14.25" customHeight="1" s="131"/>
    <row r="751" ht="14.25" customHeight="1" s="131"/>
    <row r="752" ht="14.25" customHeight="1" s="131"/>
    <row r="753" ht="14.25" customHeight="1" s="131"/>
    <row r="754" ht="14.25" customHeight="1" s="131"/>
    <row r="755" ht="14.25" customHeight="1" s="131"/>
    <row r="756" ht="14.25" customHeight="1" s="131"/>
    <row r="757" ht="14.25" customHeight="1" s="131"/>
    <row r="758" ht="14.25" customHeight="1" s="131"/>
    <row r="759" ht="14.25" customHeight="1" s="131"/>
    <row r="760" ht="14.25" customHeight="1" s="131"/>
    <row r="761" ht="14.25" customHeight="1" s="131"/>
    <row r="762" ht="14.25" customHeight="1" s="131"/>
    <row r="763" ht="14.25" customHeight="1" s="131"/>
    <row r="764" ht="14.25" customHeight="1" s="131"/>
    <row r="765" ht="14.25" customHeight="1" s="131"/>
    <row r="766" ht="14.25" customHeight="1" s="131"/>
    <row r="767" ht="14.25" customHeight="1" s="131"/>
    <row r="768" ht="14.25" customHeight="1" s="131"/>
    <row r="769" ht="14.25" customHeight="1" s="131"/>
    <row r="770" ht="14.25" customHeight="1" s="131"/>
    <row r="771" ht="14.25" customHeight="1" s="131"/>
    <row r="772" ht="14.25" customHeight="1" s="131"/>
    <row r="773" ht="14.25" customHeight="1" s="131"/>
    <row r="774" ht="14.25" customHeight="1" s="131"/>
    <row r="775" ht="14.25" customHeight="1" s="131"/>
    <row r="776" ht="14.25" customHeight="1" s="131"/>
    <row r="777" ht="14.25" customHeight="1" s="131"/>
    <row r="778" ht="14.25" customHeight="1" s="131"/>
    <row r="779" ht="14.25" customHeight="1" s="131"/>
    <row r="780" ht="14.25" customHeight="1" s="131"/>
    <row r="781" ht="14.25" customHeight="1" s="131"/>
    <row r="782" ht="14.25" customHeight="1" s="131"/>
    <row r="783" ht="14.25" customHeight="1" s="131"/>
    <row r="784" ht="14.25" customHeight="1" s="131"/>
    <row r="785" ht="14.25" customHeight="1" s="131"/>
    <row r="786" ht="14.25" customHeight="1" s="131"/>
    <row r="787" ht="14.25" customHeight="1" s="131"/>
    <row r="788" ht="14.25" customHeight="1" s="131"/>
    <row r="789" ht="14.25" customHeight="1" s="131"/>
    <row r="790" ht="14.25" customHeight="1" s="131"/>
    <row r="791" ht="14.25" customHeight="1" s="131"/>
    <row r="792" ht="14.25" customHeight="1" s="131"/>
    <row r="793" ht="14.25" customHeight="1" s="131"/>
    <row r="794" ht="14.25" customHeight="1" s="131"/>
    <row r="795" ht="14.25" customHeight="1" s="131"/>
    <row r="796" ht="14.25" customHeight="1" s="131"/>
    <row r="797" ht="14.25" customHeight="1" s="131"/>
    <row r="798" ht="14.25" customHeight="1" s="131"/>
    <row r="799" ht="14.25" customHeight="1" s="131"/>
    <row r="800" ht="14.25" customHeight="1" s="131"/>
    <row r="801" ht="14.25" customHeight="1" s="131"/>
    <row r="802" ht="14.25" customHeight="1" s="131"/>
    <row r="803" ht="14.25" customHeight="1" s="131"/>
    <row r="804" ht="14.25" customHeight="1" s="131"/>
    <row r="805" ht="14.25" customHeight="1" s="131"/>
    <row r="806" ht="14.25" customHeight="1" s="131"/>
    <row r="807" ht="14.25" customHeight="1" s="131"/>
    <row r="808" ht="14.25" customHeight="1" s="131"/>
    <row r="809" ht="14.25" customHeight="1" s="131"/>
    <row r="810" ht="14.25" customHeight="1" s="131"/>
    <row r="811" ht="14.25" customHeight="1" s="131"/>
    <row r="812" ht="14.25" customHeight="1" s="131"/>
    <row r="813" ht="14.25" customHeight="1" s="131"/>
    <row r="814" ht="14.25" customHeight="1" s="131"/>
    <row r="815" ht="14.25" customHeight="1" s="131"/>
    <row r="816" ht="14.25" customHeight="1" s="131"/>
    <row r="817" ht="14.25" customHeight="1" s="131"/>
    <row r="818" ht="14.25" customHeight="1" s="131"/>
    <row r="819" ht="14.25" customHeight="1" s="131"/>
    <row r="820" ht="14.25" customHeight="1" s="131"/>
    <row r="821" ht="14.25" customHeight="1" s="131"/>
    <row r="822" ht="14.25" customHeight="1" s="131"/>
    <row r="823" ht="14.25" customHeight="1" s="131"/>
    <row r="824" ht="14.25" customHeight="1" s="131"/>
    <row r="825" ht="14.25" customHeight="1" s="131"/>
    <row r="826" ht="14.25" customHeight="1" s="131"/>
    <row r="827" ht="14.25" customHeight="1" s="131"/>
    <row r="828" ht="14.25" customHeight="1" s="131"/>
    <row r="829" ht="14.25" customHeight="1" s="131"/>
    <row r="830" ht="14.25" customHeight="1" s="131"/>
    <row r="831" ht="14.25" customHeight="1" s="131"/>
    <row r="832" ht="14.25" customHeight="1" s="131"/>
    <row r="833" ht="14.25" customHeight="1" s="131"/>
    <row r="834" ht="14.25" customHeight="1" s="131"/>
    <row r="835" ht="14.25" customHeight="1" s="131"/>
    <row r="836" ht="14.25" customHeight="1" s="131"/>
    <row r="837" ht="14.25" customHeight="1" s="131"/>
    <row r="838" ht="14.25" customHeight="1" s="131"/>
    <row r="839" ht="14.25" customHeight="1" s="131"/>
    <row r="840" ht="14.25" customHeight="1" s="131"/>
    <row r="841" ht="14.25" customHeight="1" s="131"/>
    <row r="842" ht="14.25" customHeight="1" s="131"/>
    <row r="843" ht="14.25" customHeight="1" s="131"/>
    <row r="844" ht="14.25" customHeight="1" s="131"/>
    <row r="845" ht="14.25" customHeight="1" s="131"/>
    <row r="846" ht="14.25" customHeight="1" s="131"/>
    <row r="847" ht="14.25" customHeight="1" s="131"/>
    <row r="848" ht="14.25" customHeight="1" s="131"/>
    <row r="849" ht="14.25" customHeight="1" s="131"/>
    <row r="850" ht="14.25" customHeight="1" s="131"/>
    <row r="851" ht="14.25" customHeight="1" s="131"/>
    <row r="852" ht="14.25" customHeight="1" s="131"/>
    <row r="853" ht="14.25" customHeight="1" s="131"/>
    <row r="854" ht="14.25" customHeight="1" s="131"/>
    <row r="855" ht="14.25" customHeight="1" s="131"/>
    <row r="856" ht="14.25" customHeight="1" s="131"/>
    <row r="857" ht="14.25" customHeight="1" s="131"/>
    <row r="858" ht="14.25" customHeight="1" s="131"/>
    <row r="859" ht="14.25" customHeight="1" s="131"/>
    <row r="860" ht="14.25" customHeight="1" s="131"/>
    <row r="861" ht="14.25" customHeight="1" s="131"/>
    <row r="862" ht="14.25" customHeight="1" s="131"/>
    <row r="863" ht="14.25" customHeight="1" s="131"/>
    <row r="864" ht="14.25" customHeight="1" s="131"/>
    <row r="865" ht="14.25" customHeight="1" s="131"/>
    <row r="866" ht="14.25" customHeight="1" s="131"/>
    <row r="867" ht="14.25" customHeight="1" s="131"/>
    <row r="868" ht="14.25" customHeight="1" s="131"/>
    <row r="869" ht="14.25" customHeight="1" s="131"/>
    <row r="870" ht="14.25" customHeight="1" s="131"/>
    <row r="871" ht="14.25" customHeight="1" s="131"/>
    <row r="872" ht="14.25" customHeight="1" s="131"/>
    <row r="873" ht="14.25" customHeight="1" s="131"/>
    <row r="874" ht="14.25" customHeight="1" s="131"/>
    <row r="875" ht="14.25" customHeight="1" s="131"/>
    <row r="876" ht="14.25" customHeight="1" s="131"/>
    <row r="877" ht="14.25" customHeight="1" s="131"/>
    <row r="878" ht="14.25" customHeight="1" s="131"/>
    <row r="879" ht="14.25" customHeight="1" s="131"/>
    <row r="880" ht="14.25" customHeight="1" s="131"/>
    <row r="881" ht="14.25" customHeight="1" s="131"/>
    <row r="882" ht="14.25" customHeight="1" s="131"/>
    <row r="883" ht="14.25" customHeight="1" s="131"/>
    <row r="884" ht="14.25" customHeight="1" s="131"/>
    <row r="885" ht="14.25" customHeight="1" s="131"/>
    <row r="886" ht="14.25" customHeight="1" s="131"/>
    <row r="887" ht="14.25" customHeight="1" s="131"/>
    <row r="888" ht="14.25" customHeight="1" s="131"/>
    <row r="889" ht="14.25" customHeight="1" s="131"/>
    <row r="890" ht="14.25" customHeight="1" s="131"/>
    <row r="891" ht="14.25" customHeight="1" s="131"/>
    <row r="892" ht="14.25" customHeight="1" s="131"/>
    <row r="893" ht="14.25" customHeight="1" s="131"/>
    <row r="894" ht="14.25" customHeight="1" s="131"/>
    <row r="895" ht="14.25" customHeight="1" s="131"/>
    <row r="896" ht="14.25" customHeight="1" s="131"/>
    <row r="897" ht="14.25" customHeight="1" s="131"/>
    <row r="898" ht="14.25" customHeight="1" s="131"/>
    <row r="899" ht="14.25" customHeight="1" s="131"/>
    <row r="900" ht="14.25" customHeight="1" s="131"/>
    <row r="901" ht="14.25" customHeight="1" s="131"/>
    <row r="902" ht="14.25" customHeight="1" s="131"/>
    <row r="903" ht="14.25" customHeight="1" s="131"/>
    <row r="904" ht="14.25" customHeight="1" s="131"/>
    <row r="905" ht="14.25" customHeight="1" s="131"/>
    <row r="906" ht="14.25" customHeight="1" s="131"/>
    <row r="907" ht="14.25" customHeight="1" s="131"/>
    <row r="908" ht="14.25" customHeight="1" s="131"/>
    <row r="909" ht="14.25" customHeight="1" s="131"/>
    <row r="910" ht="14.25" customHeight="1" s="131"/>
    <row r="911" ht="14.25" customHeight="1" s="131"/>
    <row r="912" ht="14.25" customHeight="1" s="131"/>
    <row r="913" ht="14.25" customHeight="1" s="131"/>
    <row r="914" ht="14.25" customHeight="1" s="131"/>
    <row r="915" ht="14.25" customHeight="1" s="131"/>
    <row r="916" ht="14.25" customHeight="1" s="131"/>
    <row r="917" ht="14.25" customHeight="1" s="131"/>
    <row r="918" ht="14.25" customHeight="1" s="131"/>
    <row r="919" ht="14.25" customHeight="1" s="131"/>
    <row r="920" ht="14.25" customHeight="1" s="131"/>
    <row r="921" ht="14.25" customHeight="1" s="131"/>
    <row r="922" ht="14.25" customHeight="1" s="131"/>
    <row r="923" ht="14.25" customHeight="1" s="131"/>
    <row r="924" ht="14.25" customHeight="1" s="131"/>
    <row r="925" ht="14.25" customHeight="1" s="131"/>
    <row r="926" ht="14.25" customHeight="1" s="131"/>
    <row r="927" ht="14.25" customHeight="1" s="131"/>
    <row r="928" ht="14.25" customHeight="1" s="131"/>
    <row r="929" ht="14.25" customHeight="1" s="131"/>
    <row r="930" ht="14.25" customHeight="1" s="131"/>
    <row r="931" ht="14.25" customHeight="1" s="131"/>
    <row r="932" ht="14.25" customHeight="1" s="131"/>
    <row r="933" ht="14.25" customHeight="1" s="131"/>
    <row r="934" ht="14.25" customHeight="1" s="131"/>
    <row r="935" ht="14.25" customHeight="1" s="131"/>
    <row r="936" ht="14.25" customHeight="1" s="131"/>
    <row r="937" ht="14.25" customHeight="1" s="131"/>
    <row r="938" ht="14.25" customHeight="1" s="131"/>
    <row r="939" ht="14.25" customHeight="1" s="131"/>
    <row r="940" ht="14.25" customHeight="1" s="131"/>
    <row r="941" ht="14.25" customHeight="1" s="131"/>
    <row r="942" ht="14.25" customHeight="1" s="131"/>
    <row r="943" ht="14.25" customHeight="1" s="131"/>
    <row r="944" ht="14.25" customHeight="1" s="131"/>
    <row r="945" ht="14.25" customHeight="1" s="131"/>
    <row r="946" ht="14.25" customHeight="1" s="131"/>
    <row r="947" ht="14.25" customHeight="1" s="131"/>
    <row r="948" ht="14.25" customHeight="1" s="131"/>
    <row r="949" ht="14.25" customHeight="1" s="131"/>
    <row r="950" ht="14.25" customHeight="1" s="131"/>
    <row r="951" ht="14.25" customHeight="1" s="131"/>
    <row r="952" ht="14.25" customHeight="1" s="131"/>
    <row r="953" ht="14.25" customHeight="1" s="131"/>
    <row r="954" ht="14.25" customHeight="1" s="131"/>
    <row r="955" ht="14.25" customHeight="1" s="131"/>
    <row r="956" ht="14.25" customHeight="1" s="131"/>
    <row r="957" ht="14.25" customHeight="1" s="131"/>
    <row r="958" ht="14.25" customHeight="1" s="131"/>
    <row r="959" ht="14.25" customHeight="1" s="131"/>
    <row r="960" ht="14.25" customHeight="1" s="131"/>
    <row r="961" ht="14.25" customHeight="1" s="131"/>
    <row r="962" ht="14.25" customHeight="1" s="131"/>
    <row r="963" ht="14.25" customHeight="1" s="131"/>
    <row r="964" ht="14.25" customHeight="1" s="131"/>
    <row r="965" ht="14.25" customHeight="1" s="131"/>
    <row r="966" ht="14.25" customHeight="1" s="131"/>
    <row r="967" ht="14.25" customHeight="1" s="131"/>
    <row r="968" ht="14.25" customHeight="1" s="131"/>
    <row r="969" ht="14.25" customHeight="1" s="131"/>
    <row r="970" ht="14.25" customHeight="1" s="131"/>
    <row r="971" ht="14.25" customHeight="1" s="131"/>
    <row r="972" ht="14.25" customHeight="1" s="131"/>
    <row r="973" ht="14.25" customHeight="1" s="131"/>
    <row r="974" ht="14.25" customHeight="1" s="131"/>
    <row r="975" ht="14.25" customHeight="1" s="131"/>
    <row r="976" ht="14.25" customHeight="1" s="131"/>
    <row r="977" ht="14.25" customHeight="1" s="131"/>
    <row r="978" ht="14.25" customHeight="1" s="131"/>
    <row r="979" ht="14.25" customHeight="1" s="131"/>
    <row r="980" ht="14.25" customHeight="1" s="131"/>
    <row r="981" ht="14.25" customHeight="1" s="131"/>
    <row r="982" ht="14.25" customHeight="1" s="131"/>
    <row r="983" ht="14.25" customHeight="1" s="131"/>
    <row r="984" ht="14.25" customHeight="1" s="131"/>
    <row r="985" ht="14.25" customHeight="1" s="131"/>
    <row r="986" ht="14.25" customHeight="1" s="131"/>
    <row r="987" ht="14.25" customHeight="1" s="131"/>
    <row r="988" ht="14.25" customHeight="1" s="131"/>
    <row r="989" ht="14.25" customHeight="1" s="131"/>
    <row r="990" ht="14.25" customHeight="1" s="131"/>
    <row r="991" ht="14.25" customHeight="1" s="131"/>
    <row r="992" ht="14.25" customHeight="1" s="131"/>
    <row r="993" ht="14.25" customHeight="1" s="131"/>
    <row r="994" ht="14.25" customHeight="1" s="131"/>
    <row r="995" ht="14.25" customHeight="1" s="131"/>
    <row r="996" ht="14.25" customHeight="1" s="131"/>
    <row r="997" ht="14.25" customHeight="1" s="131"/>
    <row r="998" ht="14.25" customHeight="1" s="131"/>
    <row r="999" ht="14.25" customHeight="1" s="131"/>
    <row r="1000" ht="14.25" customHeight="1" s="131"/>
    <row r="1001" ht="14.25" customHeight="1" s="131"/>
    <row r="1002" ht="14.25" customHeight="1" s="131"/>
    <row r="1003" ht="14.25" customHeight="1" s="131"/>
    <row r="1004" ht="14.25" customHeight="1" s="131"/>
    <row r="1005" ht="14.25" customHeight="1" s="131"/>
    <row r="1006" ht="14.25" customHeight="1" s="131"/>
    <row r="1007" ht="14.25" customHeight="1" s="131"/>
    <row r="1008" ht="14.25" customHeight="1" s="131"/>
    <row r="1009" ht="14.25" customHeight="1" s="131"/>
    <row r="1010" ht="14.25" customHeight="1" s="131"/>
    <row r="1011" ht="14.25" customHeight="1" s="131"/>
    <row r="1012" ht="14.25" customHeight="1" s="131"/>
    <row r="1013" ht="14.25" customHeight="1" s="131"/>
    <row r="1014" ht="14.25" customHeight="1" s="131"/>
    <row r="1015" ht="14.25" customHeight="1" s="131"/>
    <row r="1016" ht="14.25" customHeight="1" s="131"/>
    <row r="1017" ht="14.25" customHeight="1" s="131"/>
    <row r="1018" ht="14.25" customHeight="1" s="131"/>
    <row r="1019" ht="14.25" customHeight="1" s="131"/>
    <row r="1020" ht="14.25" customHeight="1" s="131"/>
    <row r="1021" ht="14.25" customHeight="1" s="131"/>
    <row r="1022" ht="14.25" customHeight="1" s="131"/>
    <row r="1023" ht="14.25" customHeight="1" s="131"/>
    <row r="1024" ht="14.25" customHeight="1" s="131"/>
    <row r="1025" ht="14.25" customHeight="1" s="131"/>
  </sheetData>
  <mergeCells count="12">
    <mergeCell ref="A61:G61"/>
    <mergeCell ref="A1:G1"/>
    <mergeCell ref="A17:G17"/>
    <mergeCell ref="A94:C94"/>
    <mergeCell ref="A4:G4"/>
    <mergeCell ref="A96:G96"/>
    <mergeCell ref="A54:G54"/>
    <mergeCell ref="A72:G72"/>
    <mergeCell ref="A2:G2"/>
    <mergeCell ref="A30:G30"/>
    <mergeCell ref="A49:G49"/>
    <mergeCell ref="A42:G4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rightToLeft="1" workbookViewId="0">
      <pane ySplit="4" topLeftCell="A5" activePane="bottomLeft" state="frozen"/>
      <selection pane="bottomLeft" activeCell="B6" sqref="B6"/>
    </sheetView>
  </sheetViews>
  <sheetFormatPr baseColWidth="8" defaultColWidth="12.625" defaultRowHeight="15" customHeight="1"/>
  <cols>
    <col width="12" customWidth="1" style="131" min="1" max="1"/>
    <col width="38" customWidth="1" style="131" min="2" max="2"/>
    <col width="14.375" customWidth="1" style="131" min="3" max="3"/>
    <col width="13.5" customWidth="1" style="131" min="4" max="4"/>
    <col width="14.5" customWidth="1" style="131" min="5" max="5"/>
    <col width="42" customWidth="1" style="131" min="6" max="6"/>
    <col width="12" customWidth="1" style="131" min="7" max="7"/>
    <col width="8.625" customWidth="1" style="131" min="8" max="26"/>
  </cols>
  <sheetData>
    <row r="1" ht="24" customHeight="1" s="131">
      <c r="A1" s="137" t="inlineStr">
        <is>
          <t>תזרים מזומנים – יולי 2026  |  ישר שירותי קרקע לקבלן ולפועל בע"מ</t>
        </is>
      </c>
    </row>
    <row r="2" ht="14.25" customHeight="1" s="131">
      <c r="A2" s="140" t="inlineStr">
        <is>
          <t>יתרת פתיחה – 01/07/2026</t>
        </is>
      </c>
      <c r="E2" s="1" t="n">
        <v>-14704.95</v>
      </c>
      <c r="F2" s="2" t="n"/>
      <c r="G2" s="2" t="n"/>
    </row>
    <row r="3" ht="14.25" customHeight="1" s="131"/>
    <row r="4" ht="14.25" customHeight="1" s="131">
      <c r="A4" s="3" t="inlineStr">
        <is>
          <t>תאריך</t>
        </is>
      </c>
      <c r="B4" s="3" t="inlineStr">
        <is>
          <t>תיאור</t>
        </is>
      </c>
      <c r="C4" s="3" t="inlineStr">
        <is>
          <t>הכנסה (₪)</t>
        </is>
      </c>
      <c r="D4" s="3" t="inlineStr">
        <is>
          <t>הוצאה (₪)</t>
        </is>
      </c>
      <c r="E4" s="3" t="inlineStr">
        <is>
          <t>יתרה (₪)</t>
        </is>
      </c>
      <c r="F4" s="3" t="inlineStr">
        <is>
          <t>הערות</t>
        </is>
      </c>
      <c r="G4" s="3" t="inlineStr">
        <is>
          <t>סוג</t>
        </is>
      </c>
    </row>
    <row r="5" ht="14.25" customHeight="1" s="131">
      <c r="A5" s="5" t="inlineStr">
        <is>
          <t>01/07/2026</t>
        </is>
      </c>
      <c r="B5" s="6" t="inlineStr">
        <is>
          <t>עמלת הקצאת אשראי</t>
        </is>
      </c>
      <c r="C5" s="8" t="n"/>
      <c r="D5" s="9" t="n">
        <v>90</v>
      </c>
      <c r="E5" s="11" t="n">
        <v>-14794.95</v>
      </c>
      <c r="F5" s="13" t="inlineStr">
        <is>
          <t>עמלות בנק/אשראי</t>
        </is>
      </c>
      <c r="G5" s="5" t="inlineStr">
        <is>
          <t>📤 הוצאה</t>
        </is>
      </c>
    </row>
    <row r="6" ht="14.25" customHeight="1" s="131">
      <c r="A6" s="16" t="inlineStr">
        <is>
          <t>01/07/2026</t>
        </is>
      </c>
      <c r="B6" s="12" t="inlineStr">
        <is>
          <t>שהנאו ייזום</t>
        </is>
      </c>
      <c r="C6" s="15" t="n"/>
      <c r="D6" s="18" t="n">
        <v>9165</v>
      </c>
      <c r="E6" s="19" t="n">
        <v>-23959.95</v>
      </c>
      <c r="F6" s="21" t="inlineStr">
        <is>
          <t>הוצאה תפעולית-שכירות משרד</t>
        </is>
      </c>
      <c r="G6" s="16" t="inlineStr">
        <is>
          <t>🔁 קבוע</t>
        </is>
      </c>
    </row>
    <row r="7" ht="14.25" customHeight="1" s="131">
      <c r="A7" s="5" t="inlineStr">
        <is>
          <t>01/07/2026</t>
        </is>
      </c>
      <c r="B7" s="6" t="inlineStr">
        <is>
          <t>עמלת ערוץ ישיר</t>
        </is>
      </c>
      <c r="C7" s="8" t="n"/>
      <c r="D7" s="9" t="n">
        <v>87.45</v>
      </c>
      <c r="E7" s="11" t="n">
        <v>-24047.4</v>
      </c>
      <c r="F7" s="13" t="inlineStr">
        <is>
          <t>עמלות בנק/אשראי</t>
        </is>
      </c>
      <c r="G7" s="5" t="inlineStr">
        <is>
          <t>📤 הוצאה</t>
        </is>
      </c>
    </row>
    <row r="8" ht="14.25" customHeight="1" s="131">
      <c r="A8" s="5" t="inlineStr">
        <is>
          <t>02/07/2026</t>
        </is>
      </c>
      <c r="B8" s="6" t="inlineStr">
        <is>
          <t>מקס איט פיננסים</t>
        </is>
      </c>
      <c r="C8" s="8" t="n"/>
      <c r="D8" s="9" t="n">
        <v>1933.2</v>
      </c>
      <c r="E8" s="11" t="n">
        <v>-25980.6</v>
      </c>
      <c r="F8" s="13" t="inlineStr">
        <is>
          <t>עמלות בנק/אשראי</t>
        </is>
      </c>
      <c r="G8" s="5" t="inlineStr">
        <is>
          <t>📤 הוצאה</t>
        </is>
      </c>
    </row>
    <row r="9" ht="14.25" customHeight="1" s="131">
      <c r="A9" s="5" t="inlineStr">
        <is>
          <t>02/07/2026</t>
        </is>
      </c>
      <c r="B9" s="6" t="inlineStr">
        <is>
          <t>לאומי ויזה</t>
        </is>
      </c>
      <c r="C9" s="8" t="n"/>
      <c r="D9" s="9" t="n">
        <v>6085.74</v>
      </c>
      <c r="E9" s="11" t="n">
        <v>-32066.34</v>
      </c>
      <c r="F9" s="13" t="inlineStr">
        <is>
          <t>עמלות בנק/אשראי</t>
        </is>
      </c>
      <c r="G9" s="5" t="inlineStr">
        <is>
          <t>📤 הוצאה</t>
        </is>
      </c>
    </row>
    <row r="10" ht="14.25" customHeight="1" s="131">
      <c r="A10" s="5" t="inlineStr">
        <is>
          <t>02/07/2026</t>
        </is>
      </c>
      <c r="B10" s="6" t="inlineStr">
        <is>
          <t>דיינרס קלאב</t>
        </is>
      </c>
      <c r="C10" s="8" t="n"/>
      <c r="D10" s="9" t="n">
        <v>1997.89</v>
      </c>
      <c r="E10" s="11" t="n">
        <v>-34064.23</v>
      </c>
      <c r="F10" s="13" t="inlineStr">
        <is>
          <t>עמלות בנק/אשראי</t>
        </is>
      </c>
      <c r="G10" s="5" t="inlineStr">
        <is>
          <t>📤 הוצאה</t>
        </is>
      </c>
    </row>
    <row r="11" ht="14.25" customHeight="1" s="131">
      <c r="A11" s="5" t="inlineStr">
        <is>
          <t>02/07/2026</t>
        </is>
      </c>
      <c r="B11" s="6" t="inlineStr">
        <is>
          <t>יהודה פריימן - מזוזה</t>
        </is>
      </c>
      <c r="C11" s="8" t="n"/>
      <c r="D11" s="9" t="n">
        <v>450</v>
      </c>
      <c r="E11" s="11" t="n">
        <v>-34514.23</v>
      </c>
      <c r="F11" s="13" t="inlineStr">
        <is>
          <t>אחר-יהודה פריימן (מזוזה)</t>
        </is>
      </c>
      <c r="G11" s="5" t="inlineStr">
        <is>
          <t>📤 הוצאה</t>
        </is>
      </c>
    </row>
    <row r="12" ht="14.25" customHeight="1" s="131">
      <c r="A12" s="20" t="inlineStr">
        <is>
          <t>02/07/2026</t>
        </is>
      </c>
      <c r="B12" s="14" t="inlineStr">
        <is>
          <t>מטה ופתילים - העברה בין חברות</t>
        </is>
      </c>
      <c r="C12" s="24" t="n">
        <v>30000</v>
      </c>
      <c r="D12" s="27" t="n"/>
      <c r="E12" s="28" t="n">
        <v>-4514.230000000003</v>
      </c>
      <c r="F12" s="30" t="inlineStr">
        <is>
          <t>פנימי-מטה ופתילים</t>
        </is>
      </c>
      <c r="G12" s="20" t="inlineStr">
        <is>
          <t>✅ הכנסה</t>
        </is>
      </c>
    </row>
    <row r="13" ht="14.25" customHeight="1" s="131">
      <c r="A13" s="16" t="inlineStr">
        <is>
          <t>02/07/2026</t>
        </is>
      </c>
      <c r="B13" s="12" t="inlineStr">
        <is>
          <t>חיים קוט - תשלום שכירות חודש 07</t>
        </is>
      </c>
      <c r="C13" s="15" t="n"/>
      <c r="D13" s="18" t="n">
        <v>2500</v>
      </c>
      <c r="E13" s="19" t="n">
        <v>-7014.230000000003</v>
      </c>
      <c r="F13" s="21" t="inlineStr">
        <is>
          <t>הוצאת שכירות-קריית גת</t>
        </is>
      </c>
      <c r="G13" s="16" t="inlineStr">
        <is>
          <t>🔁 קבוע</t>
        </is>
      </c>
    </row>
    <row r="14" ht="14.25" customHeight="1" s="131">
      <c r="A14" s="5" t="inlineStr">
        <is>
          <t>05/07/2026</t>
        </is>
      </c>
      <c r="B14" s="6" t="inlineStr">
        <is>
          <t>לאומי ויזה</t>
        </is>
      </c>
      <c r="C14" s="8" t="n"/>
      <c r="D14" s="9" t="n">
        <v>324.82</v>
      </c>
      <c r="E14" s="11" t="n">
        <v>-7339.050000000003</v>
      </c>
      <c r="F14" s="13" t="inlineStr">
        <is>
          <t>עמלות בנק/אשראי</t>
        </is>
      </c>
      <c r="G14" s="5" t="inlineStr">
        <is>
          <t>📤 הוצאה</t>
        </is>
      </c>
    </row>
    <row r="15" ht="14.25" customHeight="1" s="131">
      <c r="A15" s="5" t="inlineStr">
        <is>
          <t>06/07/2026</t>
        </is>
      </c>
      <c r="B15" s="6" t="inlineStr">
        <is>
          <t>מ. רוטנברג - צ'ק</t>
        </is>
      </c>
      <c r="C15" s="8" t="n"/>
      <c r="D15" s="9" t="n">
        <v>59825</v>
      </c>
      <c r="E15" s="11" t="n">
        <v>-67164.05</v>
      </c>
      <c r="F15" s="13" t="inlineStr">
        <is>
          <t>אחר-מ. רוטנברג שילם</t>
        </is>
      </c>
      <c r="G15" s="5" t="inlineStr">
        <is>
          <t>📤 הוצאה</t>
        </is>
      </c>
    </row>
    <row r="16" ht="14.25" customHeight="1" s="131">
      <c r="A16" s="5" t="inlineStr">
        <is>
          <t>07/07/2026</t>
        </is>
      </c>
      <c r="B16" s="6" t="inlineStr">
        <is>
          <t>מקס איט פיננסים</t>
        </is>
      </c>
      <c r="C16" s="8" t="n"/>
      <c r="D16" s="9" t="n">
        <v>45.9</v>
      </c>
      <c r="E16" s="11" t="n">
        <v>-67209.95</v>
      </c>
      <c r="F16" s="13" t="inlineStr">
        <is>
          <t>עמלות בנק/אשראי</t>
        </is>
      </c>
      <c r="G16" s="5" t="inlineStr">
        <is>
          <t>📤 הוצאה</t>
        </is>
      </c>
    </row>
    <row r="17" ht="14.25" customHeight="1" s="131">
      <c r="A17" s="5" t="inlineStr">
        <is>
          <t>07/07/2026</t>
        </is>
      </c>
      <c r="B17" s="6" t="inlineStr">
        <is>
          <t>לאומי ויזה</t>
        </is>
      </c>
      <c r="C17" s="8" t="n"/>
      <c r="D17" s="9" t="n">
        <v>74.90000000000001</v>
      </c>
      <c r="E17" s="11" t="n">
        <v>-67284.84999999999</v>
      </c>
      <c r="F17" s="13" t="inlineStr">
        <is>
          <t>עמלות בנק/אשראי</t>
        </is>
      </c>
      <c r="G17" s="5" t="inlineStr">
        <is>
          <t>📤 הוצאה</t>
        </is>
      </c>
    </row>
    <row r="18" ht="14.25" customHeight="1" s="131">
      <c r="A18" s="20" t="inlineStr">
        <is>
          <t>07/07/2026</t>
        </is>
      </c>
      <c r="B18" s="14" t="inlineStr">
        <is>
          <t>מטה ופתילים</t>
        </is>
      </c>
      <c r="C18" s="24" t="n">
        <v>25000</v>
      </c>
      <c r="D18" s="27" t="n"/>
      <c r="E18" s="28" t="n">
        <v>-42284.84999999999</v>
      </c>
      <c r="F18" s="30" t="inlineStr">
        <is>
          <t>פנימי-מטה ופתילים</t>
        </is>
      </c>
      <c r="G18" s="20" t="inlineStr">
        <is>
          <t>✅ הכנסה</t>
        </is>
      </c>
    </row>
    <row r="19" ht="14.25" customHeight="1" s="131">
      <c r="A19" s="20" t="inlineStr">
        <is>
          <t>07/07/2026</t>
        </is>
      </c>
      <c r="B19" s="14" t="inlineStr">
        <is>
          <t>מטה ופתילים</t>
        </is>
      </c>
      <c r="C19" s="24" t="n">
        <v>25000</v>
      </c>
      <c r="D19" s="27" t="n"/>
      <c r="E19" s="28" t="n">
        <v>-17284.84999999999</v>
      </c>
      <c r="F19" s="30" t="inlineStr">
        <is>
          <t>פנימי-מטה ופתילים</t>
        </is>
      </c>
      <c r="G19" s="20" t="inlineStr">
        <is>
          <t>✅ הכנסה</t>
        </is>
      </c>
    </row>
    <row r="20" ht="14.25" customHeight="1" s="131">
      <c r="A20" s="20" t="inlineStr">
        <is>
          <t>08/07/2026</t>
        </is>
      </c>
      <c r="B20" s="14" t="inlineStr">
        <is>
          <t>מ. רוטנברג</t>
        </is>
      </c>
      <c r="C20" s="24" t="n">
        <v>43158.5</v>
      </c>
      <c r="D20" s="27" t="n"/>
      <c r="E20" s="28" t="n">
        <v>25873.65000000001</v>
      </c>
      <c r="F20" s="30" t="inlineStr">
        <is>
          <t>הכנסת לקוח-רוטנברג</t>
        </is>
      </c>
      <c r="G20" s="20" t="inlineStr">
        <is>
          <t>✅ הכנסה</t>
        </is>
      </c>
    </row>
    <row r="21" ht="14.25" customHeight="1" s="131">
      <c r="A21" s="5" t="inlineStr">
        <is>
          <t>08/07/2026</t>
        </is>
      </c>
      <c r="B21" s="6" t="inlineStr">
        <is>
          <t>לאומי ויזה</t>
        </is>
      </c>
      <c r="C21" s="8" t="n"/>
      <c r="D21" s="9" t="n">
        <v>43</v>
      </c>
      <c r="E21" s="11" t="n">
        <v>25830.65000000001</v>
      </c>
      <c r="F21" s="13" t="inlineStr">
        <is>
          <t>עמלות בנק/אשראי</t>
        </is>
      </c>
      <c r="G21" s="5" t="inlineStr">
        <is>
          <t>📤 הוצאה</t>
        </is>
      </c>
    </row>
    <row r="22" ht="14.25" customHeight="1" s="131">
      <c r="A22" s="5" t="inlineStr">
        <is>
          <t>09/07/2026</t>
        </is>
      </c>
      <c r="B22" s="6" t="inlineStr">
        <is>
          <t>לאומי ויזה</t>
        </is>
      </c>
      <c r="C22" s="8" t="n"/>
      <c r="D22" s="9" t="n">
        <v>3.9</v>
      </c>
      <c r="E22" s="11" t="n">
        <v>25826.75000000001</v>
      </c>
      <c r="F22" s="13" t="inlineStr">
        <is>
          <t>עמלות בנק/אשראי</t>
        </is>
      </c>
      <c r="G22" s="5" t="inlineStr">
        <is>
          <t>📤 הוצאה</t>
        </is>
      </c>
    </row>
    <row r="23" ht="14.25" customHeight="1" s="131">
      <c r="A23" s="16" t="inlineStr">
        <is>
          <t>09/07/2026</t>
        </is>
      </c>
      <c r="B23" s="12" t="inlineStr">
        <is>
          <t>האחים ישראל</t>
        </is>
      </c>
      <c r="C23" s="15" t="n"/>
      <c r="D23" s="18" t="n">
        <v>18290</v>
      </c>
      <c r="E23" s="19" t="n">
        <v>7536.750000000007</v>
      </c>
      <c r="F23" s="21" t="inlineStr">
        <is>
          <t>הוצאת שכירות-רבי חייא (בעה"ב)</t>
        </is>
      </c>
      <c r="G23" s="16" t="inlineStr">
        <is>
          <t>🔁 קבוע</t>
        </is>
      </c>
    </row>
    <row r="24" ht="14.25" customHeight="1" s="131">
      <c r="A24" s="16" t="inlineStr">
        <is>
          <t>10/07/2026</t>
        </is>
      </c>
      <c r="B24" s="12" t="inlineStr">
        <is>
          <t>עיריית ירושלים</t>
        </is>
      </c>
      <c r="C24" s="15" t="n"/>
      <c r="D24" s="18" t="n">
        <v>349.02</v>
      </c>
      <c r="E24" s="19" t="n">
        <v>7187.730000000007</v>
      </c>
      <c r="F24" s="21" t="inlineStr">
        <is>
          <t>ארנונה</t>
        </is>
      </c>
      <c r="G24" s="16" t="inlineStr">
        <is>
          <t>🔁 קבוע</t>
        </is>
      </c>
    </row>
    <row r="25" ht="14.25" customHeight="1" s="131">
      <c r="A25" s="16" t="inlineStr">
        <is>
          <t>10/07/2026</t>
        </is>
      </c>
      <c r="B25" s="12" t="inlineStr">
        <is>
          <t>עיריית ירושלים</t>
        </is>
      </c>
      <c r="C25" s="15" t="n"/>
      <c r="D25" s="18" t="n">
        <v>510.99</v>
      </c>
      <c r="E25" s="19" t="n">
        <v>6676.740000000007</v>
      </c>
      <c r="F25" s="21" t="inlineStr">
        <is>
          <t>ארנונה</t>
        </is>
      </c>
      <c r="G25" s="16" t="inlineStr">
        <is>
          <t>🔁 קבוע</t>
        </is>
      </c>
    </row>
    <row r="26" ht="14.25" customHeight="1" s="131">
      <c r="A26" s="16" t="inlineStr">
        <is>
          <t>10/07/2026</t>
        </is>
      </c>
      <c r="B26" s="12" t="inlineStr">
        <is>
          <t>עיריית ירושלים</t>
        </is>
      </c>
      <c r="C26" s="15" t="n"/>
      <c r="D26" s="18" t="n">
        <v>840.59</v>
      </c>
      <c r="E26" s="19" t="n">
        <v>5836.150000000007</v>
      </c>
      <c r="F26" s="21" t="inlineStr">
        <is>
          <t>ארנונה-קארו 7</t>
        </is>
      </c>
      <c r="G26" s="16" t="inlineStr">
        <is>
          <t>🔁 קבוע</t>
        </is>
      </c>
    </row>
    <row r="27" ht="14.25" customHeight="1" s="131">
      <c r="A27" s="16" t="inlineStr">
        <is>
          <t>10/07/2026</t>
        </is>
      </c>
      <c r="B27" s="12" t="inlineStr">
        <is>
          <t>עיריית ירושלים</t>
        </is>
      </c>
      <c r="C27" s="15" t="n"/>
      <c r="D27" s="18" t="n">
        <v>1110.96</v>
      </c>
      <c r="E27" s="19" t="n">
        <v>4725.190000000007</v>
      </c>
      <c r="F27" s="21" t="inlineStr">
        <is>
          <t>ארנונה</t>
        </is>
      </c>
      <c r="G27" s="16" t="inlineStr">
        <is>
          <t>🔁 קבוע</t>
        </is>
      </c>
    </row>
    <row r="28" ht="14.25" customHeight="1" s="131">
      <c r="A28" s="16" t="inlineStr">
        <is>
          <t>10/07/2026</t>
        </is>
      </c>
      <c r="B28" s="12" t="inlineStr">
        <is>
          <t>עיריית ירושלים</t>
        </is>
      </c>
      <c r="C28" s="15" t="n"/>
      <c r="D28" s="18" t="n">
        <v>1299.16</v>
      </c>
      <c r="E28" s="19" t="n">
        <v>3426.030000000007</v>
      </c>
      <c r="F28" s="21" t="inlineStr">
        <is>
          <t>ארנונה</t>
        </is>
      </c>
      <c r="G28" s="16" t="inlineStr">
        <is>
          <t>🔁 קבוע</t>
        </is>
      </c>
    </row>
    <row r="29" ht="14.25" customHeight="1" s="131">
      <c r="A29" s="16" t="inlineStr">
        <is>
          <t>10/07/2026</t>
        </is>
      </c>
      <c r="B29" s="12" t="inlineStr">
        <is>
          <t>עיריית ירושלים</t>
        </is>
      </c>
      <c r="C29" s="15" t="n"/>
      <c r="D29" s="18" t="n">
        <v>2798.3</v>
      </c>
      <c r="E29" s="19" t="n">
        <v>627.7300000000068</v>
      </c>
      <c r="F29" s="21" t="inlineStr">
        <is>
          <t>ארנונה</t>
        </is>
      </c>
      <c r="G29" s="16" t="inlineStr">
        <is>
          <t>🔁 קבוע</t>
        </is>
      </c>
    </row>
    <row r="30" ht="14.25" customHeight="1" s="131">
      <c r="A30" s="5" t="inlineStr">
        <is>
          <t>10/07/2026</t>
        </is>
      </c>
      <c r="B30" s="6" t="inlineStr">
        <is>
          <t>אסתר נאסה</t>
        </is>
      </c>
      <c r="C30" s="8" t="n"/>
      <c r="D30" s="9" t="n">
        <v>8820</v>
      </c>
      <c r="E30" s="11" t="n">
        <v>-8192.269999999993</v>
      </c>
      <c r="F30" s="13" t="inlineStr">
        <is>
          <t>אחר-אסתר נאסה</t>
        </is>
      </c>
      <c r="G30" s="5" t="inlineStr">
        <is>
          <t>📤 הוצאה</t>
        </is>
      </c>
    </row>
    <row r="31" ht="14.25" customHeight="1" s="131">
      <c r="A31" s="5" t="inlineStr">
        <is>
          <t>12/07/2026</t>
        </is>
      </c>
      <c r="B31" s="6" t="inlineStr">
        <is>
          <t>נמשך מכרטיס 2998 במכשיר מזרחי סניף 517 תלפיות</t>
        </is>
      </c>
      <c r="C31" s="8" t="n"/>
      <c r="D31" s="9" t="n">
        <v>500</v>
      </c>
      <c r="E31" s="11" t="n">
        <v>-8692.269999999993</v>
      </c>
      <c r="F31" s="13" t="inlineStr">
        <is>
          <t>אחר-משיכת מזומן</t>
        </is>
      </c>
      <c r="G31" s="5" t="inlineStr">
        <is>
          <t>📤 הוצאה</t>
        </is>
      </c>
    </row>
    <row r="32" ht="14.25" customHeight="1" s="131">
      <c r="A32" s="20" t="inlineStr">
        <is>
          <t>12/07/2026</t>
        </is>
      </c>
      <c r="B32" s="14" t="inlineStr">
        <is>
          <t>איבריקה אינטרנשיונל - חודש 6.26</t>
        </is>
      </c>
      <c r="C32" s="24" t="n">
        <v>26697.5</v>
      </c>
      <c r="D32" s="27" t="n"/>
      <c r="E32" s="28" t="n">
        <v>18005.23000000001</v>
      </c>
      <c r="F32" s="30" t="inlineStr">
        <is>
          <t>הכנסת לקוח-איבריקה (שירותי קרקע, עבור יוני)</t>
        </is>
      </c>
      <c r="G32" s="20" t="inlineStr">
        <is>
          <t>✅ הכנסה</t>
        </is>
      </c>
    </row>
    <row r="33" ht="14.25" customHeight="1" s="131">
      <c r="A33" s="20" t="inlineStr">
        <is>
          <t>12/07/2026</t>
        </is>
      </c>
      <c r="B33" s="14" t="inlineStr">
        <is>
          <t>ב.ש ברגשטיין מקבוצת - פרויקט הקליר</t>
        </is>
      </c>
      <c r="C33" s="24" t="n">
        <v>112180.24</v>
      </c>
      <c r="D33" s="27" t="n"/>
      <c r="E33" s="28" t="n">
        <v>130185.47</v>
      </c>
      <c r="F33" s="30" t="inlineStr">
        <is>
          <t>הכנסת לקוח-ברגשטיין</t>
        </is>
      </c>
      <c r="G33" s="20" t="inlineStr">
        <is>
          <t>✅ הכנסה</t>
        </is>
      </c>
    </row>
    <row r="34" ht="14.25" customHeight="1" s="131">
      <c r="A34" s="16" t="inlineStr">
        <is>
          <t>12/07/2026</t>
        </is>
      </c>
      <c r="B34" s="12" t="inlineStr">
        <is>
          <t>העברת משכורת</t>
        </is>
      </c>
      <c r="C34" s="15" t="n"/>
      <c r="D34" s="18" t="n">
        <v>6047</v>
      </c>
      <c r="E34" s="19" t="n">
        <v>124138.47</v>
      </c>
      <c r="F34" s="21" t="inlineStr">
        <is>
          <t>משכורות</t>
        </is>
      </c>
      <c r="G34" s="16" t="inlineStr">
        <is>
          <t>🔁 קבוע</t>
        </is>
      </c>
    </row>
    <row r="35" ht="14.25" customHeight="1" s="131">
      <c r="A35" s="20" t="inlineStr">
        <is>
          <t>12/07/2026</t>
        </is>
      </c>
      <c r="B35" s="14" t="inlineStr">
        <is>
          <t>אלנרסי תפעול - חן 40045 תשלום רבי חייא יולי</t>
        </is>
      </c>
      <c r="C35" s="24" t="n">
        <v>25772</v>
      </c>
      <c r="D35" s="27" t="n"/>
      <c r="E35" s="28" t="n">
        <v>149910.47</v>
      </c>
      <c r="F35" s="30" t="inlineStr">
        <is>
          <t>הכנסת לקוח-אלנרסי (שירותי קרקע-רבי חייא)</t>
        </is>
      </c>
      <c r="G35" s="20" t="inlineStr">
        <is>
          <t>✅ הכנסה</t>
        </is>
      </c>
    </row>
    <row r="36" ht="14.25" customHeight="1" s="131">
      <c r="A36" s="20" t="inlineStr">
        <is>
          <t>12/07/2026</t>
        </is>
      </c>
      <c r="B36" s="14" t="inlineStr">
        <is>
          <t>ש.ח.ן. כרמלי - עובדים יוני26 חן עסקה 40062</t>
        </is>
      </c>
      <c r="C36" s="24" t="n">
        <v>42075.85</v>
      </c>
      <c r="D36" s="27" t="n"/>
      <c r="E36" s="28" t="n">
        <v>191986.32</v>
      </c>
      <c r="F36" s="30" t="inlineStr">
        <is>
          <t>הכנסת לקוח-שחן כרמלי (עבור יוני)</t>
        </is>
      </c>
      <c r="G36" s="20" t="inlineStr">
        <is>
          <t>✅ הכנסה</t>
        </is>
      </c>
    </row>
    <row r="37" ht="14.25" customHeight="1" s="131">
      <c r="A37" s="20" t="inlineStr">
        <is>
          <t>12/07/2026</t>
        </is>
      </c>
      <c r="B37" s="14" t="inlineStr">
        <is>
          <t>רמא - ר.מ.ט - חן עסקה 40049</t>
        </is>
      </c>
      <c r="C37" s="24" t="n">
        <v>182847</v>
      </c>
      <c r="D37" s="27" t="n"/>
      <c r="E37" s="28" t="n">
        <v>374833.3200000001</v>
      </c>
      <c r="F37" s="30" t="inlineStr">
        <is>
          <t>הכנסת לקוח-רמא</t>
        </is>
      </c>
      <c r="G37" s="20" t="inlineStr">
        <is>
          <t>✅ הכנסה</t>
        </is>
      </c>
    </row>
    <row r="38" ht="14.25" customHeight="1" s="131">
      <c r="A38" s="16" t="inlineStr">
        <is>
          <t>13/07/2026</t>
        </is>
      </c>
      <c r="B38" s="12" t="inlineStr">
        <is>
          <t>העברת משכורת</t>
        </is>
      </c>
      <c r="C38" s="15" t="n"/>
      <c r="D38" s="18" t="n">
        <v>10880</v>
      </c>
      <c r="E38" s="19" t="n">
        <v>363953.3200000001</v>
      </c>
      <c r="F38" s="21" t="inlineStr">
        <is>
          <t>משכורות</t>
        </is>
      </c>
      <c r="G38" s="16" t="inlineStr">
        <is>
          <t>🔁 קבוע</t>
        </is>
      </c>
    </row>
    <row r="39" ht="14.25" customHeight="1" s="131">
      <c r="A39" s="16" t="inlineStr">
        <is>
          <t>13/07/2026</t>
        </is>
      </c>
      <c r="B39" s="12" t="inlineStr">
        <is>
          <t>העברת משכורת</t>
        </is>
      </c>
      <c r="C39" s="15" t="n"/>
      <c r="D39" s="18" t="n">
        <v>14000</v>
      </c>
      <c r="E39" s="19" t="n">
        <v>349953.3200000001</v>
      </c>
      <c r="F39" s="21" t="inlineStr">
        <is>
          <t>משכורות</t>
        </is>
      </c>
      <c r="G39" s="16" t="inlineStr">
        <is>
          <t>🔁 קבוע</t>
        </is>
      </c>
    </row>
    <row r="40" ht="14.25" customHeight="1" s="131">
      <c r="A40" s="5" t="inlineStr">
        <is>
          <t>13/07/2026</t>
        </is>
      </c>
      <c r="B40" s="6" t="inlineStr">
        <is>
          <t>ש מינסקי יזמות</t>
        </is>
      </c>
      <c r="C40" s="8" t="n"/>
      <c r="D40" s="9" t="n">
        <v>16520</v>
      </c>
      <c r="E40" s="11" t="n">
        <v>333433.3200000001</v>
      </c>
      <c r="F40" s="13" t="inlineStr">
        <is>
          <t>אחר-ש מינסקי יזמות</t>
        </is>
      </c>
      <c r="G40" s="5" t="inlineStr">
        <is>
          <t>📤 הוצאה</t>
        </is>
      </c>
    </row>
    <row r="41" ht="14.25" customHeight="1" s="131">
      <c r="A41" s="5" t="inlineStr">
        <is>
          <t>13/07/2026</t>
        </is>
      </c>
      <c r="B41" s="6" t="inlineStr">
        <is>
          <t>בי אם גי כוח אדם</t>
        </is>
      </c>
      <c r="C41" s="8" t="n"/>
      <c r="D41" s="9" t="n">
        <v>100000</v>
      </c>
      <c r="E41" s="11" t="n">
        <v>233433.3200000001</v>
      </c>
      <c r="F41" s="13" t="inlineStr">
        <is>
          <t>COGS-תאגיד</t>
        </is>
      </c>
      <c r="G41" s="5" t="inlineStr">
        <is>
          <t>📤 הוצאה</t>
        </is>
      </c>
    </row>
    <row r="42" ht="14.25" customHeight="1" s="131">
      <c r="A42" s="16" t="inlineStr">
        <is>
          <t>13/07/2026</t>
        </is>
      </c>
      <c r="B42" s="12" t="inlineStr">
        <is>
          <t>י צ נכסים - שכירות קורצאק</t>
        </is>
      </c>
      <c r="C42" s="15" t="n"/>
      <c r="D42" s="18" t="n">
        <v>12980</v>
      </c>
      <c r="E42" s="19" t="n">
        <v>220453.3200000001</v>
      </c>
      <c r="F42" s="21" t="inlineStr">
        <is>
          <t>הוצאת שכירות-קורצאק</t>
        </is>
      </c>
      <c r="G42" s="16" t="inlineStr">
        <is>
          <t>🔁 קבוע</t>
        </is>
      </c>
    </row>
    <row r="43" ht="14.25" customHeight="1" s="131">
      <c r="A43" s="16" t="inlineStr">
        <is>
          <t>13/07/2026</t>
        </is>
      </c>
      <c r="B43" s="12" t="inlineStr">
        <is>
          <t>י צ נכסים - שכירות בית צפאפא</t>
        </is>
      </c>
      <c r="C43" s="15" t="n"/>
      <c r="D43" s="18" t="n">
        <v>8850</v>
      </c>
      <c r="E43" s="19" t="n">
        <v>211603.3200000001</v>
      </c>
      <c r="F43" s="21" t="inlineStr">
        <is>
          <t>הוצאת שכירות-בית צפאפא</t>
        </is>
      </c>
      <c r="G43" s="16" t="inlineStr">
        <is>
          <t>🔁 קבוע</t>
        </is>
      </c>
    </row>
    <row r="44" ht="14.25" customHeight="1" s="131">
      <c r="A44" s="5" t="inlineStr">
        <is>
          <t>13/07/2026</t>
        </is>
      </c>
      <c r="B44" s="6" t="inlineStr">
        <is>
          <t>שמואל מינסקי - החזר הלוואת בעלים</t>
        </is>
      </c>
      <c r="C44" s="8" t="n"/>
      <c r="D44" s="9" t="n">
        <v>9659</v>
      </c>
      <c r="E44" s="11" t="n">
        <v>201944.3200000001</v>
      </c>
      <c r="F44" s="13" t="inlineStr">
        <is>
          <t>משיכת בעלים</t>
        </is>
      </c>
      <c r="G44" s="5" t="inlineStr">
        <is>
          <t>📤 הוצאה</t>
        </is>
      </c>
    </row>
    <row r="45" ht="14.25" customHeight="1" s="131">
      <c r="A45" s="5" t="inlineStr">
        <is>
          <t>13/07/2026</t>
        </is>
      </c>
      <c r="B45" s="6" t="inlineStr">
        <is>
          <t>מייזלר יוחנן - תשלום חן 200023 ניכוי 5%</t>
        </is>
      </c>
      <c r="C45" s="8" t="n"/>
      <c r="D45" s="9" t="n">
        <v>504.45</v>
      </c>
      <c r="E45" s="11" t="n">
        <v>201439.8700000001</v>
      </c>
      <c r="F45" s="13" t="inlineStr">
        <is>
          <t>אחר-מייזלר יוחנן - תשלום חן 200023 ניכוי 5%</t>
        </is>
      </c>
      <c r="G45" s="5" t="inlineStr">
        <is>
          <t>📤 הוצאה</t>
        </is>
      </c>
    </row>
    <row r="46" ht="14.25" customHeight="1" s="131">
      <c r="A46" s="20" t="inlineStr">
        <is>
          <t>14/07/2026</t>
        </is>
      </c>
      <c r="B46" s="14" t="inlineStr">
        <is>
          <t>ריבית לפקדון</t>
        </is>
      </c>
      <c r="C46" s="24" t="n">
        <v>2.89</v>
      </c>
      <c r="D46" s="27" t="n"/>
      <c r="E46" s="28" t="n">
        <v>201442.7600000001</v>
      </c>
      <c r="F46" s="30" t="inlineStr">
        <is>
          <t>ריבית פיקדון</t>
        </is>
      </c>
      <c r="G46" s="20" t="inlineStr">
        <is>
          <t>✅ הכנסה</t>
        </is>
      </c>
    </row>
    <row r="47" ht="14.25" customHeight="1" s="131">
      <c r="A47" s="20" t="inlineStr">
        <is>
          <t>14/07/2026</t>
        </is>
      </c>
      <c r="B47" s="14" t="inlineStr">
        <is>
          <t>פרעון פקדון</t>
        </is>
      </c>
      <c r="C47" s="24" t="n">
        <v>45593.63</v>
      </c>
      <c r="D47" s="27" t="n"/>
      <c r="E47" s="28" t="n">
        <v>247036.3900000001</v>
      </c>
      <c r="F47" s="30" t="inlineStr">
        <is>
          <t>פיקדון</t>
        </is>
      </c>
      <c r="G47" s="20" t="inlineStr">
        <is>
          <t>✅ הכנסה</t>
        </is>
      </c>
    </row>
    <row r="48" ht="14.25" customHeight="1" s="131">
      <c r="A48" s="5" t="inlineStr">
        <is>
          <t>14/07/2026</t>
        </is>
      </c>
      <c r="B48" s="6" t="inlineStr">
        <is>
          <t>פדיום מקוזז</t>
        </is>
      </c>
      <c r="C48" s="8" t="n"/>
      <c r="D48" s="9" t="n">
        <v>45596.52</v>
      </c>
      <c r="E48" s="11" t="n">
        <v>201439.8700000001</v>
      </c>
      <c r="F48" s="13" t="inlineStr">
        <is>
          <t>פיקדון</t>
        </is>
      </c>
      <c r="G48" s="5" t="inlineStr">
        <is>
          <t>📤 הוצאה</t>
        </is>
      </c>
    </row>
    <row r="49" ht="14.25" customHeight="1" s="131">
      <c r="A49" s="5" t="inlineStr">
        <is>
          <t>14/07/2026</t>
        </is>
      </c>
      <c r="B49" s="6" t="inlineStr">
        <is>
          <t>לאומי ויזה</t>
        </is>
      </c>
      <c r="C49" s="8" t="n"/>
      <c r="D49" s="9" t="n">
        <v>350.13</v>
      </c>
      <c r="E49" s="11" t="n">
        <v>201089.7400000001</v>
      </c>
      <c r="F49" s="13" t="inlineStr">
        <is>
          <t>עמלות בנק/אשראי</t>
        </is>
      </c>
      <c r="G49" s="5" t="inlineStr">
        <is>
          <t>📤 הוצאה</t>
        </is>
      </c>
    </row>
    <row r="50" ht="14.25" customHeight="1" s="131">
      <c r="A50" s="20" t="inlineStr">
        <is>
          <t>14/07/2026</t>
        </is>
      </c>
      <c r="B50" s="14" t="inlineStr">
        <is>
          <t>נטליה הודיה - תשלום</t>
        </is>
      </c>
      <c r="C50" s="24" t="n">
        <v>6000</v>
      </c>
      <c r="D50" s="27" t="n"/>
      <c r="E50" s="28" t="n">
        <v>207089.7400000001</v>
      </c>
      <c r="F50" s="30" t="inlineStr">
        <is>
          <t>הכנסת לקוח-נטליה הודיה (לא שילמה מע"מ - לזכור לחייב)</t>
        </is>
      </c>
      <c r="G50" s="20" t="inlineStr">
        <is>
          <t>✅ הכנסה</t>
        </is>
      </c>
    </row>
    <row r="51" ht="14.25" customHeight="1" s="131">
      <c r="A51" s="16" t="inlineStr">
        <is>
          <t>14/07/2026</t>
        </is>
      </c>
      <c r="B51" s="12" t="inlineStr">
        <is>
          <t>שישא גבריאל - שכירות קארו 7</t>
        </is>
      </c>
      <c r="C51" s="15" t="n"/>
      <c r="D51" s="18" t="n">
        <v>7000</v>
      </c>
      <c r="E51" s="19" t="n">
        <v>200089.7400000001</v>
      </c>
      <c r="F51" s="21" t="inlineStr">
        <is>
          <t>הוצאת שכירות-קארו 7</t>
        </is>
      </c>
      <c r="G51" s="16" t="inlineStr">
        <is>
          <t>🔁 קבוע</t>
        </is>
      </c>
    </row>
    <row r="52" ht="14.25" customHeight="1" s="131">
      <c r="A52" s="16" t="inlineStr">
        <is>
          <t>14/07/2026</t>
        </is>
      </c>
      <c r="B52" s="12" t="inlineStr">
        <is>
          <t>תומא וסאם - הלנת עובדים מלון בית חנינא</t>
        </is>
      </c>
      <c r="C52" s="15" t="n"/>
      <c r="D52" s="18" t="n">
        <v>9600</v>
      </c>
      <c r="E52" s="19" t="n">
        <v>190489.7400000001</v>
      </c>
      <c r="F52" s="21" t="inlineStr">
        <is>
          <t>הוצאת שכירות-בית חנינה</t>
        </is>
      </c>
      <c r="G52" s="16" t="inlineStr">
        <is>
          <t>🔁 קבוע</t>
        </is>
      </c>
    </row>
    <row r="53" ht="14.25" customHeight="1" s="131">
      <c r="A53" s="16" t="inlineStr">
        <is>
          <t>14/07/2026</t>
        </is>
      </c>
      <c r="B53" s="12" t="inlineStr">
        <is>
          <t>הינדי טייטלבוים - שכירות קארו 3</t>
        </is>
      </c>
      <c r="C53" s="15" t="n"/>
      <c r="D53" s="18" t="n">
        <v>4000</v>
      </c>
      <c r="E53" s="19" t="n">
        <v>186489.7400000001</v>
      </c>
      <c r="F53" s="21" t="inlineStr">
        <is>
          <t>הוצאת שכירות-קארו 3</t>
        </is>
      </c>
      <c r="G53" s="16" t="inlineStr">
        <is>
          <t>🔁 קבוע</t>
        </is>
      </c>
    </row>
    <row r="54" ht="14.25" customHeight="1" s="131">
      <c r="A54" s="16" t="inlineStr">
        <is>
          <t>14/07/2026</t>
        </is>
      </c>
      <c r="B54" s="12" t="inlineStr">
        <is>
          <t>שלום קבאסה - שכירות אשקלון</t>
        </is>
      </c>
      <c r="C54" s="15" t="n"/>
      <c r="D54" s="18" t="n">
        <v>4000</v>
      </c>
      <c r="E54" s="19" t="n">
        <v>182489.7400000001</v>
      </c>
      <c r="F54" s="21" t="inlineStr">
        <is>
          <t>הוצאת שכירות-אשקלון</t>
        </is>
      </c>
      <c r="G54" s="16" t="inlineStr">
        <is>
          <t>🔁 קבוע</t>
        </is>
      </c>
    </row>
    <row r="55" ht="14.25" customHeight="1" s="131">
      <c r="A55" s="16" t="inlineStr">
        <is>
          <t>14/07/2026</t>
        </is>
      </c>
      <c r="B55" s="12" t="inlineStr">
        <is>
          <t>זאב זלץ - שכירות קארו 11</t>
        </is>
      </c>
      <c r="C55" s="15" t="n"/>
      <c r="D55" s="18" t="n">
        <v>3000</v>
      </c>
      <c r="E55" s="19" t="n">
        <v>179489.7400000001</v>
      </c>
      <c r="F55" s="21" t="inlineStr">
        <is>
          <t>הוצאת שכירות-קארו 11</t>
        </is>
      </c>
      <c r="G55" s="16" t="inlineStr">
        <is>
          <t>🔁 קבוע</t>
        </is>
      </c>
    </row>
    <row r="56" ht="14.25" customHeight="1" s="131">
      <c r="A56" s="5" t="inlineStr">
        <is>
          <t>14/07/2026</t>
        </is>
      </c>
      <c r="B56" s="6" t="inlineStr">
        <is>
          <t>שמואל מינסקי - החזר הלוואת בעלות</t>
        </is>
      </c>
      <c r="C56" s="8" t="n"/>
      <c r="D56" s="9" t="n">
        <v>1770</v>
      </c>
      <c r="E56" s="11" t="n">
        <v>177719.7400000001</v>
      </c>
      <c r="F56" s="13" t="inlineStr">
        <is>
          <t>משיכת בעלים</t>
        </is>
      </c>
      <c r="G56" s="5" t="inlineStr">
        <is>
          <t>📤 הוצאה</t>
        </is>
      </c>
    </row>
    <row r="57" ht="14.25" customHeight="1" s="131">
      <c r="A57" s="16" t="inlineStr">
        <is>
          <t>14/07/2026</t>
        </is>
      </c>
      <c r="B57" s="12" t="inlineStr">
        <is>
          <t>רחל מסטשי - שכירות אסירי ציון</t>
        </is>
      </c>
      <c r="C57" s="15" t="n"/>
      <c r="D57" s="18" t="n">
        <v>4700</v>
      </c>
      <c r="E57" s="19" t="n">
        <v>173019.7400000001</v>
      </c>
      <c r="F57" s="21" t="inlineStr">
        <is>
          <t>הוצאת שכירות-אסירי ציון</t>
        </is>
      </c>
      <c r="G57" s="16" t="inlineStr">
        <is>
          <t>🔁 קבוע</t>
        </is>
      </c>
    </row>
    <row r="58" ht="14.25" customHeight="1" s="131">
      <c r="A58" s="5" t="inlineStr">
        <is>
          <t>15/07/2026</t>
        </is>
      </c>
      <c r="B58" s="6" t="inlineStr">
        <is>
          <t>לאומי מאסטרקרד</t>
        </is>
      </c>
      <c r="C58" s="8" t="n"/>
      <c r="D58" s="9" t="n">
        <v>7967.63</v>
      </c>
      <c r="E58" s="11" t="n">
        <v>165052.1100000001</v>
      </c>
      <c r="F58" s="13" t="inlineStr">
        <is>
          <t>עמלות בנק/אשראי</t>
        </is>
      </c>
      <c r="G58" s="5" t="inlineStr">
        <is>
          <t>📤 הוצאה</t>
        </is>
      </c>
    </row>
    <row r="59" ht="14.25" customHeight="1" s="131">
      <c r="A59" s="5" t="inlineStr">
        <is>
          <t>15/07/2026</t>
        </is>
      </c>
      <c r="B59" s="6" t="inlineStr">
        <is>
          <t>מקס איט פיננסים</t>
        </is>
      </c>
      <c r="C59" s="8" t="n"/>
      <c r="D59" s="9" t="n">
        <v>10127.67</v>
      </c>
      <c r="E59" s="11" t="n">
        <v>154924.4400000001</v>
      </c>
      <c r="F59" s="13" t="inlineStr">
        <is>
          <t>עמלות בנק/אשראי</t>
        </is>
      </c>
      <c r="G59" s="5" t="inlineStr">
        <is>
          <t>📤 הוצאה</t>
        </is>
      </c>
    </row>
    <row r="60" ht="14.25" customHeight="1" s="131">
      <c r="A60" s="20" t="inlineStr">
        <is>
          <t>15/07/2026</t>
        </is>
      </c>
      <c r="B60" s="14" t="inlineStr">
        <is>
          <t>שבט בנימין בעמ - חש 50348 349</t>
        </is>
      </c>
      <c r="C60" s="24" t="n">
        <v>35643.38</v>
      </c>
      <c r="D60" s="27" t="n"/>
      <c r="E60" s="28" t="n">
        <v>190567.8200000001</v>
      </c>
      <c r="F60" s="30" t="inlineStr">
        <is>
          <t>הכנסת לקוח-שבט בנימין</t>
        </is>
      </c>
      <c r="G60" s="20" t="inlineStr">
        <is>
          <t>✅ הכנסה</t>
        </is>
      </c>
    </row>
    <row r="61" ht="14.25" customHeight="1" s="131">
      <c r="A61" s="5" t="inlineStr">
        <is>
          <t>15/07/2026</t>
        </is>
      </c>
      <c r="B61" s="6" t="inlineStr">
        <is>
          <t>דיינרס קלאב</t>
        </is>
      </c>
      <c r="C61" s="8" t="n"/>
      <c r="D61" s="9" t="n">
        <v>3795.77</v>
      </c>
      <c r="E61" s="11" t="n">
        <v>186772.0500000001</v>
      </c>
      <c r="F61" s="13" t="inlineStr">
        <is>
          <t>עמלות בנק/אשראי</t>
        </is>
      </c>
      <c r="G61" s="5" t="inlineStr">
        <is>
          <t>📤 הוצאה</t>
        </is>
      </c>
    </row>
    <row r="62" ht="14.25" customHeight="1" s="131">
      <c r="A62" s="20" t="inlineStr">
        <is>
          <t>15/07/2026</t>
        </is>
      </c>
      <c r="B62" s="14" t="inlineStr">
        <is>
          <t>נטליה הודיה - תשלום</t>
        </is>
      </c>
      <c r="C62" s="24" t="n">
        <v>2360</v>
      </c>
      <c r="D62" s="27" t="n"/>
      <c r="E62" s="28" t="n">
        <v>189132.0500000001</v>
      </c>
      <c r="F62" s="30" t="inlineStr">
        <is>
          <t>הכנסת לקוח-נטליה הודיה (לא שילמה מע"מ - לזכור לחייב)</t>
        </is>
      </c>
      <c r="G62" s="20" t="inlineStr">
        <is>
          <t>✅ הכנסה</t>
        </is>
      </c>
    </row>
    <row r="63" ht="14.25" customHeight="1" s="131">
      <c r="A63" s="20" t="inlineStr">
        <is>
          <t>15/07/2026</t>
        </is>
      </c>
      <c r="B63" s="14" t="inlineStr">
        <is>
          <t>אלי שי בן-חי - עח עסקה 40052</t>
        </is>
      </c>
      <c r="C63" s="24" t="n">
        <v>20000</v>
      </c>
      <c r="D63" s="27" t="n"/>
      <c r="E63" s="28" t="n">
        <v>209132.0500000001</v>
      </c>
      <c r="F63" s="30" t="inlineStr">
        <is>
          <t>הכנסת לקוח-אלי אביאלי</t>
        </is>
      </c>
      <c r="G63" s="20" t="inlineStr">
        <is>
          <t>✅ הכנסה</t>
        </is>
      </c>
    </row>
    <row r="64" ht="14.25" customHeight="1" s="131">
      <c r="A64" s="20" t="inlineStr">
        <is>
          <t>16/07/2026</t>
        </is>
      </c>
      <c r="B64" s="14" t="inlineStr">
        <is>
          <t>קידוח וחיזוק הצפון - שירותי כוח אדם לפאיז</t>
        </is>
      </c>
      <c r="C64" s="24" t="n">
        <v>7174.4</v>
      </c>
      <c r="D64" s="27" t="n"/>
      <c r="E64" s="28" t="n">
        <v>216306.4500000001</v>
      </c>
      <c r="F64" s="30" t="inlineStr">
        <is>
          <t>הכנסת לקוח-נריה קידוח הצפון</t>
        </is>
      </c>
      <c r="G64" s="20" t="inlineStr">
        <is>
          <t>✅ הכנסה</t>
        </is>
      </c>
    </row>
    <row r="65" ht="14.25" customHeight="1" s="131">
      <c r="A65" s="20" t="inlineStr">
        <is>
          <t>16/07/2026</t>
        </is>
      </c>
      <c r="B65" s="14" t="inlineStr">
        <is>
          <t>אלי שי בן-חי - יתרת חן 40052</t>
        </is>
      </c>
      <c r="C65" s="24" t="n">
        <v>29658</v>
      </c>
      <c r="D65" s="27" t="n"/>
      <c r="E65" s="28" t="n">
        <v>245964.4500000001</v>
      </c>
      <c r="F65" s="30" t="inlineStr">
        <is>
          <t>הכנסת לקוח-אלי אביאלי</t>
        </is>
      </c>
      <c r="G65" s="20" t="inlineStr">
        <is>
          <t>✅ הכנסה</t>
        </is>
      </c>
    </row>
    <row r="66" ht="14.25" customHeight="1" s="131">
      <c r="A66" s="20" t="inlineStr">
        <is>
          <t>17/07/2026</t>
        </is>
      </c>
      <c r="B66" s="14" t="inlineStr">
        <is>
          <t>מצודת השלום - צ'ק</t>
        </is>
      </c>
      <c r="C66" s="24" t="n">
        <v>63148</v>
      </c>
      <c r="D66" s="27" t="n"/>
      <c r="E66" s="28" t="n">
        <v>309112.4500000001</v>
      </c>
      <c r="F66" s="30" t="inlineStr">
        <is>
          <t>הכנסת לקוח-אחמד מצודת השלום</t>
        </is>
      </c>
      <c r="G66" s="20" t="inlineStr">
        <is>
          <t>✅ הכנסה</t>
        </is>
      </c>
    </row>
    <row r="67" ht="14.25" customHeight="1" s="131">
      <c r="A67" s="5" t="inlineStr">
        <is>
          <t>17/07/2026</t>
        </is>
      </c>
      <c r="B67" s="6" t="inlineStr">
        <is>
          <t>לאומי ויזה</t>
        </is>
      </c>
      <c r="C67" s="8" t="n"/>
      <c r="D67" s="9" t="n">
        <v>74.90000000000001</v>
      </c>
      <c r="E67" s="11" t="n">
        <v>309037.55</v>
      </c>
      <c r="F67" s="13" t="inlineStr">
        <is>
          <t>עמלות בנק/אשראי</t>
        </is>
      </c>
      <c r="G67" s="5" t="inlineStr">
        <is>
          <t>📤 הוצאה</t>
        </is>
      </c>
    </row>
    <row r="68" ht="14.25" customHeight="1" s="131">
      <c r="A68" s="16" t="inlineStr">
        <is>
          <t>19/07/2026</t>
        </is>
      </c>
      <c r="B68" s="12" t="inlineStr">
        <is>
          <t>רו"ח יוסי טובול</t>
        </is>
      </c>
      <c r="C68" s="15" t="n"/>
      <c r="D68" s="18" t="n">
        <v>1357</v>
      </c>
      <c r="E68" s="19" t="n">
        <v>307680.55</v>
      </c>
      <c r="F68" s="21" t="inlineStr">
        <is>
          <t>הוצאה תפעולית-רואה חשבון</t>
        </is>
      </c>
      <c r="G68" s="16" t="inlineStr">
        <is>
          <t>🔁 קבוע</t>
        </is>
      </c>
    </row>
    <row r="69" ht="14.25" customHeight="1" s="131">
      <c r="A69" s="5" t="inlineStr">
        <is>
          <t>19/07/2026</t>
        </is>
      </c>
      <c r="B69" s="6" t="inlineStr">
        <is>
          <t>בי אם גי כוח אדם</t>
        </is>
      </c>
      <c r="C69" s="8" t="n"/>
      <c r="D69" s="9" t="n">
        <v>66380.44</v>
      </c>
      <c r="E69" s="11" t="n">
        <v>241300.11</v>
      </c>
      <c r="F69" s="13" t="inlineStr">
        <is>
          <t>COGS-תאגיד</t>
        </is>
      </c>
      <c r="G69" s="5" t="inlineStr">
        <is>
          <t>📤 הוצאה</t>
        </is>
      </c>
    </row>
    <row r="70" ht="14.25" customHeight="1" s="131">
      <c r="A70" s="20" t="inlineStr">
        <is>
          <t>20/07/2026</t>
        </is>
      </c>
      <c r="B70" s="14" t="inlineStr">
        <is>
          <t>אופיר חנון ONE ZERO</t>
        </is>
      </c>
      <c r="C70" s="24" t="n">
        <v>40000</v>
      </c>
      <c r="D70" s="27" t="n"/>
      <c r="E70" s="28" t="n">
        <v>281300.11</v>
      </c>
      <c r="F70" s="30" t="inlineStr">
        <is>
          <t>הכנסת לקוח-אופיר חנון/קבלן</t>
        </is>
      </c>
      <c r="G70" s="20" t="inlineStr">
        <is>
          <t>✅ הכנסה</t>
        </is>
      </c>
    </row>
    <row r="71" ht="14.25" customHeight="1" s="131">
      <c r="A71" s="5" t="inlineStr">
        <is>
          <t>20/07/2026</t>
        </is>
      </c>
      <c r="B71" s="6" t="inlineStr">
        <is>
          <t>פרעון הלוואה</t>
        </is>
      </c>
      <c r="C71" s="8" t="n"/>
      <c r="D71" s="9" t="n">
        <v>4097.78</v>
      </c>
      <c r="E71" s="11" t="n">
        <v>277202.33</v>
      </c>
      <c r="F71" s="13" t="inlineStr">
        <is>
          <t>החזר הלוואה עסקית</t>
        </is>
      </c>
      <c r="G71" s="5" t="inlineStr">
        <is>
          <t>📤 הוצאה</t>
        </is>
      </c>
    </row>
    <row r="72" ht="14.25" customHeight="1" s="131">
      <c r="A72" s="16" t="inlineStr">
        <is>
          <t>20/07/2026</t>
        </is>
      </c>
      <c r="B72" s="12" t="inlineStr">
        <is>
          <t>חברת החשמל</t>
        </is>
      </c>
      <c r="C72" s="15" t="n"/>
      <c r="D72" s="18" t="n">
        <v>1825</v>
      </c>
      <c r="E72" s="19" t="n">
        <v>275377.33</v>
      </c>
      <c r="F72" s="21" t="inlineStr">
        <is>
          <t>קבועה - חשבון חשמל חודשי</t>
        </is>
      </c>
      <c r="G72" s="16" t="inlineStr">
        <is>
          <t>🔁 קבוע</t>
        </is>
      </c>
    </row>
    <row r="73" ht="14.25" customHeight="1" s="131">
      <c r="A73" s="5" t="inlineStr">
        <is>
          <t>20/07/2026</t>
        </is>
      </c>
      <c r="B73" s="6" t="inlineStr">
        <is>
          <t>פוגין אינטרנשיונל</t>
        </is>
      </c>
      <c r="C73" s="8" t="n"/>
      <c r="D73" s="9" t="n">
        <v>25773.6</v>
      </c>
      <c r="E73" s="11" t="n">
        <v>249603.73</v>
      </c>
      <c r="F73" s="13" t="inlineStr">
        <is>
          <t>הוצאה מאושרת-פוגין אינטרנשיונל (מאושר לתשלום - שמואל אישר)</t>
        </is>
      </c>
      <c r="G73" s="5" t="inlineStr">
        <is>
          <t>📤 הוצאה</t>
        </is>
      </c>
    </row>
    <row r="74" ht="14.25" customHeight="1" s="131">
      <c r="A74" s="5" t="inlineStr">
        <is>
          <t>21/07/2026</t>
        </is>
      </c>
      <c r="B74" s="6" t="inlineStr">
        <is>
          <t>שמואל מינסקי - החזר הלוואת בעלות</t>
        </is>
      </c>
      <c r="C74" s="8" t="n"/>
      <c r="D74" s="9" t="n">
        <v>4303</v>
      </c>
      <c r="E74" s="11" t="n">
        <v>245300.73</v>
      </c>
      <c r="F74" s="13" t="inlineStr">
        <is>
          <t>משיכת בעלים</t>
        </is>
      </c>
      <c r="G74" s="5" t="inlineStr">
        <is>
          <t>📤 הוצאה</t>
        </is>
      </c>
    </row>
    <row r="75" ht="14.25" customHeight="1" s="131">
      <c r="A75" s="5" t="inlineStr">
        <is>
          <t>21/07/2026</t>
        </is>
      </c>
      <c r="B75" s="6" t="inlineStr">
        <is>
          <t>אחים לימור</t>
        </is>
      </c>
      <c r="C75" s="8" t="n"/>
      <c r="D75" s="9" t="n">
        <v>164926.24</v>
      </c>
      <c r="E75" s="11" t="n">
        <v>80374.49000000002</v>
      </c>
      <c r="F75" s="13" t="inlineStr">
        <is>
          <t>הוצאה מאושרת-אחים לימור (מאושר לתשלום - שמואל אישר)</t>
        </is>
      </c>
      <c r="G75" s="5" t="inlineStr">
        <is>
          <t>📤 הוצאה</t>
        </is>
      </c>
    </row>
    <row r="76" ht="14.25" customHeight="1" s="131">
      <c r="A76" s="20" t="inlineStr">
        <is>
          <t>22/07/2026</t>
        </is>
      </c>
      <c r="B76" s="14" t="inlineStr">
        <is>
          <t>אופל בלאנס (2006) - ניכיון שיק</t>
        </is>
      </c>
      <c r="C76" s="24" t="n">
        <v>150119.5</v>
      </c>
      <c r="D76" s="27" t="n"/>
      <c r="E76" s="28" t="n">
        <v>230493.99</v>
      </c>
      <c r="F76" s="30" t="inlineStr">
        <is>
          <t>מימון-ניכיון שיק</t>
        </is>
      </c>
      <c r="G76" s="20" t="inlineStr">
        <is>
          <t>✅ הכנסה</t>
        </is>
      </c>
    </row>
    <row r="77" ht="14.25" customHeight="1" s="131">
      <c r="A77" s="5" t="inlineStr">
        <is>
          <t>26/07/2026</t>
        </is>
      </c>
      <c r="B77" s="6" t="inlineStr">
        <is>
          <t>פאנג שירותי כח - שיק 5000343</t>
        </is>
      </c>
      <c r="C77" s="8" t="n"/>
      <c r="D77" s="9" t="n">
        <v>132462</v>
      </c>
      <c r="E77" s="11" t="n">
        <v>98031.99000000002</v>
      </c>
      <c r="F77" s="13" t="inlineStr">
        <is>
          <t>COGS-ספק אחר (פאנג) - על חשבון חשבונית מאי</t>
        </is>
      </c>
      <c r="G77" s="5" t="inlineStr">
        <is>
          <t>📤 הוצאה</t>
        </is>
      </c>
    </row>
    <row r="78" ht="14.25" customHeight="1" s="131">
      <c r="A78" s="5" t="inlineStr">
        <is>
          <t>27/07/2026</t>
        </is>
      </c>
      <c r="B78" s="6" t="inlineStr">
        <is>
          <t>פאנג שירותי כח - תשלום חלקי חשבונית 2663</t>
        </is>
      </c>
      <c r="C78" s="8" t="n"/>
      <c r="D78" s="9" t="n">
        <v>100000</v>
      </c>
      <c r="E78" s="11" t="n">
        <v>-1968.00999999998</v>
      </c>
      <c r="F78" s="13" t="inlineStr">
        <is>
          <t>COGS-ספק אחר (פאנג)</t>
        </is>
      </c>
      <c r="G78" s="5" t="inlineStr">
        <is>
          <t>📤 הוצאה</t>
        </is>
      </c>
    </row>
    <row r="79" ht="14.25" customHeight="1" s="131">
      <c r="A79" s="20" t="inlineStr">
        <is>
          <t>28/07/2026</t>
        </is>
      </c>
      <c r="B79" s="14" t="inlineStr">
        <is>
          <t>מטה ופתילים</t>
        </is>
      </c>
      <c r="C79" s="24" t="n">
        <v>32951</v>
      </c>
      <c r="D79" s="27" t="n"/>
      <c r="E79" s="28" t="n">
        <v>30982.99000000002</v>
      </c>
      <c r="F79" s="30" t="inlineStr">
        <is>
          <t>פנימי-מטה ופתילים</t>
        </is>
      </c>
      <c r="G79" s="20" t="inlineStr">
        <is>
          <t>✅ הכנסה</t>
        </is>
      </c>
    </row>
    <row r="80" ht="14.25" customHeight="1" s="131">
      <c r="A80" s="20" t="inlineStr">
        <is>
          <t>29/07/2026</t>
        </is>
      </c>
      <c r="B80" s="14" t="inlineStr">
        <is>
          <t>הח.ע.עסקי</t>
        </is>
      </c>
      <c r="C80" s="24" t="n">
        <v>5.5</v>
      </c>
      <c r="D80" s="27" t="n"/>
      <c r="E80" s="28" t="n">
        <v>30988.49000000002</v>
      </c>
      <c r="F80" s="30" t="inlineStr">
        <is>
          <t>אחר-בנק</t>
        </is>
      </c>
      <c r="G80" s="20" t="inlineStr">
        <is>
          <t>✅ הכנסה</t>
        </is>
      </c>
    </row>
    <row r="81" ht="14.25" customHeight="1" s="131">
      <c r="A81" s="16" t="inlineStr">
        <is>
          <t>29/07/2026</t>
        </is>
      </c>
      <c r="B81" s="12" t="inlineStr">
        <is>
          <t>מס הכנסה ניכוי</t>
        </is>
      </c>
      <c r="C81" s="15" t="n"/>
      <c r="D81" s="18" t="n">
        <v>5120</v>
      </c>
      <c r="E81" s="19" t="n">
        <v>25868.49000000002</v>
      </c>
      <c r="F81" s="21" t="inlineStr">
        <is>
          <t>מסים-ניכוי מס הכנסה</t>
        </is>
      </c>
      <c r="G81" s="16" t="inlineStr">
        <is>
          <t>🔁 קבוע</t>
        </is>
      </c>
    </row>
    <row r="82" ht="14.25" customHeight="1" s="131">
      <c r="A82" s="20" t="inlineStr">
        <is>
          <t>29/07/2026</t>
        </is>
      </c>
      <c r="B82" s="14" t="inlineStr">
        <is>
          <t>Ofir Hanoon</t>
        </is>
      </c>
      <c r="C82" s="24" t="n">
        <v>40000</v>
      </c>
      <c r="D82" s="27" t="n"/>
      <c r="E82" s="28" t="n">
        <v>65868.49000000002</v>
      </c>
      <c r="F82" s="30" t="inlineStr">
        <is>
          <t>הכנסת לקוח-אופיר חנון/קבלן</t>
        </is>
      </c>
      <c r="G82" s="20" t="inlineStr">
        <is>
          <t>✅ הכנסה</t>
        </is>
      </c>
    </row>
    <row r="83" ht="14.25" customHeight="1" s="131">
      <c r="A83" s="5" t="inlineStr">
        <is>
          <t>29/07/2026</t>
        </is>
      </c>
      <c r="B83" s="6" t="inlineStr">
        <is>
          <t>פאנג שירותי כח - תשלום 2 מחשבונית יוני 26</t>
        </is>
      </c>
      <c r="C83" s="8" t="n"/>
      <c r="D83" s="9" t="n">
        <v>70837</v>
      </c>
      <c r="E83" s="11" t="n">
        <v>-4968.50999999998</v>
      </c>
      <c r="F83" s="13" t="inlineStr">
        <is>
          <t>COGS-ספק אחר (פאנג)</t>
        </is>
      </c>
      <c r="G83" s="5" t="inlineStr">
        <is>
          <t>📤 הוצאה</t>
        </is>
      </c>
    </row>
    <row r="84" ht="14.25" customHeight="1" s="131">
      <c r="A84" s="20" t="inlineStr">
        <is>
          <t>30/07/2026</t>
        </is>
      </c>
      <c r="B84" s="14" t="inlineStr">
        <is>
          <t>Ofir Hanoon</t>
        </is>
      </c>
      <c r="C84" s="24" t="n">
        <v>25000</v>
      </c>
      <c r="D84" s="27" t="n"/>
      <c r="E84" s="28" t="n">
        <v>20031.49000000002</v>
      </c>
      <c r="F84" s="30" t="inlineStr">
        <is>
          <t>הכנסת לקוח-אופיר חנון/קבלן</t>
        </is>
      </c>
      <c r="G84" s="20" t="inlineStr">
        <is>
          <t>✅ הכנסה</t>
        </is>
      </c>
    </row>
    <row r="85" ht="14.25" customHeight="1" s="131">
      <c r="A85" s="16" t="inlineStr">
        <is>
          <t>31/07/2026</t>
        </is>
      </c>
      <c r="B85" s="12" t="inlineStr">
        <is>
          <t>מע"מ</t>
        </is>
      </c>
      <c r="C85" s="15" t="n"/>
      <c r="D85" s="18" t="n">
        <v>5056</v>
      </c>
      <c r="E85" s="19" t="n">
        <v>14975.49000000002</v>
      </c>
      <c r="F85" s="21" t="inlineStr">
        <is>
          <t>מסים-מעמ</t>
        </is>
      </c>
      <c r="G85" s="16" t="inlineStr">
        <is>
          <t>🔁 קבוע</t>
        </is>
      </c>
    </row>
    <row r="86" ht="14.25" customHeight="1" s="131">
      <c r="A86" s="16" t="inlineStr">
        <is>
          <t>31/07/2026</t>
        </is>
      </c>
      <c r="B86" s="12" t="inlineStr">
        <is>
          <t>העברת משכורת</t>
        </is>
      </c>
      <c r="C86" s="15" t="n"/>
      <c r="D86" s="18" t="n">
        <v>4000</v>
      </c>
      <c r="E86" s="19" t="n">
        <v>10975.49000000002</v>
      </c>
      <c r="F86" s="21" t="inlineStr">
        <is>
          <t>משכורות</t>
        </is>
      </c>
      <c r="G86" s="16" t="inlineStr">
        <is>
          <t>🔁 קבוע</t>
        </is>
      </c>
    </row>
    <row r="87" ht="14.25" customHeight="1" s="131">
      <c r="A87" s="20" t="inlineStr">
        <is>
          <t>31/07/2026</t>
        </is>
      </c>
      <c r="B87" s="14" t="inlineStr">
        <is>
          <t>מטה ופתילים - העברה בין חברות</t>
        </is>
      </c>
      <c r="C87" s="24" t="n">
        <v>25000</v>
      </c>
      <c r="D87" s="27" t="n"/>
      <c r="E87" s="28" t="n">
        <v>35975.49000000002</v>
      </c>
      <c r="F87" s="30" t="inlineStr">
        <is>
          <t>פנימי-מטה ופתילים</t>
        </is>
      </c>
      <c r="G87" s="20" t="inlineStr">
        <is>
          <t>✅ הכנסה</t>
        </is>
      </c>
    </row>
    <row r="88" ht="14.25" customHeight="1" s="131">
      <c r="A88" s="5" t="inlineStr">
        <is>
          <t>31/07/2026</t>
        </is>
      </c>
      <c r="B88" s="6" t="inlineStr">
        <is>
          <t>בי אם גי כוח אדם - תשלום חלקי חשבונית עסקה 3000</t>
        </is>
      </c>
      <c r="C88" s="8" t="n"/>
      <c r="D88" s="9" t="n">
        <v>42764.64</v>
      </c>
      <c r="E88" s="11" t="n">
        <v>-6789.15</v>
      </c>
      <c r="F88" s="13" t="inlineStr">
        <is>
          <t>COGS-תאגיד</t>
        </is>
      </c>
      <c r="G88" s="5" t="inlineStr">
        <is>
          <t>📤 הוצאה</t>
        </is>
      </c>
    </row>
    <row r="89" ht="14.25" customHeight="1" s="131">
      <c r="A89" s="10" t="inlineStr">
        <is>
          <t>יתרת סגירה – 31/07/2026</t>
        </is>
      </c>
      <c r="B89" s="12" t="n"/>
      <c r="C89" s="15" t="n"/>
      <c r="D89" s="18" t="n"/>
      <c r="E89" s="57" t="n">
        <v>-6789.15</v>
      </c>
      <c r="F89" s="21" t="n"/>
      <c r="G89" s="16" t="n"/>
    </row>
    <row r="90" ht="14.25" customHeight="1" s="131"/>
    <row r="91" ht="14.25" customHeight="1" s="131">
      <c r="A91" s="58" t="inlineStr">
        <is>
          <t>✱ 🔁 = הוצאה קבועה חוזרת  |  יתרת הסגירה מהווה את יתרת הפתיחה של אוגוסט 2026</t>
        </is>
      </c>
    </row>
    <row r="92" ht="14.25" customHeight="1" s="131">
      <c r="A92" s="58" t="inlineStr">
        <is>
          <t>✅ כל הנתונים ליולי (01.07-31.07.2026) מאומתים במלואם מול דו"ח בנק לאומי המלא - הקטע הפנימי-הלא-מאומת הוחלף ב-13.08.2026, הפער של 94,567.57 נסגר</t>
        </is>
      </c>
    </row>
    <row r="93" ht="14.25" customHeight="1" s="131"/>
    <row r="94" ht="14.25" customHeight="1" s="131"/>
    <row r="95" ht="14.25" customHeight="1" s="131"/>
    <row r="96" ht="14.25" customHeight="1" s="131"/>
    <row r="97" ht="14.25" customHeight="1" s="131"/>
    <row r="98" ht="14.25" customHeight="1" s="131"/>
    <row r="99" ht="14.25" customHeight="1" s="131"/>
    <row r="100" ht="14.25" customHeight="1" s="131"/>
    <row r="101" ht="14.25" customHeight="1" s="131"/>
    <row r="102" ht="14.25" customHeight="1" s="131"/>
    <row r="103" ht="14.25" customHeight="1" s="131"/>
    <row r="104" ht="14.25" customHeight="1" s="131"/>
    <row r="105" ht="14.25" customHeight="1" s="131"/>
    <row r="106" ht="14.25" customHeight="1" s="131"/>
    <row r="107" ht="14.25" customHeight="1" s="131"/>
    <row r="108" ht="14.25" customHeight="1" s="131"/>
    <row r="109" ht="14.25" customHeight="1" s="131"/>
    <row r="110" ht="14.25" customHeight="1" s="131"/>
    <row r="111" ht="14.25" customHeight="1" s="131"/>
    <row r="112" ht="14.25" customHeight="1" s="131"/>
    <row r="113" ht="14.25" customHeight="1" s="131"/>
    <row r="114" ht="14.25" customHeight="1" s="131"/>
    <row r="115" ht="14.25" customHeight="1" s="131"/>
    <row r="116" ht="14.25" customHeight="1" s="131"/>
    <row r="117" ht="14.25" customHeight="1" s="131"/>
    <row r="118" ht="14.25" customHeight="1" s="131"/>
    <row r="119" ht="14.25" customHeight="1" s="131"/>
    <row r="120" ht="14.25" customHeight="1" s="131"/>
    <row r="121" ht="14.25" customHeight="1" s="131"/>
    <row r="122" ht="14.25" customHeight="1" s="131"/>
    <row r="123" ht="14.25" customHeight="1" s="131"/>
    <row r="124" ht="14.25" customHeight="1" s="131"/>
    <row r="125" ht="14.25" customHeight="1" s="131"/>
    <row r="126" ht="14.25" customHeight="1" s="131"/>
    <row r="127" ht="14.25" customHeight="1" s="131"/>
    <row r="128" ht="14.25" customHeight="1" s="131"/>
    <row r="129" ht="14.25" customHeight="1" s="131"/>
    <row r="130" ht="14.25" customHeight="1" s="131"/>
    <row r="131" ht="14.25" customHeight="1" s="131"/>
    <row r="132" ht="14.25" customHeight="1" s="131"/>
    <row r="133" ht="14.25" customHeight="1" s="131"/>
    <row r="134" ht="14.25" customHeight="1" s="131"/>
    <row r="135" ht="14.25" customHeight="1" s="131"/>
    <row r="136" ht="14.25" customHeight="1" s="131"/>
    <row r="137" ht="14.25" customHeight="1" s="131"/>
    <row r="138" ht="14.25" customHeight="1" s="131"/>
    <row r="139" ht="14.25" customHeight="1" s="131"/>
    <row r="140" ht="14.25" customHeight="1" s="131"/>
    <row r="141" ht="14.25" customHeight="1" s="131"/>
    <row r="142" ht="14.25" customHeight="1" s="131"/>
    <row r="143" ht="14.25" customHeight="1" s="131"/>
    <row r="144" ht="14.25" customHeight="1" s="131"/>
    <row r="145" ht="14.25" customHeight="1" s="131"/>
    <row r="146" ht="14.25" customHeight="1" s="131"/>
    <row r="147" ht="14.25" customHeight="1" s="131"/>
    <row r="148" ht="14.25" customHeight="1" s="131"/>
    <row r="149" ht="14.25" customHeight="1" s="131"/>
    <row r="150" ht="14.25" customHeight="1" s="131"/>
    <row r="151" ht="14.25" customHeight="1" s="131"/>
    <row r="152" ht="14.25" customHeight="1" s="131"/>
    <row r="153" ht="14.25" customHeight="1" s="131"/>
    <row r="154" ht="14.25" customHeight="1" s="131"/>
    <row r="155" ht="14.25" customHeight="1" s="131"/>
    <row r="156" ht="14.25" customHeight="1" s="131"/>
    <row r="157" ht="14.25" customHeight="1" s="131"/>
    <row r="158" ht="14.25" customHeight="1" s="131"/>
    <row r="159" ht="14.25" customHeight="1" s="131"/>
    <row r="160" ht="14.25" customHeight="1" s="131"/>
    <row r="161" ht="14.25" customHeight="1" s="131"/>
    <row r="162" ht="14.25" customHeight="1" s="131"/>
    <row r="163" ht="14.25" customHeight="1" s="131"/>
    <row r="164" ht="14.25" customHeight="1" s="131"/>
    <row r="165" ht="14.25" customHeight="1" s="131"/>
    <row r="166" ht="14.25" customHeight="1" s="131"/>
    <row r="167" ht="14.25" customHeight="1" s="131"/>
    <row r="168" ht="14.25" customHeight="1" s="131"/>
    <row r="169" ht="14.25" customHeight="1" s="131"/>
    <row r="170" ht="14.25" customHeight="1" s="131"/>
    <row r="171" ht="14.25" customHeight="1" s="131"/>
    <row r="172" ht="14.25" customHeight="1" s="131"/>
    <row r="173" ht="14.25" customHeight="1" s="131"/>
    <row r="174" ht="14.25" customHeight="1" s="131"/>
    <row r="175" ht="14.25" customHeight="1" s="131"/>
    <row r="176" ht="14.25" customHeight="1" s="131"/>
    <row r="177" ht="14.25" customHeight="1" s="131"/>
    <row r="178" ht="14.25" customHeight="1" s="131"/>
    <row r="179" ht="14.25" customHeight="1" s="131"/>
    <row r="180" ht="14.25" customHeight="1" s="131"/>
    <row r="181" ht="14.25" customHeight="1" s="131"/>
    <row r="182" ht="14.25" customHeight="1" s="131"/>
    <row r="183" ht="14.25" customHeight="1" s="131"/>
    <row r="184" ht="14.25" customHeight="1" s="131"/>
    <row r="185" ht="14.25" customHeight="1" s="131"/>
    <row r="186" ht="14.25" customHeight="1" s="131"/>
    <row r="187" ht="14.25" customHeight="1" s="131"/>
    <row r="188" ht="14.25" customHeight="1" s="131"/>
    <row r="189" ht="14.25" customHeight="1" s="131"/>
    <row r="190" ht="14.25" customHeight="1" s="131"/>
    <row r="191" ht="14.25" customHeight="1" s="131"/>
    <row r="192" ht="14.25" customHeight="1" s="131"/>
    <row r="193" ht="14.25" customHeight="1" s="131"/>
    <row r="194" ht="14.25" customHeight="1" s="131"/>
    <row r="195" ht="14.25" customHeight="1" s="131"/>
    <row r="196" ht="14.25" customHeight="1" s="131"/>
    <row r="197" ht="14.25" customHeight="1" s="131"/>
    <row r="198" ht="14.25" customHeight="1" s="131"/>
    <row r="199" ht="14.25" customHeight="1" s="131"/>
    <row r="200" ht="14.25" customHeight="1" s="131"/>
    <row r="201" ht="14.25" customHeight="1" s="131"/>
    <row r="202" ht="14.25" customHeight="1" s="131"/>
    <row r="203" ht="14.25" customHeight="1" s="131"/>
    <row r="204" ht="14.25" customHeight="1" s="131"/>
    <row r="205" ht="14.25" customHeight="1" s="131"/>
    <row r="206" ht="14.25" customHeight="1" s="131"/>
    <row r="207" ht="14.25" customHeight="1" s="131"/>
    <row r="208" ht="14.25" customHeight="1" s="131"/>
    <row r="209" ht="14.25" customHeight="1" s="131"/>
    <row r="210" ht="14.25" customHeight="1" s="131"/>
    <row r="211" ht="14.25" customHeight="1" s="131"/>
    <row r="212" ht="14.25" customHeight="1" s="131"/>
    <row r="213" ht="14.25" customHeight="1" s="131"/>
    <row r="214" ht="14.25" customHeight="1" s="131"/>
    <row r="215" ht="14.25" customHeight="1" s="131"/>
    <row r="216" ht="14.25" customHeight="1" s="131"/>
    <row r="217" ht="14.25" customHeight="1" s="131"/>
    <row r="218" ht="14.25" customHeight="1" s="131"/>
    <row r="219" ht="14.25" customHeight="1" s="131"/>
    <row r="220" ht="14.25" customHeight="1" s="131"/>
    <row r="221" ht="14.25" customHeight="1" s="131"/>
    <row r="222" ht="14.25" customHeight="1" s="131"/>
    <row r="223" ht="14.25" customHeight="1" s="131"/>
    <row r="224" ht="14.25" customHeight="1" s="131"/>
    <row r="225" ht="14.25" customHeight="1" s="131"/>
    <row r="226" ht="14.25" customHeight="1" s="131"/>
    <row r="227" ht="14.25" customHeight="1" s="131"/>
    <row r="228" ht="14.25" customHeight="1" s="131"/>
    <row r="229" ht="14.25" customHeight="1" s="131"/>
    <row r="230" ht="14.25" customHeight="1" s="131"/>
    <row r="231" ht="14.25" customHeight="1" s="131"/>
    <row r="232" ht="14.25" customHeight="1" s="131"/>
    <row r="233" ht="14.25" customHeight="1" s="131"/>
    <row r="234" ht="14.25" customHeight="1" s="131"/>
    <row r="235" ht="14.25" customHeight="1" s="131"/>
    <row r="236" ht="14.25" customHeight="1" s="131"/>
    <row r="237" ht="14.25" customHeight="1" s="131"/>
    <row r="238" ht="14.25" customHeight="1" s="131"/>
    <row r="239" ht="14.25" customHeight="1" s="131"/>
    <row r="240" ht="14.25" customHeight="1" s="131"/>
    <row r="241" ht="14.25" customHeight="1" s="131"/>
    <row r="242" ht="14.25" customHeight="1" s="131"/>
    <row r="243" ht="14.25" customHeight="1" s="131"/>
    <row r="244" ht="14.25" customHeight="1" s="131"/>
    <row r="245" ht="14.25" customHeight="1" s="131"/>
    <row r="246" ht="14.25" customHeight="1" s="131"/>
    <row r="247" ht="14.25" customHeight="1" s="131"/>
    <row r="248" ht="14.25" customHeight="1" s="131"/>
    <row r="249" ht="14.25" customHeight="1" s="131"/>
    <row r="250" ht="14.25" customHeight="1" s="131"/>
    <row r="251" ht="14.25" customHeight="1" s="131"/>
    <row r="252" ht="14.25" customHeight="1" s="131"/>
    <row r="253" ht="14.25" customHeight="1" s="131"/>
    <row r="254" ht="14.25" customHeight="1" s="131"/>
    <row r="255" ht="14.25" customHeight="1" s="131"/>
    <row r="256" ht="14.25" customHeight="1" s="131"/>
    <row r="257" ht="14.25" customHeight="1" s="131"/>
    <row r="258" ht="14.25" customHeight="1" s="131"/>
    <row r="259" ht="14.25" customHeight="1" s="131"/>
    <row r="260" ht="14.25" customHeight="1" s="131"/>
    <row r="261" ht="14.25" customHeight="1" s="131"/>
    <row r="262" ht="14.25" customHeight="1" s="131"/>
    <row r="263" ht="14.25" customHeight="1" s="131"/>
    <row r="264" ht="14.25" customHeight="1" s="131"/>
    <row r="265" ht="14.25" customHeight="1" s="131"/>
    <row r="266" ht="14.25" customHeight="1" s="131"/>
    <row r="267" ht="14.25" customHeight="1" s="131"/>
    <row r="268" ht="14.25" customHeight="1" s="131"/>
    <row r="269" ht="14.25" customHeight="1" s="131"/>
    <row r="270" ht="14.25" customHeight="1" s="131"/>
    <row r="271" ht="14.25" customHeight="1" s="131"/>
    <row r="272" ht="14.25" customHeight="1" s="131"/>
    <row r="273" ht="14.25" customHeight="1" s="131"/>
    <row r="274" ht="14.25" customHeight="1" s="131"/>
    <row r="275" ht="14.25" customHeight="1" s="131"/>
    <row r="276" ht="14.25" customHeight="1" s="131"/>
    <row r="277" ht="14.25" customHeight="1" s="131"/>
    <row r="278" ht="14.25" customHeight="1" s="131"/>
    <row r="279" ht="14.25" customHeight="1" s="131"/>
    <row r="280" ht="14.25" customHeight="1" s="131"/>
    <row r="281" ht="14.25" customHeight="1" s="131"/>
    <row r="282" ht="14.25" customHeight="1" s="131"/>
    <row r="283" ht="14.25" customHeight="1" s="131"/>
    <row r="284" ht="14.25" customHeight="1" s="131"/>
    <row r="285" ht="14.25" customHeight="1" s="131"/>
    <row r="286" ht="14.25" customHeight="1" s="131"/>
    <row r="287" ht="14.25" customHeight="1" s="131"/>
    <row r="288" ht="14.25" customHeight="1" s="131"/>
    <row r="289" ht="14.25" customHeight="1" s="131"/>
    <row r="290" ht="14.25" customHeight="1" s="131"/>
    <row r="291" ht="14.25" customHeight="1" s="131"/>
    <row r="292" ht="14.25" customHeight="1" s="131"/>
    <row r="293" ht="14.25" customHeight="1" s="131"/>
    <row r="294" ht="14.25" customHeight="1" s="131"/>
    <row r="295" ht="14.25" customHeight="1" s="131"/>
    <row r="296" ht="14.25" customHeight="1" s="131"/>
    <row r="297" ht="14.25" customHeight="1" s="131"/>
    <row r="298" ht="14.25" customHeight="1" s="131"/>
    <row r="299" ht="14.25" customHeight="1" s="131"/>
    <row r="300" ht="14.25" customHeight="1" s="131"/>
    <row r="301" ht="14.25" customHeight="1" s="131"/>
    <row r="302" ht="14.25" customHeight="1" s="131"/>
    <row r="303" ht="14.25" customHeight="1" s="131"/>
    <row r="304" ht="14.25" customHeight="1" s="131"/>
    <row r="305" ht="14.25" customHeight="1" s="131"/>
    <row r="306" ht="14.25" customHeight="1" s="131"/>
    <row r="307" ht="14.25" customHeight="1" s="131"/>
    <row r="308" ht="14.25" customHeight="1" s="131"/>
    <row r="309" ht="14.25" customHeight="1" s="131"/>
    <row r="310" ht="14.25" customHeight="1" s="131"/>
    <row r="311" ht="14.25" customHeight="1" s="131"/>
    <row r="312" ht="14.25" customHeight="1" s="131"/>
    <row r="313" ht="14.25" customHeight="1" s="131"/>
    <row r="314" ht="14.25" customHeight="1" s="131"/>
    <row r="315" ht="14.25" customHeight="1" s="131"/>
    <row r="316" ht="14.25" customHeight="1" s="131"/>
    <row r="317" ht="14.25" customHeight="1" s="131"/>
    <row r="318" ht="14.25" customHeight="1" s="131"/>
    <row r="319" ht="14.25" customHeight="1" s="131"/>
    <row r="320" ht="14.25" customHeight="1" s="131"/>
    <row r="321" ht="14.25" customHeight="1" s="131"/>
    <row r="322" ht="14.25" customHeight="1" s="131"/>
    <row r="323" ht="14.25" customHeight="1" s="131"/>
    <row r="324" ht="14.25" customHeight="1" s="131"/>
    <row r="325" ht="14.25" customHeight="1" s="131"/>
    <row r="326" ht="14.25" customHeight="1" s="131"/>
    <row r="327" ht="14.25" customHeight="1" s="131"/>
    <row r="328" ht="14.25" customHeight="1" s="131"/>
    <row r="329" ht="14.25" customHeight="1" s="131"/>
    <row r="330" ht="14.25" customHeight="1" s="131"/>
    <row r="331" ht="14.25" customHeight="1" s="131"/>
    <row r="332" ht="14.25" customHeight="1" s="131"/>
    <row r="333" ht="14.25" customHeight="1" s="131"/>
    <row r="334" ht="14.25" customHeight="1" s="131"/>
    <row r="335" ht="14.25" customHeight="1" s="131"/>
    <row r="336" ht="14.25" customHeight="1" s="131"/>
    <row r="337" ht="14.25" customHeight="1" s="131"/>
    <row r="338" ht="14.25" customHeight="1" s="131"/>
    <row r="339" ht="14.25" customHeight="1" s="131"/>
    <row r="340" ht="14.25" customHeight="1" s="131"/>
    <row r="341" ht="14.25" customHeight="1" s="131"/>
    <row r="342" ht="14.25" customHeight="1" s="131"/>
    <row r="343" ht="14.25" customHeight="1" s="131"/>
    <row r="344" ht="14.25" customHeight="1" s="131"/>
    <row r="345" ht="14.25" customHeight="1" s="131"/>
    <row r="346" ht="14.25" customHeight="1" s="131"/>
    <row r="347" ht="14.25" customHeight="1" s="131"/>
    <row r="348" ht="14.25" customHeight="1" s="131"/>
    <row r="349" ht="14.25" customHeight="1" s="131"/>
    <row r="350" ht="14.25" customHeight="1" s="131"/>
    <row r="351" ht="14.25" customHeight="1" s="131"/>
    <row r="352" ht="14.25" customHeight="1" s="131"/>
    <row r="353" ht="14.25" customHeight="1" s="131"/>
    <row r="354" ht="14.25" customHeight="1" s="131"/>
    <row r="355" ht="14.25" customHeight="1" s="131"/>
    <row r="356" ht="14.25" customHeight="1" s="131"/>
    <row r="357" ht="14.25" customHeight="1" s="131"/>
    <row r="358" ht="14.25" customHeight="1" s="131"/>
    <row r="359" ht="14.25" customHeight="1" s="131"/>
    <row r="360" ht="14.25" customHeight="1" s="131"/>
    <row r="361" ht="14.25" customHeight="1" s="131"/>
    <row r="362" ht="14.25" customHeight="1" s="131"/>
    <row r="363" ht="14.25" customHeight="1" s="131"/>
    <row r="364" ht="14.25" customHeight="1" s="131"/>
    <row r="365" ht="14.25" customHeight="1" s="131"/>
    <row r="366" ht="14.25" customHeight="1" s="131"/>
    <row r="367" ht="14.25" customHeight="1" s="131"/>
    <row r="368" ht="14.25" customHeight="1" s="131"/>
    <row r="369" ht="14.25" customHeight="1" s="131"/>
    <row r="370" ht="14.25" customHeight="1" s="131"/>
    <row r="371" ht="14.25" customHeight="1" s="131"/>
    <row r="372" ht="14.25" customHeight="1" s="131"/>
    <row r="373" ht="14.25" customHeight="1" s="131"/>
    <row r="374" ht="14.25" customHeight="1" s="131"/>
    <row r="375" ht="14.25" customHeight="1" s="131"/>
    <row r="376" ht="14.25" customHeight="1" s="131"/>
    <row r="377" ht="14.25" customHeight="1" s="131"/>
    <row r="378" ht="14.25" customHeight="1" s="131"/>
    <row r="379" ht="14.25" customHeight="1" s="131"/>
    <row r="380" ht="14.25" customHeight="1" s="131"/>
    <row r="381" ht="14.25" customHeight="1" s="131"/>
    <row r="382" ht="14.25" customHeight="1" s="131"/>
    <row r="383" ht="14.25" customHeight="1" s="131"/>
    <row r="384" ht="14.25" customHeight="1" s="131"/>
    <row r="385" ht="14.25" customHeight="1" s="131"/>
    <row r="386" ht="14.25" customHeight="1" s="131"/>
    <row r="387" ht="14.25" customHeight="1" s="131"/>
    <row r="388" ht="14.25" customHeight="1" s="131"/>
    <row r="389" ht="14.25" customHeight="1" s="131"/>
    <row r="390" ht="14.25" customHeight="1" s="131"/>
    <row r="391" ht="14.25" customHeight="1" s="131"/>
    <row r="392" ht="14.25" customHeight="1" s="131"/>
    <row r="393" ht="14.25" customHeight="1" s="131"/>
    <row r="394" ht="14.25" customHeight="1" s="131"/>
    <row r="395" ht="14.25" customHeight="1" s="131"/>
    <row r="396" ht="14.25" customHeight="1" s="131"/>
    <row r="397" ht="14.25" customHeight="1" s="131"/>
    <row r="398" ht="14.25" customHeight="1" s="131"/>
    <row r="399" ht="14.25" customHeight="1" s="131"/>
    <row r="400" ht="14.25" customHeight="1" s="131"/>
    <row r="401" ht="14.25" customHeight="1" s="131"/>
    <row r="402" ht="14.25" customHeight="1" s="131"/>
    <row r="403" ht="14.25" customHeight="1" s="131"/>
    <row r="404" ht="14.25" customHeight="1" s="131"/>
    <row r="405" ht="14.25" customHeight="1" s="131"/>
    <row r="406" ht="14.25" customHeight="1" s="131"/>
    <row r="407" ht="14.25" customHeight="1" s="131"/>
    <row r="408" ht="14.25" customHeight="1" s="131"/>
    <row r="409" ht="14.25" customHeight="1" s="131"/>
    <row r="410" ht="14.25" customHeight="1" s="131"/>
    <row r="411" ht="14.25" customHeight="1" s="131"/>
    <row r="412" ht="14.25" customHeight="1" s="131"/>
    <row r="413" ht="14.25" customHeight="1" s="131"/>
    <row r="414" ht="14.25" customHeight="1" s="131"/>
    <row r="415" ht="14.25" customHeight="1" s="131"/>
    <row r="416" ht="14.25" customHeight="1" s="131"/>
    <row r="417" ht="14.25" customHeight="1" s="131"/>
    <row r="418" ht="14.25" customHeight="1" s="131"/>
    <row r="419" ht="14.25" customHeight="1" s="131"/>
    <row r="420" ht="14.25" customHeight="1" s="131"/>
    <row r="421" ht="14.25" customHeight="1" s="131"/>
    <row r="422" ht="14.25" customHeight="1" s="131"/>
    <row r="423" ht="14.25" customHeight="1" s="131"/>
    <row r="424" ht="14.25" customHeight="1" s="131"/>
    <row r="425" ht="14.25" customHeight="1" s="131"/>
    <row r="426" ht="14.25" customHeight="1" s="131"/>
    <row r="427" ht="14.25" customHeight="1" s="131"/>
    <row r="428" ht="14.25" customHeight="1" s="131"/>
    <row r="429" ht="14.25" customHeight="1" s="131"/>
    <row r="430" ht="14.25" customHeight="1" s="131"/>
    <row r="431" ht="14.25" customHeight="1" s="131"/>
    <row r="432" ht="14.25" customHeight="1" s="131"/>
    <row r="433" ht="14.25" customHeight="1" s="131"/>
    <row r="434" ht="14.25" customHeight="1" s="131"/>
    <row r="435" ht="14.25" customHeight="1" s="131"/>
    <row r="436" ht="14.25" customHeight="1" s="131"/>
    <row r="437" ht="14.25" customHeight="1" s="131"/>
    <row r="438" ht="14.25" customHeight="1" s="131"/>
    <row r="439" ht="14.25" customHeight="1" s="131"/>
    <row r="440" ht="14.25" customHeight="1" s="131"/>
    <row r="441" ht="14.25" customHeight="1" s="131"/>
    <row r="442" ht="14.25" customHeight="1" s="131"/>
    <row r="443" ht="14.25" customHeight="1" s="131"/>
    <row r="444" ht="14.25" customHeight="1" s="131"/>
    <row r="445" ht="14.25" customHeight="1" s="131"/>
    <row r="446" ht="14.25" customHeight="1" s="131"/>
    <row r="447" ht="14.25" customHeight="1" s="131"/>
    <row r="448" ht="14.25" customHeight="1" s="131"/>
    <row r="449" ht="14.25" customHeight="1" s="131"/>
    <row r="450" ht="14.25" customHeight="1" s="131"/>
    <row r="451" ht="14.25" customHeight="1" s="131"/>
    <row r="452" ht="14.25" customHeight="1" s="131"/>
    <row r="453" ht="14.25" customHeight="1" s="131"/>
    <row r="454" ht="14.25" customHeight="1" s="131"/>
    <row r="455" ht="14.25" customHeight="1" s="131"/>
    <row r="456" ht="14.25" customHeight="1" s="131"/>
    <row r="457" ht="14.25" customHeight="1" s="131"/>
    <row r="458" ht="14.25" customHeight="1" s="131"/>
    <row r="459" ht="14.25" customHeight="1" s="131"/>
    <row r="460" ht="14.25" customHeight="1" s="131"/>
    <row r="461" ht="14.25" customHeight="1" s="131"/>
    <row r="462" ht="14.25" customHeight="1" s="131"/>
    <row r="463" ht="14.25" customHeight="1" s="131"/>
    <row r="464" ht="14.25" customHeight="1" s="131"/>
    <row r="465" ht="14.25" customHeight="1" s="131"/>
    <row r="466" ht="14.25" customHeight="1" s="131"/>
    <row r="467" ht="14.25" customHeight="1" s="131"/>
    <row r="468" ht="14.25" customHeight="1" s="131"/>
    <row r="469" ht="14.25" customHeight="1" s="131"/>
    <row r="470" ht="14.25" customHeight="1" s="131"/>
    <row r="471" ht="14.25" customHeight="1" s="131"/>
    <row r="472" ht="14.25" customHeight="1" s="131"/>
    <row r="473" ht="14.25" customHeight="1" s="131"/>
    <row r="474" ht="14.25" customHeight="1" s="131"/>
    <row r="475" ht="14.25" customHeight="1" s="131"/>
    <row r="476" ht="14.25" customHeight="1" s="131"/>
    <row r="477" ht="14.25" customHeight="1" s="131"/>
    <row r="478" ht="14.25" customHeight="1" s="131"/>
    <row r="479" ht="14.25" customHeight="1" s="131"/>
    <row r="480" ht="14.25" customHeight="1" s="131"/>
    <row r="481" ht="14.25" customHeight="1" s="131"/>
    <row r="482" ht="14.25" customHeight="1" s="131"/>
    <row r="483" ht="14.25" customHeight="1" s="131"/>
    <row r="484" ht="14.25" customHeight="1" s="131"/>
    <row r="485" ht="14.25" customHeight="1" s="131"/>
    <row r="486" ht="14.25" customHeight="1" s="131"/>
    <row r="487" ht="14.25" customHeight="1" s="131"/>
    <row r="488" ht="14.25" customHeight="1" s="131"/>
    <row r="489" ht="14.25" customHeight="1" s="131"/>
    <row r="490" ht="14.25" customHeight="1" s="131"/>
    <row r="491" ht="14.25" customHeight="1" s="131"/>
    <row r="492" ht="14.25" customHeight="1" s="131"/>
    <row r="493" ht="14.25" customHeight="1" s="131"/>
    <row r="494" ht="14.25" customHeight="1" s="131"/>
    <row r="495" ht="14.25" customHeight="1" s="131"/>
    <row r="496" ht="14.25" customHeight="1" s="131"/>
    <row r="497" ht="14.25" customHeight="1" s="131"/>
    <row r="498" ht="14.25" customHeight="1" s="131"/>
    <row r="499" ht="14.25" customHeight="1" s="131"/>
    <row r="500" ht="14.25" customHeight="1" s="131"/>
    <row r="501" ht="14.25" customHeight="1" s="131"/>
    <row r="502" ht="14.25" customHeight="1" s="131"/>
    <row r="503" ht="14.25" customHeight="1" s="131"/>
    <row r="504" ht="14.25" customHeight="1" s="131"/>
    <row r="505" ht="14.25" customHeight="1" s="131"/>
    <row r="506" ht="14.25" customHeight="1" s="131"/>
    <row r="507" ht="14.25" customHeight="1" s="131"/>
    <row r="508" ht="14.25" customHeight="1" s="131"/>
    <row r="509" ht="14.25" customHeight="1" s="131"/>
    <row r="510" ht="14.25" customHeight="1" s="131"/>
    <row r="511" ht="14.25" customHeight="1" s="131"/>
    <row r="512" ht="14.25" customHeight="1" s="131"/>
    <row r="513" ht="14.25" customHeight="1" s="131"/>
    <row r="514" ht="14.25" customHeight="1" s="131"/>
    <row r="515" ht="14.25" customHeight="1" s="131"/>
    <row r="516" ht="14.25" customHeight="1" s="131"/>
    <row r="517" ht="14.25" customHeight="1" s="131"/>
    <row r="518" ht="14.25" customHeight="1" s="131"/>
    <row r="519" ht="14.25" customHeight="1" s="131"/>
    <row r="520" ht="14.25" customHeight="1" s="131"/>
    <row r="521" ht="14.25" customHeight="1" s="131"/>
    <row r="522" ht="14.25" customHeight="1" s="131"/>
    <row r="523" ht="14.25" customHeight="1" s="131"/>
    <row r="524" ht="14.25" customHeight="1" s="131"/>
    <row r="525" ht="14.25" customHeight="1" s="131"/>
    <row r="526" ht="14.25" customHeight="1" s="131"/>
    <row r="527" ht="14.25" customHeight="1" s="131"/>
    <row r="528" ht="14.25" customHeight="1" s="131"/>
    <row r="529" ht="14.25" customHeight="1" s="131"/>
    <row r="530" ht="14.25" customHeight="1" s="131"/>
    <row r="531" ht="14.25" customHeight="1" s="131"/>
    <row r="532" ht="14.25" customHeight="1" s="131"/>
    <row r="533" ht="14.25" customHeight="1" s="131"/>
    <row r="534" ht="14.25" customHeight="1" s="131"/>
    <row r="535" ht="14.25" customHeight="1" s="131"/>
    <row r="536" ht="14.25" customHeight="1" s="131"/>
    <row r="537" ht="14.25" customHeight="1" s="131"/>
    <row r="538" ht="14.25" customHeight="1" s="131"/>
    <row r="539" ht="14.25" customHeight="1" s="131"/>
    <row r="540" ht="14.25" customHeight="1" s="131"/>
    <row r="541" ht="14.25" customHeight="1" s="131"/>
    <row r="542" ht="14.25" customHeight="1" s="131"/>
    <row r="543" ht="14.25" customHeight="1" s="131"/>
    <row r="544" ht="14.25" customHeight="1" s="131"/>
    <row r="545" ht="14.25" customHeight="1" s="131"/>
    <row r="546" ht="14.25" customHeight="1" s="131"/>
    <row r="547" ht="14.25" customHeight="1" s="131"/>
    <row r="548" ht="14.25" customHeight="1" s="131"/>
    <row r="549" ht="14.25" customHeight="1" s="131"/>
    <row r="550" ht="14.25" customHeight="1" s="131"/>
    <row r="551" ht="14.25" customHeight="1" s="131"/>
    <row r="552" ht="14.25" customHeight="1" s="131"/>
    <row r="553" ht="14.25" customHeight="1" s="131"/>
    <row r="554" ht="14.25" customHeight="1" s="131"/>
    <row r="555" ht="14.25" customHeight="1" s="131"/>
    <row r="556" ht="14.25" customHeight="1" s="131"/>
    <row r="557" ht="14.25" customHeight="1" s="131"/>
    <row r="558" ht="14.25" customHeight="1" s="131"/>
    <row r="559" ht="14.25" customHeight="1" s="131"/>
    <row r="560" ht="14.25" customHeight="1" s="131"/>
    <row r="561" ht="14.25" customHeight="1" s="131"/>
    <row r="562" ht="14.25" customHeight="1" s="131"/>
    <row r="563" ht="14.25" customHeight="1" s="131"/>
    <row r="564" ht="14.25" customHeight="1" s="131"/>
    <row r="565" ht="14.25" customHeight="1" s="131"/>
    <row r="566" ht="14.25" customHeight="1" s="131"/>
    <row r="567" ht="14.25" customHeight="1" s="131"/>
    <row r="568" ht="14.25" customHeight="1" s="131"/>
    <row r="569" ht="14.25" customHeight="1" s="131"/>
    <row r="570" ht="14.25" customHeight="1" s="131"/>
    <row r="571" ht="14.25" customHeight="1" s="131"/>
    <row r="572" ht="14.25" customHeight="1" s="131"/>
    <row r="573" ht="14.25" customHeight="1" s="131"/>
    <row r="574" ht="14.25" customHeight="1" s="131"/>
    <row r="575" ht="14.25" customHeight="1" s="131"/>
    <row r="576" ht="14.25" customHeight="1" s="131"/>
    <row r="577" ht="14.25" customHeight="1" s="131"/>
    <row r="578" ht="14.25" customHeight="1" s="131"/>
    <row r="579" ht="14.25" customHeight="1" s="131"/>
    <row r="580" ht="14.25" customHeight="1" s="131"/>
    <row r="581" ht="14.25" customHeight="1" s="131"/>
    <row r="582" ht="14.25" customHeight="1" s="131"/>
    <row r="583" ht="14.25" customHeight="1" s="131"/>
    <row r="584" ht="14.25" customHeight="1" s="131"/>
    <row r="585" ht="14.25" customHeight="1" s="131"/>
    <row r="586" ht="14.25" customHeight="1" s="131"/>
    <row r="587" ht="14.25" customHeight="1" s="131"/>
    <row r="588" ht="14.25" customHeight="1" s="131"/>
    <row r="589" ht="14.25" customHeight="1" s="131"/>
    <row r="590" ht="14.25" customHeight="1" s="131"/>
    <row r="591" ht="14.25" customHeight="1" s="131"/>
    <row r="592" ht="14.25" customHeight="1" s="131"/>
    <row r="593" ht="14.25" customHeight="1" s="131"/>
    <row r="594" ht="14.25" customHeight="1" s="131"/>
    <row r="595" ht="14.25" customHeight="1" s="131"/>
    <row r="596" ht="14.25" customHeight="1" s="131"/>
    <row r="597" ht="14.25" customHeight="1" s="131"/>
    <row r="598" ht="14.25" customHeight="1" s="131"/>
    <row r="599" ht="14.25" customHeight="1" s="131"/>
    <row r="600" ht="14.25" customHeight="1" s="131"/>
    <row r="601" ht="14.25" customHeight="1" s="131"/>
    <row r="602" ht="14.25" customHeight="1" s="131"/>
    <row r="603" ht="14.25" customHeight="1" s="131"/>
    <row r="604" ht="14.25" customHeight="1" s="131"/>
    <row r="605" ht="14.25" customHeight="1" s="131"/>
    <row r="606" ht="14.25" customHeight="1" s="131"/>
    <row r="607" ht="14.25" customHeight="1" s="131"/>
    <row r="608" ht="14.25" customHeight="1" s="131"/>
    <row r="609" ht="14.25" customHeight="1" s="131"/>
    <row r="610" ht="14.25" customHeight="1" s="131"/>
    <row r="611" ht="14.25" customHeight="1" s="131"/>
    <row r="612" ht="14.25" customHeight="1" s="131"/>
    <row r="613" ht="14.25" customHeight="1" s="131"/>
    <row r="614" ht="14.25" customHeight="1" s="131"/>
    <row r="615" ht="14.25" customHeight="1" s="131"/>
    <row r="616" ht="14.25" customHeight="1" s="131"/>
    <row r="617" ht="14.25" customHeight="1" s="131"/>
    <row r="618" ht="14.25" customHeight="1" s="131"/>
    <row r="619" ht="14.25" customHeight="1" s="131"/>
    <row r="620" ht="14.25" customHeight="1" s="131"/>
    <row r="621" ht="14.25" customHeight="1" s="131"/>
    <row r="622" ht="14.25" customHeight="1" s="131"/>
    <row r="623" ht="14.25" customHeight="1" s="131"/>
    <row r="624" ht="14.25" customHeight="1" s="131"/>
    <row r="625" ht="14.25" customHeight="1" s="131"/>
    <row r="626" ht="14.25" customHeight="1" s="131"/>
    <row r="627" ht="14.25" customHeight="1" s="131"/>
    <row r="628" ht="14.25" customHeight="1" s="131"/>
    <row r="629" ht="14.25" customHeight="1" s="131"/>
    <row r="630" ht="14.25" customHeight="1" s="131"/>
    <row r="631" ht="14.25" customHeight="1" s="131"/>
    <row r="632" ht="14.25" customHeight="1" s="131"/>
    <row r="633" ht="14.25" customHeight="1" s="131"/>
    <row r="634" ht="14.25" customHeight="1" s="131"/>
    <row r="635" ht="14.25" customHeight="1" s="131"/>
    <row r="636" ht="14.25" customHeight="1" s="131"/>
    <row r="637" ht="14.25" customHeight="1" s="131"/>
    <row r="638" ht="14.25" customHeight="1" s="131"/>
    <row r="639" ht="14.25" customHeight="1" s="131"/>
    <row r="640" ht="14.25" customHeight="1" s="131"/>
    <row r="641" ht="14.25" customHeight="1" s="131"/>
    <row r="642" ht="14.25" customHeight="1" s="131"/>
    <row r="643" ht="14.25" customHeight="1" s="131"/>
    <row r="644" ht="14.25" customHeight="1" s="131"/>
    <row r="645" ht="14.25" customHeight="1" s="131"/>
    <row r="646" ht="14.25" customHeight="1" s="131"/>
    <row r="647" ht="14.25" customHeight="1" s="131"/>
    <row r="648" ht="14.25" customHeight="1" s="131"/>
    <row r="649" ht="14.25" customHeight="1" s="131"/>
    <row r="650" ht="14.25" customHeight="1" s="131"/>
    <row r="651" ht="14.25" customHeight="1" s="131"/>
    <row r="652" ht="14.25" customHeight="1" s="131"/>
    <row r="653" ht="14.25" customHeight="1" s="131"/>
    <row r="654" ht="14.25" customHeight="1" s="131"/>
    <row r="655" ht="14.25" customHeight="1" s="131"/>
    <row r="656" ht="14.25" customHeight="1" s="131"/>
    <row r="657" ht="14.25" customHeight="1" s="131"/>
    <row r="658" ht="14.25" customHeight="1" s="131"/>
    <row r="659" ht="14.25" customHeight="1" s="131"/>
    <row r="660" ht="14.25" customHeight="1" s="131"/>
    <row r="661" ht="14.25" customHeight="1" s="131"/>
    <row r="662" ht="14.25" customHeight="1" s="131"/>
    <row r="663" ht="14.25" customHeight="1" s="131"/>
    <row r="664" ht="14.25" customHeight="1" s="131"/>
    <row r="665" ht="14.25" customHeight="1" s="131"/>
    <row r="666" ht="14.25" customHeight="1" s="131"/>
    <row r="667" ht="14.25" customHeight="1" s="131"/>
    <row r="668" ht="14.25" customHeight="1" s="131"/>
    <row r="669" ht="14.25" customHeight="1" s="131"/>
    <row r="670" ht="14.25" customHeight="1" s="131"/>
    <row r="671" ht="14.25" customHeight="1" s="131"/>
    <row r="672" ht="14.25" customHeight="1" s="131"/>
    <row r="673" ht="14.25" customHeight="1" s="131"/>
    <row r="674" ht="14.25" customHeight="1" s="131"/>
    <row r="675" ht="14.25" customHeight="1" s="131"/>
    <row r="676" ht="14.25" customHeight="1" s="131"/>
    <row r="677" ht="14.25" customHeight="1" s="131"/>
    <row r="678" ht="14.25" customHeight="1" s="131"/>
    <row r="679" ht="14.25" customHeight="1" s="131"/>
    <row r="680" ht="14.25" customHeight="1" s="131"/>
    <row r="681" ht="14.25" customHeight="1" s="131"/>
    <row r="682" ht="14.25" customHeight="1" s="131"/>
    <row r="683" ht="14.25" customHeight="1" s="131"/>
    <row r="684" ht="14.25" customHeight="1" s="131"/>
    <row r="685" ht="14.25" customHeight="1" s="131"/>
    <row r="686" ht="14.25" customHeight="1" s="131"/>
    <row r="687" ht="14.25" customHeight="1" s="131"/>
    <row r="688" ht="14.25" customHeight="1" s="131"/>
    <row r="689" ht="14.25" customHeight="1" s="131"/>
    <row r="690" ht="14.25" customHeight="1" s="131"/>
    <row r="691" ht="14.25" customHeight="1" s="131"/>
    <row r="692" ht="14.25" customHeight="1" s="131"/>
    <row r="693" ht="14.25" customHeight="1" s="131"/>
    <row r="694" ht="14.25" customHeight="1" s="131"/>
    <row r="695" ht="14.25" customHeight="1" s="131"/>
    <row r="696" ht="14.25" customHeight="1" s="131"/>
    <row r="697" ht="14.25" customHeight="1" s="131"/>
    <row r="698" ht="14.25" customHeight="1" s="131"/>
    <row r="699" ht="14.25" customHeight="1" s="131"/>
    <row r="700" ht="14.25" customHeight="1" s="131"/>
    <row r="701" ht="14.25" customHeight="1" s="131"/>
    <row r="702" ht="14.25" customHeight="1" s="131"/>
    <row r="703" ht="14.25" customHeight="1" s="131"/>
    <row r="704" ht="14.25" customHeight="1" s="131"/>
    <row r="705" ht="14.25" customHeight="1" s="131"/>
    <row r="706" ht="14.25" customHeight="1" s="131"/>
    <row r="707" ht="14.25" customHeight="1" s="131"/>
    <row r="708" ht="14.25" customHeight="1" s="131"/>
    <row r="709" ht="14.25" customHeight="1" s="131"/>
    <row r="710" ht="14.25" customHeight="1" s="131"/>
    <row r="711" ht="14.25" customHeight="1" s="131"/>
    <row r="712" ht="14.25" customHeight="1" s="131"/>
    <row r="713" ht="14.25" customHeight="1" s="131"/>
    <row r="714" ht="14.25" customHeight="1" s="131"/>
    <row r="715" ht="14.25" customHeight="1" s="131"/>
    <row r="716" ht="14.25" customHeight="1" s="131"/>
    <row r="717" ht="14.25" customHeight="1" s="131"/>
    <row r="718" ht="14.25" customHeight="1" s="131"/>
    <row r="719" ht="14.25" customHeight="1" s="131"/>
    <row r="720" ht="14.25" customHeight="1" s="131"/>
    <row r="721" ht="14.25" customHeight="1" s="131"/>
    <row r="722" ht="14.25" customHeight="1" s="131"/>
    <row r="723" ht="14.25" customHeight="1" s="131"/>
    <row r="724" ht="14.25" customHeight="1" s="131"/>
    <row r="725" ht="14.25" customHeight="1" s="131"/>
    <row r="726" ht="14.25" customHeight="1" s="131"/>
    <row r="727" ht="14.25" customHeight="1" s="131"/>
    <row r="728" ht="14.25" customHeight="1" s="131"/>
    <row r="729" ht="14.25" customHeight="1" s="131"/>
    <row r="730" ht="14.25" customHeight="1" s="131"/>
    <row r="731" ht="14.25" customHeight="1" s="131"/>
    <row r="732" ht="14.25" customHeight="1" s="131"/>
    <row r="733" ht="14.25" customHeight="1" s="131"/>
    <row r="734" ht="14.25" customHeight="1" s="131"/>
    <row r="735" ht="14.25" customHeight="1" s="131"/>
    <row r="736" ht="14.25" customHeight="1" s="131"/>
    <row r="737" ht="14.25" customHeight="1" s="131"/>
    <row r="738" ht="14.25" customHeight="1" s="131"/>
    <row r="739" ht="14.25" customHeight="1" s="131"/>
    <row r="740" ht="14.25" customHeight="1" s="131"/>
    <row r="741" ht="14.25" customHeight="1" s="131"/>
    <row r="742" ht="14.25" customHeight="1" s="131"/>
    <row r="743" ht="14.25" customHeight="1" s="131"/>
    <row r="744" ht="14.25" customHeight="1" s="131"/>
    <row r="745" ht="14.25" customHeight="1" s="131"/>
    <row r="746" ht="14.25" customHeight="1" s="131"/>
    <row r="747" ht="14.25" customHeight="1" s="131"/>
    <row r="748" ht="14.25" customHeight="1" s="131"/>
    <row r="749" ht="14.25" customHeight="1" s="131"/>
    <row r="750" ht="14.25" customHeight="1" s="131"/>
    <row r="751" ht="14.25" customHeight="1" s="131"/>
    <row r="752" ht="14.25" customHeight="1" s="131"/>
    <row r="753" ht="14.25" customHeight="1" s="131"/>
    <row r="754" ht="14.25" customHeight="1" s="131"/>
    <row r="755" ht="14.25" customHeight="1" s="131"/>
    <row r="756" ht="14.25" customHeight="1" s="131"/>
    <row r="757" ht="14.25" customHeight="1" s="131"/>
    <row r="758" ht="14.25" customHeight="1" s="131"/>
    <row r="759" ht="14.25" customHeight="1" s="131"/>
    <row r="760" ht="14.25" customHeight="1" s="131"/>
    <row r="761" ht="14.25" customHeight="1" s="131"/>
    <row r="762" ht="14.25" customHeight="1" s="131"/>
    <row r="763" ht="14.25" customHeight="1" s="131"/>
    <row r="764" ht="14.25" customHeight="1" s="131"/>
    <row r="765" ht="14.25" customHeight="1" s="131"/>
    <row r="766" ht="14.25" customHeight="1" s="131"/>
    <row r="767" ht="14.25" customHeight="1" s="131"/>
    <row r="768" ht="14.25" customHeight="1" s="131"/>
    <row r="769" ht="14.25" customHeight="1" s="131"/>
    <row r="770" ht="14.25" customHeight="1" s="131"/>
    <row r="771" ht="14.25" customHeight="1" s="131"/>
    <row r="772" ht="14.25" customHeight="1" s="131"/>
    <row r="773" ht="14.25" customHeight="1" s="131"/>
    <row r="774" ht="14.25" customHeight="1" s="131"/>
    <row r="775" ht="14.25" customHeight="1" s="131"/>
    <row r="776" ht="14.25" customHeight="1" s="131"/>
    <row r="777" ht="14.25" customHeight="1" s="131"/>
    <row r="778" ht="14.25" customHeight="1" s="131"/>
    <row r="779" ht="14.25" customHeight="1" s="131"/>
    <row r="780" ht="14.25" customHeight="1" s="131"/>
    <row r="781" ht="14.25" customHeight="1" s="131"/>
    <row r="782" ht="14.25" customHeight="1" s="131"/>
    <row r="783" ht="14.25" customHeight="1" s="131"/>
    <row r="784" ht="14.25" customHeight="1" s="131"/>
    <row r="785" ht="14.25" customHeight="1" s="131"/>
    <row r="786" ht="14.25" customHeight="1" s="131"/>
    <row r="787" ht="14.25" customHeight="1" s="131"/>
    <row r="788" ht="14.25" customHeight="1" s="131"/>
    <row r="789" ht="14.25" customHeight="1" s="131"/>
    <row r="790" ht="14.25" customHeight="1" s="131"/>
    <row r="791" ht="14.25" customHeight="1" s="131"/>
    <row r="792" ht="14.25" customHeight="1" s="131"/>
    <row r="793" ht="14.25" customHeight="1" s="131"/>
    <row r="794" ht="14.25" customHeight="1" s="131"/>
    <row r="795" ht="14.25" customHeight="1" s="131"/>
    <row r="796" ht="14.25" customHeight="1" s="131"/>
    <row r="797" ht="14.25" customHeight="1" s="131"/>
    <row r="798" ht="14.25" customHeight="1" s="131"/>
    <row r="799" ht="14.25" customHeight="1" s="131"/>
    <row r="800" ht="14.25" customHeight="1" s="131"/>
    <row r="801" ht="14.25" customHeight="1" s="131"/>
    <row r="802" ht="14.25" customHeight="1" s="131"/>
    <row r="803" ht="14.25" customHeight="1" s="131"/>
    <row r="804" ht="14.25" customHeight="1" s="131"/>
    <row r="805" ht="14.25" customHeight="1" s="131"/>
    <row r="806" ht="14.25" customHeight="1" s="131"/>
    <row r="807" ht="14.25" customHeight="1" s="131"/>
    <row r="808" ht="14.25" customHeight="1" s="131"/>
    <row r="809" ht="14.25" customHeight="1" s="131"/>
    <row r="810" ht="14.25" customHeight="1" s="131"/>
    <row r="811" ht="14.25" customHeight="1" s="131"/>
    <row r="812" ht="14.25" customHeight="1" s="131"/>
    <row r="813" ht="14.25" customHeight="1" s="131"/>
    <row r="814" ht="14.25" customHeight="1" s="131"/>
    <row r="815" ht="14.25" customHeight="1" s="131"/>
    <row r="816" ht="14.25" customHeight="1" s="131"/>
    <row r="817" ht="14.25" customHeight="1" s="131"/>
    <row r="818" ht="14.25" customHeight="1" s="131"/>
    <row r="819" ht="14.25" customHeight="1" s="131"/>
    <row r="820" ht="14.25" customHeight="1" s="131"/>
    <row r="821" ht="14.25" customHeight="1" s="131"/>
    <row r="822" ht="14.25" customHeight="1" s="131"/>
    <row r="823" ht="14.25" customHeight="1" s="131"/>
    <row r="824" ht="14.25" customHeight="1" s="131"/>
    <row r="825" ht="14.25" customHeight="1" s="131"/>
    <row r="826" ht="14.25" customHeight="1" s="131"/>
    <row r="827" ht="14.25" customHeight="1" s="131"/>
    <row r="828" ht="14.25" customHeight="1" s="131"/>
    <row r="829" ht="14.25" customHeight="1" s="131"/>
    <row r="830" ht="14.25" customHeight="1" s="131"/>
    <row r="831" ht="14.25" customHeight="1" s="131"/>
    <row r="832" ht="14.25" customHeight="1" s="131"/>
    <row r="833" ht="14.25" customHeight="1" s="131"/>
    <row r="834" ht="14.25" customHeight="1" s="131"/>
    <row r="835" ht="14.25" customHeight="1" s="131"/>
    <row r="836" ht="14.25" customHeight="1" s="131"/>
    <row r="837" ht="14.25" customHeight="1" s="131"/>
    <row r="838" ht="14.25" customHeight="1" s="131"/>
    <row r="839" ht="14.25" customHeight="1" s="131"/>
    <row r="840" ht="14.25" customHeight="1" s="131"/>
    <row r="841" ht="14.25" customHeight="1" s="131"/>
    <row r="842" ht="14.25" customHeight="1" s="131"/>
    <row r="843" ht="14.25" customHeight="1" s="131"/>
    <row r="844" ht="14.25" customHeight="1" s="131"/>
    <row r="845" ht="14.25" customHeight="1" s="131"/>
    <row r="846" ht="14.25" customHeight="1" s="131"/>
    <row r="847" ht="14.25" customHeight="1" s="131"/>
    <row r="848" ht="14.25" customHeight="1" s="131"/>
    <row r="849" ht="14.25" customHeight="1" s="131"/>
    <row r="850" ht="14.25" customHeight="1" s="131"/>
    <row r="851" ht="14.25" customHeight="1" s="131"/>
    <row r="852" ht="14.25" customHeight="1" s="131"/>
    <row r="853" ht="14.25" customHeight="1" s="131"/>
    <row r="854" ht="14.25" customHeight="1" s="131"/>
    <row r="855" ht="14.25" customHeight="1" s="131"/>
    <row r="856" ht="14.25" customHeight="1" s="131"/>
    <row r="857" ht="14.25" customHeight="1" s="131"/>
    <row r="858" ht="14.25" customHeight="1" s="131"/>
    <row r="859" ht="14.25" customHeight="1" s="131"/>
    <row r="860" ht="14.25" customHeight="1" s="131"/>
    <row r="861" ht="14.25" customHeight="1" s="131"/>
    <row r="862" ht="14.25" customHeight="1" s="131"/>
    <row r="863" ht="14.25" customHeight="1" s="131"/>
    <row r="864" ht="14.25" customHeight="1" s="131"/>
    <row r="865" ht="14.25" customHeight="1" s="131"/>
    <row r="866" ht="14.25" customHeight="1" s="131"/>
    <row r="867" ht="14.25" customHeight="1" s="131"/>
    <row r="868" ht="14.25" customHeight="1" s="131"/>
    <row r="869" ht="14.25" customHeight="1" s="131"/>
    <row r="870" ht="14.25" customHeight="1" s="131"/>
    <row r="871" ht="14.25" customHeight="1" s="131"/>
    <row r="872" ht="14.25" customHeight="1" s="131"/>
    <row r="873" ht="14.25" customHeight="1" s="131"/>
    <row r="874" ht="14.25" customHeight="1" s="131"/>
    <row r="875" ht="14.25" customHeight="1" s="131"/>
    <row r="876" ht="14.25" customHeight="1" s="131"/>
    <row r="877" ht="14.25" customHeight="1" s="131"/>
    <row r="878" ht="14.25" customHeight="1" s="131"/>
    <row r="879" ht="14.25" customHeight="1" s="131"/>
    <row r="880" ht="14.25" customHeight="1" s="131"/>
    <row r="881" ht="14.25" customHeight="1" s="131"/>
    <row r="882" ht="14.25" customHeight="1" s="131"/>
    <row r="883" ht="14.25" customHeight="1" s="131"/>
    <row r="884" ht="14.25" customHeight="1" s="131"/>
    <row r="885" ht="14.25" customHeight="1" s="131"/>
    <row r="886" ht="14.25" customHeight="1" s="131"/>
    <row r="887" ht="14.25" customHeight="1" s="131"/>
    <row r="888" ht="14.25" customHeight="1" s="131"/>
    <row r="889" ht="14.25" customHeight="1" s="131"/>
    <row r="890" ht="14.25" customHeight="1" s="131"/>
    <row r="891" ht="14.25" customHeight="1" s="131"/>
    <row r="892" ht="14.25" customHeight="1" s="131"/>
    <row r="893" ht="14.25" customHeight="1" s="131"/>
    <row r="894" ht="14.25" customHeight="1" s="131"/>
    <row r="895" ht="14.25" customHeight="1" s="131"/>
    <row r="896" ht="14.25" customHeight="1" s="131"/>
    <row r="897" ht="14.25" customHeight="1" s="131"/>
    <row r="898" ht="14.25" customHeight="1" s="131"/>
    <row r="899" ht="14.25" customHeight="1" s="131"/>
    <row r="900" ht="14.25" customHeight="1" s="131"/>
    <row r="901" ht="14.25" customHeight="1" s="131"/>
    <row r="902" ht="14.25" customHeight="1" s="131"/>
    <row r="903" ht="14.25" customHeight="1" s="131"/>
    <row r="904" ht="14.25" customHeight="1" s="131"/>
    <row r="905" ht="14.25" customHeight="1" s="131"/>
    <row r="906" ht="14.25" customHeight="1" s="131"/>
    <row r="907" ht="14.25" customHeight="1" s="131"/>
    <row r="908" ht="14.25" customHeight="1" s="131"/>
    <row r="909" ht="14.25" customHeight="1" s="131"/>
    <row r="910" ht="14.25" customHeight="1" s="131"/>
    <row r="911" ht="14.25" customHeight="1" s="131"/>
    <row r="912" ht="14.25" customHeight="1" s="131"/>
    <row r="913" ht="14.25" customHeight="1" s="131"/>
    <row r="914" ht="14.25" customHeight="1" s="131"/>
    <row r="915" ht="14.25" customHeight="1" s="131"/>
    <row r="916" ht="14.25" customHeight="1" s="131"/>
    <row r="917" ht="14.25" customHeight="1" s="131"/>
    <row r="918" ht="14.25" customHeight="1" s="131"/>
    <row r="919" ht="14.25" customHeight="1" s="131"/>
    <row r="920" ht="14.25" customHeight="1" s="131"/>
    <row r="921" ht="14.25" customHeight="1" s="131"/>
    <row r="922" ht="14.25" customHeight="1" s="131"/>
    <row r="923" ht="14.25" customHeight="1" s="131"/>
    <row r="924" ht="14.25" customHeight="1" s="131"/>
    <row r="925" ht="14.25" customHeight="1" s="131"/>
    <row r="926" ht="14.25" customHeight="1" s="131"/>
    <row r="927" ht="14.25" customHeight="1" s="131"/>
    <row r="928" ht="14.25" customHeight="1" s="131"/>
    <row r="929" ht="14.25" customHeight="1" s="131"/>
    <row r="930" ht="14.25" customHeight="1" s="131"/>
    <row r="931" ht="14.25" customHeight="1" s="131"/>
    <row r="932" ht="14.25" customHeight="1" s="131"/>
    <row r="933" ht="14.25" customHeight="1" s="131"/>
    <row r="934" ht="14.25" customHeight="1" s="131"/>
    <row r="935" ht="14.25" customHeight="1" s="131"/>
    <row r="936" ht="14.25" customHeight="1" s="131"/>
    <row r="937" ht="14.25" customHeight="1" s="131"/>
    <row r="938" ht="14.25" customHeight="1" s="131"/>
    <row r="939" ht="14.25" customHeight="1" s="131"/>
    <row r="940" ht="14.25" customHeight="1" s="131"/>
    <row r="941" ht="14.25" customHeight="1" s="131"/>
    <row r="942" ht="14.25" customHeight="1" s="131"/>
    <row r="943" ht="14.25" customHeight="1" s="131"/>
    <row r="944" ht="14.25" customHeight="1" s="131"/>
    <row r="945" ht="14.25" customHeight="1" s="131"/>
    <row r="946" ht="14.25" customHeight="1" s="131"/>
    <row r="947" ht="14.25" customHeight="1" s="131"/>
    <row r="948" ht="14.25" customHeight="1" s="131"/>
    <row r="949" ht="14.25" customHeight="1" s="131"/>
    <row r="950" ht="14.25" customHeight="1" s="131"/>
    <row r="951" ht="14.25" customHeight="1" s="131"/>
    <row r="952" ht="14.25" customHeight="1" s="131"/>
    <row r="953" ht="14.25" customHeight="1" s="131"/>
    <row r="954" ht="14.25" customHeight="1" s="131"/>
    <row r="955" ht="14.25" customHeight="1" s="131"/>
    <row r="956" ht="14.25" customHeight="1" s="131"/>
    <row r="957" ht="14.25" customHeight="1" s="131"/>
    <row r="958" ht="14.25" customHeight="1" s="131"/>
    <row r="959" ht="14.25" customHeight="1" s="131"/>
    <row r="960" ht="14.25" customHeight="1" s="131"/>
    <row r="961" ht="14.25" customHeight="1" s="131"/>
    <row r="962" ht="14.25" customHeight="1" s="131"/>
    <row r="963" ht="14.25" customHeight="1" s="131"/>
    <row r="964" ht="14.25" customHeight="1" s="131"/>
    <row r="965" ht="14.25" customHeight="1" s="131"/>
    <row r="966" ht="14.25" customHeight="1" s="131"/>
    <row r="967" ht="14.25" customHeight="1" s="131"/>
    <row r="968" ht="14.25" customHeight="1" s="131"/>
    <row r="969" ht="14.25" customHeight="1" s="131"/>
    <row r="970" ht="14.25" customHeight="1" s="131"/>
    <row r="971" ht="14.25" customHeight="1" s="131"/>
    <row r="972" ht="14.25" customHeight="1" s="131"/>
    <row r="973" ht="14.25" customHeight="1" s="131"/>
    <row r="974" ht="14.25" customHeight="1" s="131"/>
    <row r="975" ht="14.25" customHeight="1" s="131"/>
    <row r="976" ht="14.25" customHeight="1" s="131"/>
    <row r="977" ht="14.25" customHeight="1" s="131"/>
    <row r="978" ht="14.25" customHeight="1" s="131"/>
    <row r="979" ht="14.25" customHeight="1" s="131"/>
    <row r="980" ht="14.25" customHeight="1" s="131"/>
    <row r="981" ht="14.25" customHeight="1" s="131"/>
    <row r="982" ht="14.25" customHeight="1" s="131"/>
    <row r="983" ht="14.25" customHeight="1" s="131"/>
    <row r="984" ht="14.25" customHeight="1" s="131"/>
    <row r="985" ht="14.25" customHeight="1" s="131"/>
    <row r="986" ht="14.25" customHeight="1" s="131"/>
    <row r="987" ht="14.25" customHeight="1" s="131"/>
    <row r="988" ht="14.25" customHeight="1" s="131"/>
    <row r="989" ht="14.25" customHeight="1" s="131"/>
    <row r="990" ht="14.25" customHeight="1" s="131"/>
    <row r="991" ht="14.25" customHeight="1" s="131"/>
    <row r="992" ht="14.25" customHeight="1" s="131"/>
    <row r="993" ht="14.25" customHeight="1" s="131"/>
    <row r="994" ht="14.25" customHeight="1" s="131"/>
    <row r="995" ht="14.25" customHeight="1" s="131"/>
    <row r="996" ht="14.25" customHeight="1" s="131"/>
    <row r="997" ht="14.25" customHeight="1" s="131"/>
    <row r="998" ht="14.25" customHeight="1" s="131"/>
    <row r="999" ht="14.25" customHeight="1" s="131"/>
    <row r="1000" ht="14.25" customHeight="1" s="131"/>
  </sheetData>
  <mergeCells count="2">
    <mergeCell ref="A1:G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rightToLeft="1" workbookViewId="0">
      <pane ySplit="4" topLeftCell="A5" activePane="bottomLeft" state="frozen"/>
      <selection pane="bottomLeft" activeCell="B6" sqref="B6"/>
    </sheetView>
  </sheetViews>
  <sheetFormatPr baseColWidth="8" defaultColWidth="12.625" defaultRowHeight="15" customHeight="1"/>
  <cols>
    <col width="12" customWidth="1" style="131" min="1" max="1"/>
    <col width="38" customWidth="1" style="131" min="2" max="2"/>
    <col width="14.375" customWidth="1" style="131" min="3" max="3"/>
    <col width="13.5" customWidth="1" style="131" min="4" max="4"/>
    <col width="14.5" customWidth="1" style="131" min="5" max="5"/>
    <col width="42" customWidth="1" style="131" min="6" max="6"/>
    <col width="12" customWidth="1" style="131" min="7" max="7"/>
    <col width="17.75" customWidth="1" style="131" min="8" max="8"/>
    <col width="8.625" customWidth="1" style="131" min="9" max="26"/>
  </cols>
  <sheetData>
    <row r="1" ht="24" customHeight="1" s="131">
      <c r="A1" s="137" t="inlineStr">
        <is>
          <t>תזרים מזומנים – אוגוסט 2026  |  ישר שירותי קרקע לקבלן ולפועל בע"מ</t>
        </is>
      </c>
    </row>
    <row r="2" ht="14.25" customHeight="1" s="131">
      <c r="A2" s="140" t="inlineStr">
        <is>
          <t>יתרת פתיחה – 01/08/2026</t>
        </is>
      </c>
      <c r="E2" s="1" t="n">
        <v>-6789.15</v>
      </c>
      <c r="F2" s="2" t="n"/>
      <c r="G2" s="2" t="n"/>
    </row>
    <row r="3" ht="14.25" customHeight="1" s="131"/>
    <row r="4" ht="14.25" customHeight="1" s="131">
      <c r="A4" s="3" t="inlineStr">
        <is>
          <t>תאריך</t>
        </is>
      </c>
      <c r="B4" s="3" t="inlineStr">
        <is>
          <t>תיאור</t>
        </is>
      </c>
      <c r="C4" s="3" t="inlineStr">
        <is>
          <t>הכנסה (₪)</t>
        </is>
      </c>
      <c r="D4" s="3" t="inlineStr">
        <is>
          <t>הוצאה (₪)</t>
        </is>
      </c>
      <c r="E4" s="4" t="inlineStr">
        <is>
          <t>יתרה (₪)</t>
        </is>
      </c>
      <c r="F4" s="3" t="inlineStr">
        <is>
          <t>הערות</t>
        </is>
      </c>
      <c r="G4" s="3" t="inlineStr">
        <is>
          <t>סוג</t>
        </is>
      </c>
      <c r="H4" s="7" t="inlineStr">
        <is>
          <t>שייך להוצאות החודש?</t>
        </is>
      </c>
    </row>
    <row r="5" ht="14.25" customHeight="1" s="131">
      <c r="A5" s="5" t="inlineStr">
        <is>
          <t>02/08/2026</t>
        </is>
      </c>
      <c r="B5" s="6" t="inlineStr">
        <is>
          <t>משיכת מזומן</t>
        </is>
      </c>
      <c r="C5" s="8" t="n"/>
      <c r="D5" s="9" t="n">
        <v>600</v>
      </c>
      <c r="E5" s="17" t="n">
        <v>-7389.15</v>
      </c>
      <c r="F5" s="13" t="inlineStr">
        <is>
          <t>כרטיס 7327 – סניף 797</t>
        </is>
      </c>
      <c r="G5" s="5" t="inlineStr">
        <is>
          <t>📤 הוצאה</t>
        </is>
      </c>
      <c r="H5" s="22" t="n"/>
    </row>
    <row r="6" ht="14.25" customHeight="1" s="131">
      <c r="A6" s="16" t="inlineStr">
        <is>
          <t>02/08/2026</t>
        </is>
      </c>
      <c r="B6" s="12" t="inlineStr">
        <is>
          <t>עמלת ערוץ ישיר</t>
        </is>
      </c>
      <c r="C6" s="15" t="n"/>
      <c r="D6" s="18" t="n">
        <v>102.3</v>
      </c>
      <c r="E6" s="25" t="n">
        <v>-7491.45</v>
      </c>
      <c r="F6" s="21" t="inlineStr">
        <is>
          <t>קבועה</t>
        </is>
      </c>
      <c r="G6" s="16" t="inlineStr">
        <is>
          <t>🔁 קבוע</t>
        </is>
      </c>
      <c r="H6" s="26" t="inlineStr">
        <is>
          <t>כן</t>
        </is>
      </c>
    </row>
    <row r="7" ht="14.25" customHeight="1" s="131">
      <c r="A7" s="16" t="inlineStr">
        <is>
          <t>02/08/2026</t>
        </is>
      </c>
      <c r="B7" s="12" t="inlineStr">
        <is>
          <t>דיינרס קלאב – כרטיס אשראי</t>
        </is>
      </c>
      <c r="C7" s="15" t="n"/>
      <c r="D7" s="18" t="n">
        <v>7967.22</v>
      </c>
      <c r="E7" s="25" t="n">
        <v>-15458.67</v>
      </c>
      <c r="F7" s="21" t="inlineStr">
        <is>
          <t>קבועה</t>
        </is>
      </c>
      <c r="G7" s="16" t="inlineStr">
        <is>
          <t>🔁 קבוע</t>
        </is>
      </c>
      <c r="H7" s="26" t="inlineStr">
        <is>
          <t>כן</t>
        </is>
      </c>
    </row>
    <row r="8" ht="14.25" customHeight="1" s="131">
      <c r="A8" s="16" t="inlineStr">
        <is>
          <t>02/08/2026</t>
        </is>
      </c>
      <c r="B8" s="12" t="inlineStr">
        <is>
          <t>לאומי ויזה – כרטיס אשראי</t>
        </is>
      </c>
      <c r="C8" s="15" t="n"/>
      <c r="D8" s="18" t="n">
        <v>2526.1</v>
      </c>
      <c r="E8" s="25" t="n">
        <v>-17984.77</v>
      </c>
      <c r="F8" s="21" t="inlineStr">
        <is>
          <t>קבועה</t>
        </is>
      </c>
      <c r="G8" s="16" t="inlineStr">
        <is>
          <t>🔁 קבוע</t>
        </is>
      </c>
      <c r="H8" s="26" t="inlineStr">
        <is>
          <t>כן</t>
        </is>
      </c>
    </row>
    <row r="9" ht="14.25" customHeight="1" s="131">
      <c r="A9" s="16" t="inlineStr">
        <is>
          <t>02/08/2026</t>
        </is>
      </c>
      <c r="B9" s="12" t="inlineStr">
        <is>
          <t>מקס איט פיננסי – כרטיס אשראי</t>
        </is>
      </c>
      <c r="C9" s="15" t="n"/>
      <c r="D9" s="18" t="n">
        <v>4486.53</v>
      </c>
      <c r="E9" s="25" t="n">
        <v>-22471.3</v>
      </c>
      <c r="F9" s="21" t="inlineStr">
        <is>
          <t>קבועה</t>
        </is>
      </c>
      <c r="G9" s="16" t="inlineStr">
        <is>
          <t>🔁 קבוע</t>
        </is>
      </c>
      <c r="H9" s="26" t="inlineStr">
        <is>
          <t>כן</t>
        </is>
      </c>
    </row>
    <row r="10" ht="14.25" customHeight="1" s="131">
      <c r="A10" s="16" t="inlineStr">
        <is>
          <t>02/08/2026</t>
        </is>
      </c>
      <c r="B10" s="12" t="inlineStr">
        <is>
          <t>שהנאז ייזום</t>
        </is>
      </c>
      <c r="C10" s="15" t="n"/>
      <c r="D10" s="18" t="n">
        <v>9167</v>
      </c>
      <c r="E10" s="25" t="n">
        <v>-31638.3</v>
      </c>
      <c r="F10" s="21" t="inlineStr">
        <is>
          <t>קבועה</t>
        </is>
      </c>
      <c r="G10" s="16" t="inlineStr">
        <is>
          <t>🔁 קבוע</t>
        </is>
      </c>
      <c r="H10" s="26" t="inlineStr">
        <is>
          <t>כן</t>
        </is>
      </c>
    </row>
    <row r="11" ht="14.25" customHeight="1" s="131">
      <c r="A11" s="20" t="inlineStr">
        <is>
          <t>03/08/2026</t>
        </is>
      </c>
      <c r="B11" s="14" t="inlineStr">
        <is>
          <t>המרת מט״ח – 760 דולר</t>
        </is>
      </c>
      <c r="C11" s="24" t="n">
        <v>2284.05</v>
      </c>
      <c r="D11" s="27" t="n"/>
      <c r="E11" s="31" t="n">
        <v>-29354.25</v>
      </c>
      <c r="F11" s="30" t="inlineStr">
        <is>
          <t>שע״ח 3.0285 בניכוי עמלה 17.61</t>
        </is>
      </c>
      <c r="G11" s="20" t="inlineStr">
        <is>
          <t>✅ הכנסה</t>
        </is>
      </c>
      <c r="H11" s="33" t="n"/>
    </row>
    <row r="12" ht="14.25" customHeight="1" s="131">
      <c r="A12" s="20" t="inlineStr">
        <is>
          <t>03/08/2026</t>
        </is>
      </c>
      <c r="B12" s="14" t="inlineStr">
        <is>
          <t>אחים לימור (בנק מזרחי)</t>
        </is>
      </c>
      <c r="C12" s="24" t="n">
        <v>64257.58</v>
      </c>
      <c r="D12" s="27" t="n"/>
      <c r="E12" s="36" t="n">
        <v>34903.33</v>
      </c>
      <c r="F12" s="30" t="inlineStr">
        <is>
          <t>חן 50535 – שכירות עד אוגוסט + ארנונה</t>
        </is>
      </c>
      <c r="G12" s="20" t="inlineStr">
        <is>
          <t>✅ הכנסה</t>
        </is>
      </c>
      <c r="H12" s="33" t="n"/>
    </row>
    <row r="13" ht="14.25" customHeight="1" s="131">
      <c r="A13" s="16" t="inlineStr">
        <is>
          <t>04/08/2026</t>
        </is>
      </c>
      <c r="B13" s="12" t="inlineStr">
        <is>
          <t>ביטוח לאומי</t>
        </is>
      </c>
      <c r="C13" s="15" t="n"/>
      <c r="D13" s="18" t="n">
        <v>3908</v>
      </c>
      <c r="E13" s="41" t="n">
        <v>30995.33</v>
      </c>
      <c r="F13" s="21" t="inlineStr">
        <is>
          <t>קבועה</t>
        </is>
      </c>
      <c r="G13" s="16" t="inlineStr">
        <is>
          <t>🔁 קבוע</t>
        </is>
      </c>
      <c r="H13" s="26" t="inlineStr">
        <is>
          <t>כן</t>
        </is>
      </c>
    </row>
    <row r="14" ht="14.25" customHeight="1" s="131">
      <c r="A14" s="20" t="inlineStr">
        <is>
          <t>04/08/2026</t>
        </is>
      </c>
      <c r="B14" s="14" t="inlineStr">
        <is>
          <t>אליעזר הקר אלומיניום (בנק מזרחי)</t>
        </is>
      </c>
      <c r="C14" s="24" t="n">
        <v>10089</v>
      </c>
      <c r="D14" s="27" t="n"/>
      <c r="E14" s="36" t="n">
        <v>41084.33</v>
      </c>
      <c r="F14" s="30" t="inlineStr">
        <is>
          <t>תשלום חודש יולי</t>
        </is>
      </c>
      <c r="G14" s="20" t="inlineStr">
        <is>
          <t>✅ הכנסה</t>
        </is>
      </c>
      <c r="H14" s="33" t="n"/>
    </row>
    <row r="15" ht="14.25" customHeight="1" s="131">
      <c r="A15" s="20" t="inlineStr">
        <is>
          <t>04/08/2026</t>
        </is>
      </c>
      <c r="B15" s="14" t="inlineStr">
        <is>
          <t>גרייטדור תעשיות</t>
        </is>
      </c>
      <c r="C15" s="24" t="n">
        <v>17098</v>
      </c>
      <c r="D15" s="27" t="n"/>
      <c r="E15" s="36" t="n">
        <v>58182.33</v>
      </c>
      <c r="F15" s="30" t="inlineStr">
        <is>
          <t>עבור פועלים</t>
        </is>
      </c>
      <c r="G15" s="20" t="inlineStr">
        <is>
          <t>✅ הכנסה</t>
        </is>
      </c>
      <c r="H15" s="33" t="n"/>
    </row>
    <row r="16" ht="14.25" customHeight="1" s="131">
      <c r="A16" s="20" t="inlineStr">
        <is>
          <t>05/08/2026</t>
        </is>
      </c>
      <c r="B16" s="14" t="inlineStr">
        <is>
          <t>מ. רוטנברג – העברה/הפקדה</t>
        </is>
      </c>
      <c r="C16" s="24" t="n">
        <v>40614.42</v>
      </c>
      <c r="D16" s="27" t="n"/>
      <c r="E16" s="36" t="n">
        <v>98796.75</v>
      </c>
      <c r="F16" s="30" t="n"/>
      <c r="G16" s="20" t="inlineStr">
        <is>
          <t>✅ הכנסה</t>
        </is>
      </c>
      <c r="H16" s="33" t="n"/>
    </row>
    <row r="17" ht="14.25" customHeight="1" s="131">
      <c r="A17" s="16" t="inlineStr">
        <is>
          <t>05/08/2026</t>
        </is>
      </c>
      <c r="B17" s="12" t="inlineStr">
        <is>
          <t>מקס איט פיננסי – כרטיס אשראי</t>
        </is>
      </c>
      <c r="C17" s="15" t="n"/>
      <c r="D17" s="18" t="n">
        <v>182.5</v>
      </c>
      <c r="E17" s="41" t="n">
        <v>98614.25</v>
      </c>
      <c r="F17" s="21" t="inlineStr">
        <is>
          <t>קבועה</t>
        </is>
      </c>
      <c r="G17" s="16" t="inlineStr">
        <is>
          <t>🔁 קבוע</t>
        </is>
      </c>
      <c r="H17" s="26" t="inlineStr">
        <is>
          <t>כן</t>
        </is>
      </c>
    </row>
    <row r="18" ht="14.25" customHeight="1" s="131">
      <c r="A18" s="20" t="inlineStr">
        <is>
          <t>05/08/2026</t>
        </is>
      </c>
      <c r="B18" s="14" t="inlineStr">
        <is>
          <t>אלי שי בן-חיים</t>
        </is>
      </c>
      <c r="C18" s="24" t="n">
        <v>50588</v>
      </c>
      <c r="D18" s="27" t="n"/>
      <c r="E18" s="36" t="n">
        <v>149202.25</v>
      </c>
      <c r="F18" s="30" t="n"/>
      <c r="G18" s="20" t="inlineStr">
        <is>
          <t>✅ הכנסה</t>
        </is>
      </c>
      <c r="H18" s="33" t="n"/>
    </row>
    <row r="19" ht="14.25" customHeight="1" s="131">
      <c r="A19" s="16" t="inlineStr">
        <is>
          <t>05/08/2026</t>
        </is>
      </c>
      <c r="B19" s="12" t="inlineStr">
        <is>
          <t>האחים ישראל – שכירות רבי חייא</t>
        </is>
      </c>
      <c r="C19" s="15" t="n"/>
      <c r="D19" s="18" t="n">
        <v>18290</v>
      </c>
      <c r="E19" s="41" t="n">
        <v>130912.25</v>
      </c>
      <c r="F19" s="21" t="inlineStr">
        <is>
          <t>קבועה</t>
        </is>
      </c>
      <c r="G19" s="16" t="inlineStr">
        <is>
          <t>🔁 קבוע</t>
        </is>
      </c>
      <c r="H19" s="26" t="inlineStr">
        <is>
          <t>כן</t>
        </is>
      </c>
    </row>
    <row r="20" ht="14.25" customHeight="1" s="131">
      <c r="A20" s="5" t="inlineStr">
        <is>
          <t>05/08/2026</t>
        </is>
      </c>
      <c r="B20" s="6" t="inlineStr">
        <is>
          <t>פסגת ליאם כ״א בע״מ</t>
        </is>
      </c>
      <c r="C20" s="8" t="n"/>
      <c r="D20" s="9" t="n">
        <v>17098.2</v>
      </c>
      <c r="E20" s="46" t="n">
        <v>113814.05</v>
      </c>
      <c r="F20" s="13" t="inlineStr">
        <is>
          <t>חשבונית 50116 – יולי</t>
        </is>
      </c>
      <c r="G20" s="5" t="inlineStr">
        <is>
          <t>📤 הוצאה</t>
        </is>
      </c>
      <c r="H20" s="22" t="inlineStr">
        <is>
          <t>כן</t>
        </is>
      </c>
    </row>
    <row r="21" ht="14.25" customHeight="1" s="131">
      <c r="A21" s="16" t="inlineStr">
        <is>
          <t>05/08/2026</t>
        </is>
      </c>
      <c r="B21" s="12" t="inlineStr">
        <is>
          <t>חיים קוט – שכירות קרית גת</t>
        </is>
      </c>
      <c r="C21" s="15" t="n"/>
      <c r="D21" s="18" t="n">
        <v>2500</v>
      </c>
      <c r="E21" s="41" t="n">
        <v>111314.05</v>
      </c>
      <c r="F21" s="21" t="inlineStr">
        <is>
          <t>קבועה</t>
        </is>
      </c>
      <c r="G21" s="16" t="inlineStr">
        <is>
          <t>🔁 קבוע</t>
        </is>
      </c>
      <c r="H21" s="26" t="inlineStr">
        <is>
          <t>כן</t>
        </is>
      </c>
    </row>
    <row r="22" ht="14.25" customHeight="1" s="131">
      <c r="A22" s="16" t="inlineStr">
        <is>
          <t>06/08/2026</t>
        </is>
      </c>
      <c r="B22" s="12" t="inlineStr">
        <is>
          <t>מקס איט פיננסי – כרטיס אשראי</t>
        </is>
      </c>
      <c r="C22" s="15" t="n"/>
      <c r="D22" s="18" t="n">
        <v>412.46</v>
      </c>
      <c r="E22" s="41" t="n">
        <v>110901.59</v>
      </c>
      <c r="F22" s="21" t="inlineStr">
        <is>
          <t>קבועה</t>
        </is>
      </c>
      <c r="G22" s="16" t="inlineStr">
        <is>
          <t>🔁 קבוע</t>
        </is>
      </c>
      <c r="H22" s="26" t="inlineStr">
        <is>
          <t>כן</t>
        </is>
      </c>
    </row>
    <row r="23" ht="14.25" customHeight="1" s="131">
      <c r="A23" s="20" t="inlineStr">
        <is>
          <t>06/08/2026</t>
        </is>
      </c>
      <c r="B23" s="14" t="inlineStr">
        <is>
          <t>ב.ש ברגשטיין מקבוצת הקליר (מזרחי)</t>
        </is>
      </c>
      <c r="C23" s="24" t="n">
        <v>282192.28</v>
      </c>
      <c r="D23" s="27" t="n"/>
      <c r="E23" s="36" t="n">
        <v>393093.87</v>
      </c>
      <c r="F23" s="30" t="inlineStr">
        <is>
          <t>פ. הקליר</t>
        </is>
      </c>
      <c r="G23" s="14" t="inlineStr">
        <is>
          <t>✅ הכנסה</t>
        </is>
      </c>
      <c r="H23" s="33" t="n"/>
    </row>
    <row r="24" ht="14.25" customHeight="1" s="131">
      <c r="A24" s="20" t="inlineStr">
        <is>
          <t>09/08/2026</t>
        </is>
      </c>
      <c r="B24" s="14" t="inlineStr">
        <is>
          <t>אופיר חנון – העברת זה״ב</t>
        </is>
      </c>
      <c r="C24" s="24" t="n">
        <v>50000</v>
      </c>
      <c r="D24" s="27" t="n"/>
      <c r="E24" s="36" t="n">
        <v>443093.87</v>
      </c>
      <c r="F24" s="30" t="n"/>
      <c r="G24" s="14" t="inlineStr">
        <is>
          <t>✅ הכנסה</t>
        </is>
      </c>
      <c r="H24" s="33" t="n"/>
    </row>
    <row r="25" ht="14.25" customHeight="1" s="131">
      <c r="A25" s="20" t="inlineStr">
        <is>
          <t>09/08/2026</t>
        </is>
      </c>
      <c r="B25" s="14" t="inlineStr">
        <is>
          <t>שי-רם חברה</t>
        </is>
      </c>
      <c r="C25" s="24" t="n">
        <v>8177.4</v>
      </c>
      <c r="D25" s="27" t="n"/>
      <c r="E25" s="36" t="n">
        <v>451271.27</v>
      </c>
      <c r="F25" s="30" t="inlineStr">
        <is>
          <t>חשבון עסקה 40072 – חיוב 07/26</t>
        </is>
      </c>
      <c r="G25" s="14" t="inlineStr">
        <is>
          <t>✅ הכנסה</t>
        </is>
      </c>
      <c r="H25" s="33" t="n"/>
    </row>
    <row r="26" ht="14.25" customHeight="1" s="131">
      <c r="A26" s="20" t="inlineStr">
        <is>
          <t>09/08/2026</t>
        </is>
      </c>
      <c r="B26" s="14" t="inlineStr">
        <is>
          <t>אלגרסי תפעול</t>
        </is>
      </c>
      <c r="C26" s="24" t="n">
        <v>25772</v>
      </c>
      <c r="D26" s="27" t="n"/>
      <c r="E26" s="36" t="n">
        <v>477043.27</v>
      </c>
      <c r="F26" s="30" t="inlineStr">
        <is>
          <t>חשבונית 40065</t>
        </is>
      </c>
      <c r="G26" s="14" t="inlineStr">
        <is>
          <t>✅ הכנסה</t>
        </is>
      </c>
      <c r="H26" s="33" t="n"/>
    </row>
    <row r="27" ht="14.25" customHeight="1" s="131">
      <c r="A27" s="20" t="inlineStr">
        <is>
          <t>09/08/2026</t>
        </is>
      </c>
      <c r="B27" s="14" t="inlineStr">
        <is>
          <t>ש.ח.ן. כרמלי</t>
        </is>
      </c>
      <c r="C27" s="24" t="n">
        <v>102940.84</v>
      </c>
      <c r="D27" s="27" t="n"/>
      <c r="E27" s="36" t="n">
        <v>579984.11</v>
      </c>
      <c r="F27" s="30" t="inlineStr">
        <is>
          <t>חשבונית 50355 – עובדים 07/26</t>
        </is>
      </c>
      <c r="G27" s="14" t="inlineStr">
        <is>
          <t>✅ הכנסה</t>
        </is>
      </c>
      <c r="H27" s="33" t="n"/>
    </row>
    <row r="28" ht="14.25" customHeight="1" s="131">
      <c r="A28" s="20" t="inlineStr">
        <is>
          <t>09/08/2026</t>
        </is>
      </c>
      <c r="B28" s="14" t="inlineStr">
        <is>
          <t>רמא – ר.מ. טכנולוגיות</t>
        </is>
      </c>
      <c r="C28" s="24" t="n">
        <v>174158.56</v>
      </c>
      <c r="D28" s="27" t="n"/>
      <c r="E28" s="36" t="n">
        <v>754142.67</v>
      </c>
      <c r="F28" s="30" t="inlineStr">
        <is>
          <t>העברה ברשימה</t>
        </is>
      </c>
      <c r="G28" s="14" t="inlineStr">
        <is>
          <t>✅ הכנסה</t>
        </is>
      </c>
      <c r="H28" s="33" t="n"/>
    </row>
    <row r="29" ht="14.25" customHeight="1" s="131">
      <c r="A29" s="16" t="inlineStr">
        <is>
          <t>10/08/2026</t>
        </is>
      </c>
      <c r="B29" s="12" t="inlineStr">
        <is>
          <t>ארנונה – עיריית ירושלים</t>
        </is>
      </c>
      <c r="C29" s="15" t="n"/>
      <c r="D29" s="18" t="n">
        <v>6908.94</v>
      </c>
      <c r="E29" s="41" t="n">
        <v>747233.73</v>
      </c>
      <c r="F29" s="21" t="inlineStr">
        <is>
          <t>קבועה | 6 חיובים נפרדים</t>
        </is>
      </c>
      <c r="G29" s="12" t="inlineStr">
        <is>
          <t>🔁 קבוע</t>
        </is>
      </c>
      <c r="H29" s="26" t="inlineStr">
        <is>
          <t>כן</t>
        </is>
      </c>
    </row>
    <row r="30" ht="14.25" customHeight="1" s="131">
      <c r="A30" s="20" t="inlineStr">
        <is>
          <t>10/08/2026</t>
        </is>
      </c>
      <c r="B30" s="14" t="inlineStr">
        <is>
          <t>איבריקה אינטרנשיונל (בנק הפועלים)</t>
        </is>
      </c>
      <c r="C30" s="24" t="n">
        <v>24425.66</v>
      </c>
      <c r="D30" s="27" t="n"/>
      <c r="E30" s="36" t="n">
        <v>771659.39</v>
      </c>
      <c r="F30" s="30" t="inlineStr">
        <is>
          <t>חודש 07/26</t>
        </is>
      </c>
      <c r="G30" s="14" t="inlineStr">
        <is>
          <t>✅ הכנסה</t>
        </is>
      </c>
      <c r="H30" s="33" t="n"/>
    </row>
    <row r="31" ht="14.25" customHeight="1" s="131">
      <c r="A31" s="5" t="inlineStr">
        <is>
          <t>10/08/2026</t>
        </is>
      </c>
      <c r="B31" s="6" t="inlineStr">
        <is>
          <t>ר. שאלתיאל – שיק 5000284</t>
        </is>
      </c>
      <c r="C31" s="8" t="n"/>
      <c r="D31" s="9" t="n">
        <v>32951</v>
      </c>
      <c r="E31" s="46" t="n">
        <v>738708.39</v>
      </c>
      <c r="F31" s="13" t="inlineStr">
        <is>
          <t>קשור למטה ופתילים</t>
        </is>
      </c>
      <c r="G31" s="6" t="inlineStr">
        <is>
          <t>📤 הוצאה</t>
        </is>
      </c>
      <c r="H31" s="22" t="inlineStr">
        <is>
          <t>לא</t>
        </is>
      </c>
    </row>
    <row r="32" ht="14.25" customHeight="1" s="131">
      <c r="A32" s="16" t="inlineStr">
        <is>
          <t>10/08/2026</t>
        </is>
      </c>
      <c r="B32" s="12" t="inlineStr">
        <is>
          <t>העברת משכורת</t>
        </is>
      </c>
      <c r="C32" s="15" t="n"/>
      <c r="D32" s="18" t="n">
        <v>10223</v>
      </c>
      <c r="E32" s="41" t="n">
        <v>728485.39</v>
      </c>
      <c r="F32" s="21" t="inlineStr">
        <is>
          <t>קבועה</t>
        </is>
      </c>
      <c r="G32" s="12" t="inlineStr">
        <is>
          <t>🔁 קבוע</t>
        </is>
      </c>
      <c r="H32" s="26" t="inlineStr">
        <is>
          <t>כן</t>
        </is>
      </c>
    </row>
    <row r="33" ht="14.25" customHeight="1" s="131">
      <c r="A33" s="16" t="inlineStr">
        <is>
          <t>10/08/2026</t>
        </is>
      </c>
      <c r="B33" s="12" t="inlineStr">
        <is>
          <t>העברת משכורת</t>
        </is>
      </c>
      <c r="C33" s="15" t="n"/>
      <c r="D33" s="18" t="n">
        <v>6130</v>
      </c>
      <c r="E33" s="41" t="n">
        <v>722355.39</v>
      </c>
      <c r="F33" s="21" t="inlineStr">
        <is>
          <t>קבועה</t>
        </is>
      </c>
      <c r="G33" s="12" t="inlineStr">
        <is>
          <t>🔁 קבוע</t>
        </is>
      </c>
      <c r="H33" s="26" t="inlineStr">
        <is>
          <t>כן</t>
        </is>
      </c>
    </row>
    <row r="34" ht="14.25" customHeight="1" s="131">
      <c r="A34" s="5" t="inlineStr">
        <is>
          <t>10/08/2026</t>
        </is>
      </c>
      <c r="B34" s="6" t="inlineStr">
        <is>
          <t>BMG – בי אם ג׳י כוח אדם</t>
        </is>
      </c>
      <c r="C34" s="8" t="n"/>
      <c r="D34" s="9" t="n">
        <v>50000</v>
      </c>
      <c r="E34" s="46" t="n">
        <v>672355.39</v>
      </c>
      <c r="F34" s="13" t="inlineStr">
        <is>
          <t>השלמת חשבונית 3000 – יוני ✅</t>
        </is>
      </c>
      <c r="G34" s="6" t="inlineStr">
        <is>
          <t>📤 הוצאה</t>
        </is>
      </c>
      <c r="H34" s="22" t="inlineStr">
        <is>
          <t>לא</t>
        </is>
      </c>
    </row>
    <row r="35" ht="14.25" customHeight="1" s="131">
      <c r="A35" s="5" t="inlineStr">
        <is>
          <t>10/08/2026</t>
        </is>
      </c>
      <c r="B35" s="6" t="inlineStr">
        <is>
          <t>שלמה מינסקי – תשלום דלק</t>
        </is>
      </c>
      <c r="C35" s="8" t="n"/>
      <c r="D35" s="9" t="n">
        <v>1560</v>
      </c>
      <c r="E35" s="46" t="n">
        <v>670795.39</v>
      </c>
      <c r="F35" s="13" t="inlineStr">
        <is>
          <t>חשבונית 18205</t>
        </is>
      </c>
      <c r="G35" s="6" t="inlineStr">
        <is>
          <t>📤 הוצאה</t>
        </is>
      </c>
      <c r="H35" s="22" t="inlineStr">
        <is>
          <t>כן</t>
        </is>
      </c>
    </row>
    <row r="36" ht="14.25" customHeight="1" s="131">
      <c r="A36" s="16" t="inlineStr">
        <is>
          <t>10/08/2026</t>
        </is>
      </c>
      <c r="B36" s="12" t="inlineStr">
        <is>
          <t>י. צדיק נכסים – שכירות קורצאק</t>
        </is>
      </c>
      <c r="C36" s="15" t="n"/>
      <c r="D36" s="18" t="n">
        <v>12980</v>
      </c>
      <c r="E36" s="41" t="n">
        <v>657815.39</v>
      </c>
      <c r="F36" s="21" t="inlineStr">
        <is>
          <t>קבועה</t>
        </is>
      </c>
      <c r="G36" s="12" t="inlineStr">
        <is>
          <t>🔁 קבוע</t>
        </is>
      </c>
      <c r="H36" s="26" t="inlineStr">
        <is>
          <t>כן</t>
        </is>
      </c>
    </row>
    <row r="37" ht="14.25" customHeight="1" s="131">
      <c r="A37" s="16" t="inlineStr">
        <is>
          <t>10/08/2026</t>
        </is>
      </c>
      <c r="B37" s="12" t="inlineStr">
        <is>
          <t>י. צדיק נכסים – שכירות בית צפאפא</t>
        </is>
      </c>
      <c r="C37" s="15" t="n"/>
      <c r="D37" s="18" t="n">
        <v>8850</v>
      </c>
      <c r="E37" s="41" t="n">
        <v>648965.39</v>
      </c>
      <c r="F37" s="21" t="inlineStr">
        <is>
          <t>קבועה</t>
        </is>
      </c>
      <c r="G37" s="12" t="inlineStr">
        <is>
          <t>🔁 קבוע</t>
        </is>
      </c>
      <c r="H37" s="26" t="inlineStr">
        <is>
          <t>כן</t>
        </is>
      </c>
    </row>
    <row r="38" ht="14.25" customHeight="1" s="131">
      <c r="A38" s="10" t="inlineStr">
        <is>
          <t>12/08/2026</t>
        </is>
      </c>
      <c r="B38" s="12" t="inlineStr">
        <is>
          <t>שטיינברוך אברהם (בנק דיסקונט)</t>
        </is>
      </c>
      <c r="C38" s="15" t="n">
        <v>90</v>
      </c>
      <c r="D38" s="18" t="n"/>
      <c r="E38" s="41" t="n">
        <v>649055.39</v>
      </c>
      <c r="F38" s="21" t="inlineStr">
        <is>
          <t>קנה מאיתנו מזרון</t>
        </is>
      </c>
      <c r="G38" s="12" t="inlineStr">
        <is>
          <t>✅ הכנסה</t>
        </is>
      </c>
      <c r="H38" s="26" t="n"/>
    </row>
    <row r="39" ht="14.25" customHeight="1" s="131">
      <c r="A39" s="10" t="inlineStr">
        <is>
          <t>12/08/2026</t>
        </is>
      </c>
      <c r="B39" s="12" t="inlineStr">
        <is>
          <t>העברת משכורת</t>
        </is>
      </c>
      <c r="C39" s="15" t="n"/>
      <c r="D39" s="18" t="n">
        <v>15000</v>
      </c>
      <c r="E39" s="41" t="n">
        <v>634055.39</v>
      </c>
      <c r="F39" s="21" t="inlineStr">
        <is>
          <t>קבועה</t>
        </is>
      </c>
      <c r="G39" s="12" t="inlineStr">
        <is>
          <t>🔁 קבוע</t>
        </is>
      </c>
      <c r="H39" s="26" t="inlineStr">
        <is>
          <t>כן</t>
        </is>
      </c>
    </row>
    <row r="40" ht="14.25" customHeight="1" s="131">
      <c r="A40" s="10" t="inlineStr">
        <is>
          <t>12/08/2026</t>
        </is>
      </c>
      <c r="B40" s="12" t="inlineStr">
        <is>
          <t>העברת משכורת</t>
        </is>
      </c>
      <c r="C40" s="15" t="n"/>
      <c r="D40" s="18" t="n">
        <v>14142</v>
      </c>
      <c r="E40" s="41" t="n">
        <v>619913.39</v>
      </c>
      <c r="F40" s="21" t="inlineStr">
        <is>
          <t>קבועה</t>
        </is>
      </c>
      <c r="G40" s="12" t="inlineStr">
        <is>
          <t>🔁 קבוע</t>
        </is>
      </c>
      <c r="H40" s="26" t="inlineStr">
        <is>
          <t>כן</t>
        </is>
      </c>
    </row>
    <row r="41" ht="14.25" customHeight="1" s="131">
      <c r="A41" s="10" t="inlineStr">
        <is>
          <t>12/08/2026</t>
        </is>
      </c>
      <c r="B41" s="12" t="inlineStr">
        <is>
          <t>גרייטדור תעשיות</t>
        </is>
      </c>
      <c r="C41" s="15" t="n">
        <v>32202</v>
      </c>
      <c r="D41" s="18" t="n"/>
      <c r="E41" s="41" t="n">
        <v>652115.39</v>
      </c>
      <c r="F41" s="21" t="n"/>
      <c r="G41" s="12" t="inlineStr">
        <is>
          <t>✅ הכנסה</t>
        </is>
      </c>
      <c r="H41" s="26" t="n"/>
    </row>
    <row r="42" ht="14.25" customHeight="1" s="131">
      <c r="A42" s="10" t="inlineStr">
        <is>
          <t>12/08/2026</t>
        </is>
      </c>
      <c r="B42" s="12" t="inlineStr">
        <is>
          <t>גרייטדור תעשיות</t>
        </is>
      </c>
      <c r="C42" s="15" t="n">
        <v>3188</v>
      </c>
      <c r="D42" s="18" t="n"/>
      <c r="E42" s="41" t="n">
        <v>655303.39</v>
      </c>
      <c r="F42" s="21" t="n"/>
      <c r="G42" s="12" t="inlineStr">
        <is>
          <t>✅ הכנסה</t>
        </is>
      </c>
      <c r="H42" s="26" t="n"/>
    </row>
    <row r="43" ht="14.25" customHeight="1" s="131">
      <c r="A43" s="10" t="inlineStr">
        <is>
          <t>13/08/2026</t>
        </is>
      </c>
      <c r="B43" s="12" t="inlineStr">
        <is>
          <t>פדיום מקוזז</t>
        </is>
      </c>
      <c r="C43" s="15" t="n"/>
      <c r="D43" s="18" t="n">
        <v>45599.41</v>
      </c>
      <c r="E43" s="41" t="n">
        <v>609703.98</v>
      </c>
      <c r="F43" s="21" t="inlineStr">
        <is>
          <t>פדיון פיקדון פנימי - הכסף חזר מיד (ראה שורות הבאות) - לא נספר כהוצאה</t>
        </is>
      </c>
      <c r="G43" s="12" t="inlineStr">
        <is>
          <t>📤 הוצאה</t>
        </is>
      </c>
      <c r="H43" s="26" t="n"/>
    </row>
    <row r="44" ht="14.25" customHeight="1" s="131">
      <c r="A44" s="10" t="inlineStr">
        <is>
          <t>13/08/2026</t>
        </is>
      </c>
      <c r="B44" s="12" t="inlineStr">
        <is>
          <t>פרעון פקדון</t>
        </is>
      </c>
      <c r="C44" s="15" t="n">
        <v>45596.52</v>
      </c>
      <c r="D44" s="18" t="n"/>
      <c r="E44" s="41" t="n">
        <v>655300.5</v>
      </c>
      <c r="F44" s="21" t="n"/>
      <c r="G44" s="12" t="inlineStr">
        <is>
          <t>✅ הכנסה</t>
        </is>
      </c>
      <c r="H44" s="26" t="n"/>
    </row>
    <row r="45" ht="14.25" customHeight="1" s="131">
      <c r="A45" s="10" t="inlineStr">
        <is>
          <t>13/08/2026</t>
        </is>
      </c>
      <c r="B45" s="12" t="inlineStr">
        <is>
          <t>ריבית לפקדון</t>
        </is>
      </c>
      <c r="C45" s="15" t="n">
        <v>2.89</v>
      </c>
      <c r="D45" s="18" t="n"/>
      <c r="E45" s="41" t="n">
        <v>655303.39</v>
      </c>
      <c r="F45" s="21" t="n"/>
      <c r="G45" s="12" t="inlineStr">
        <is>
          <t>✅ הכנסה</t>
        </is>
      </c>
      <c r="H45" s="26" t="n"/>
    </row>
    <row r="46" ht="14.25" customHeight="1" s="131">
      <c r="A46" s="10" t="inlineStr">
        <is>
          <t>14/08/2026</t>
        </is>
      </c>
      <c r="B46" s="12" t="inlineStr">
        <is>
          <t>רחל מסטשי – שכירות אסירי ציון</t>
        </is>
      </c>
      <c r="C46" s="55" t="n"/>
      <c r="D46" s="55" t="n">
        <v>4700</v>
      </c>
      <c r="E46" s="56" t="n">
        <v>650603.39</v>
      </c>
      <c r="F46" s="21" t="inlineStr">
        <is>
          <t>קבועה</t>
        </is>
      </c>
      <c r="G46" s="12" t="inlineStr">
        <is>
          <t>🔁 קבוע</t>
        </is>
      </c>
      <c r="H46" s="26" t="inlineStr">
        <is>
          <t>כן</t>
        </is>
      </c>
    </row>
    <row r="47" ht="14.25" customHeight="1" s="131">
      <c r="A47" s="10" t="inlineStr">
        <is>
          <t>14/08/2026</t>
        </is>
      </c>
      <c r="B47" s="12" t="inlineStr">
        <is>
          <t>תומא וסאם – שכירות בית חנינא</t>
        </is>
      </c>
      <c r="C47" s="55" t="n"/>
      <c r="D47" s="55" t="n">
        <v>9600</v>
      </c>
      <c r="E47" s="56" t="n">
        <v>641003.39</v>
      </c>
      <c r="F47" s="21" t="inlineStr">
        <is>
          <t>קבועה</t>
        </is>
      </c>
      <c r="G47" s="12" t="inlineStr">
        <is>
          <t>🔁 קבוע</t>
        </is>
      </c>
      <c r="H47" s="26" t="inlineStr">
        <is>
          <t>כן</t>
        </is>
      </c>
    </row>
    <row r="48" ht="14.25" customHeight="1" s="131">
      <c r="A48" s="10" t="inlineStr">
        <is>
          <t>14/08/2026</t>
        </is>
      </c>
      <c r="B48" s="12" t="inlineStr">
        <is>
          <t>שישא גבריאל – שכירות קארו 7</t>
        </is>
      </c>
      <c r="C48" s="55" t="n"/>
      <c r="D48" s="55" t="n">
        <v>7000</v>
      </c>
      <c r="E48" s="56" t="n">
        <v>634003.39</v>
      </c>
      <c r="F48" s="21" t="inlineStr">
        <is>
          <t>קבועה</t>
        </is>
      </c>
      <c r="G48" s="12" t="inlineStr">
        <is>
          <t>🔁 קבוע</t>
        </is>
      </c>
      <c r="H48" s="26" t="inlineStr">
        <is>
          <t>כן</t>
        </is>
      </c>
    </row>
    <row r="49" ht="14.25" customHeight="1" s="131">
      <c r="A49" s="10" t="inlineStr">
        <is>
          <t>14/08/2026</t>
        </is>
      </c>
      <c r="B49" s="12" t="inlineStr">
        <is>
          <t>שלום קבאסה – שכירות אשקלון</t>
        </is>
      </c>
      <c r="C49" s="55" t="n"/>
      <c r="D49" s="55" t="n">
        <v>4000</v>
      </c>
      <c r="E49" s="56" t="n">
        <v>630003.39</v>
      </c>
      <c r="F49" s="21" t="inlineStr">
        <is>
          <t>קבועה</t>
        </is>
      </c>
      <c r="G49" s="12" t="inlineStr">
        <is>
          <t>🔁 קבוע</t>
        </is>
      </c>
      <c r="H49" s="26" t="inlineStr">
        <is>
          <t>כן</t>
        </is>
      </c>
    </row>
    <row r="50" ht="14.25" customHeight="1" s="131">
      <c r="A50" s="10" t="inlineStr">
        <is>
          <t>14/08/2026</t>
        </is>
      </c>
      <c r="B50" s="12" t="inlineStr">
        <is>
          <t>זאב זלץ – שכירות קארו 11</t>
        </is>
      </c>
      <c r="C50" s="55" t="n"/>
      <c r="D50" s="55" t="n">
        <v>3000</v>
      </c>
      <c r="E50" s="56" t="n">
        <v>627003.39</v>
      </c>
      <c r="F50" s="21" t="inlineStr">
        <is>
          <t>קבועה</t>
        </is>
      </c>
      <c r="G50" s="12" t="inlineStr">
        <is>
          <t>🔁 קבוע</t>
        </is>
      </c>
      <c r="H50" s="26" t="inlineStr">
        <is>
          <t>כן</t>
        </is>
      </c>
    </row>
    <row r="51" ht="14.25" customHeight="1" s="131">
      <c r="A51" s="10" t="inlineStr">
        <is>
          <t>14/08/2026</t>
        </is>
      </c>
      <c r="B51" s="12" t="inlineStr">
        <is>
          <t>הינדי טייטלבוים – שכירות קארו 3</t>
        </is>
      </c>
      <c r="C51" s="55" t="n"/>
      <c r="D51" s="55" t="n">
        <v>4000</v>
      </c>
      <c r="E51" s="56" t="n">
        <v>623003.39</v>
      </c>
      <c r="F51" s="21" t="inlineStr">
        <is>
          <t>קבועה</t>
        </is>
      </c>
      <c r="G51" s="12" t="inlineStr">
        <is>
          <t>🔁 קבוע</t>
        </is>
      </c>
      <c r="H51" s="26" t="inlineStr">
        <is>
          <t>כן</t>
        </is>
      </c>
    </row>
    <row r="52" ht="14.25" customHeight="1" s="131">
      <c r="A52" s="10" t="inlineStr">
        <is>
          <t>16/08/2026</t>
        </is>
      </c>
      <c r="B52" s="12" t="inlineStr">
        <is>
          <t>לאומי מאסטרקרד – כרטיס אשראי</t>
        </is>
      </c>
      <c r="C52" s="55" t="n"/>
      <c r="D52" s="55" t="n">
        <v>10418.52</v>
      </c>
      <c r="E52" s="56" t="n">
        <v>612584.87</v>
      </c>
      <c r="F52" s="21" t="n"/>
      <c r="G52" s="12" t="inlineStr">
        <is>
          <t>🔁 קבוע</t>
        </is>
      </c>
      <c r="H52" s="26" t="inlineStr">
        <is>
          <t>כן</t>
        </is>
      </c>
    </row>
    <row r="53" ht="14.25" customHeight="1" s="131">
      <c r="A53" s="10" t="inlineStr">
        <is>
          <t>16/08/2026</t>
        </is>
      </c>
      <c r="B53" s="12" t="inlineStr">
        <is>
          <t>מקס איט פיננסי – כרטיס אשראי</t>
        </is>
      </c>
      <c r="C53" s="55" t="n"/>
      <c r="D53" s="55" t="n">
        <v>10284.2</v>
      </c>
      <c r="E53" s="56" t="n">
        <v>602300.67</v>
      </c>
      <c r="F53" s="21" t="inlineStr">
        <is>
          <t>קבועה</t>
        </is>
      </c>
      <c r="G53" s="12" t="inlineStr">
        <is>
          <t>🔁 קבוע</t>
        </is>
      </c>
      <c r="H53" s="26" t="inlineStr">
        <is>
          <t>כן</t>
        </is>
      </c>
    </row>
    <row r="54" ht="14.25" customHeight="1" s="131">
      <c r="A54" s="10" t="inlineStr">
        <is>
          <t>16/08/2026</t>
        </is>
      </c>
      <c r="B54" s="12" t="inlineStr">
        <is>
          <t>דיינרס קלאב – כרטיס אשראי</t>
        </is>
      </c>
      <c r="C54" s="55" t="n"/>
      <c r="D54" s="55" t="n">
        <v>174.21</v>
      </c>
      <c r="E54" s="56" t="n">
        <v>602126.46</v>
      </c>
      <c r="F54" s="21" t="n"/>
      <c r="G54" s="12" t="inlineStr">
        <is>
          <t>🔁 קבוע</t>
        </is>
      </c>
      <c r="H54" s="26" t="inlineStr">
        <is>
          <t>כן</t>
        </is>
      </c>
    </row>
    <row r="55" ht="14.25" customHeight="1" s="131">
      <c r="A55" s="47" t="inlineStr">
        <is>
          <t>16/08/2026</t>
        </is>
      </c>
      <c r="B55" s="6" t="inlineStr">
        <is>
          <t>ש מינסקי יזמות – תשלום עבור חשבונית</t>
        </is>
      </c>
      <c r="C55" s="60" t="n"/>
      <c r="D55" s="60" t="n">
        <v>16520</v>
      </c>
      <c r="E55" s="61" t="n">
        <v>585606.46</v>
      </c>
      <c r="F55" s="13" t="n"/>
      <c r="G55" s="6" t="inlineStr">
        <is>
          <t>📤 הוצאה</t>
        </is>
      </c>
      <c r="H55" s="22" t="inlineStr">
        <is>
          <t>כן</t>
        </is>
      </c>
    </row>
    <row r="56" ht="14.25" customHeight="1" s="131">
      <c r="A56" s="38" t="inlineStr">
        <is>
          <t>17/08/2026</t>
        </is>
      </c>
      <c r="B56" s="14" t="inlineStr">
        <is>
          <t>ש קרליץ בניה בע"מ – פירעון חוב ישן</t>
        </is>
      </c>
      <c r="C56" s="23" t="n">
        <v>50703.26</v>
      </c>
      <c r="D56" s="23" t="n"/>
      <c r="E56" s="62" t="n">
        <v>636309.72</v>
      </c>
      <c r="F56" s="30" t="inlineStr">
        <is>
          <t>לקוח ישן ששילם חוב</t>
        </is>
      </c>
      <c r="G56" s="14" t="inlineStr">
        <is>
          <t>✅ הכנסה</t>
        </is>
      </c>
      <c r="H56" s="33" t="n"/>
    </row>
    <row r="57" ht="14.25" customHeight="1" s="131">
      <c r="A57" s="38" t="inlineStr">
        <is>
          <t>17/08/2026</t>
        </is>
      </c>
      <c r="B57" s="14" t="inlineStr">
        <is>
          <t>מצודת השלום בע"מ – חשבונית עסקה 467</t>
        </is>
      </c>
      <c r="C57" s="23" t="n">
        <v>81389</v>
      </c>
      <c r="D57" s="23" t="n"/>
      <c r="E57" s="62" t="n">
        <v>717698.72</v>
      </c>
      <c r="F57" s="30" t="n"/>
      <c r="G57" s="14" t="inlineStr">
        <is>
          <t>✅ הכנסה</t>
        </is>
      </c>
      <c r="H57" s="33" t="n"/>
    </row>
    <row r="58" ht="14.25" customHeight="1" s="131">
      <c r="A58" s="38" t="inlineStr">
        <is>
          <t>17/08/2026</t>
        </is>
      </c>
      <c r="B58" s="14" t="inlineStr">
        <is>
          <t>שבט בנימין בע"מ – חש 357 וחש 356</t>
        </is>
      </c>
      <c r="C58" s="23" t="n">
        <v>36064</v>
      </c>
      <c r="D58" s="23" t="n"/>
      <c r="E58" s="62" t="n">
        <v>753762.72</v>
      </c>
      <c r="F58" s="30" t="n"/>
      <c r="G58" s="14" t="inlineStr">
        <is>
          <t>✅ הכנסה</t>
        </is>
      </c>
      <c r="H58" s="33" t="n"/>
    </row>
    <row r="59" ht="14.25" customHeight="1" s="131">
      <c r="A59" s="38" t="inlineStr">
        <is>
          <t>17/08/2026</t>
        </is>
      </c>
      <c r="B59" s="14" t="inlineStr">
        <is>
          <t>קידוח וחיזוק הצפון – שירותי כוח אדם</t>
        </is>
      </c>
      <c r="C59" s="23" t="n">
        <v>16425</v>
      </c>
      <c r="D59" s="23" t="n"/>
      <c r="E59" s="62" t="n">
        <v>770187.72</v>
      </c>
      <c r="F59" s="30" t="inlineStr">
        <is>
          <t>✅ שולם במלואו</t>
        </is>
      </c>
      <c r="G59" s="14" t="inlineStr">
        <is>
          <t>✅ הכנסה</t>
        </is>
      </c>
      <c r="H59" s="33" t="n"/>
    </row>
    <row r="60" ht="14.25" customHeight="1" s="131">
      <c r="A60" s="10" t="inlineStr">
        <is>
          <t>17/08/2026</t>
        </is>
      </c>
      <c r="B60" s="12" t="inlineStr">
        <is>
          <t>רו"ח יוסי טובול</t>
        </is>
      </c>
      <c r="C60" s="55" t="n"/>
      <c r="D60" s="55" t="n">
        <v>1357</v>
      </c>
      <c r="E60" s="56" t="n">
        <v>768830.72</v>
      </c>
      <c r="F60" s="21" t="inlineStr">
        <is>
          <t>קבועה</t>
        </is>
      </c>
      <c r="G60" s="12" t="inlineStr">
        <is>
          <t>🔁 קבוע</t>
        </is>
      </c>
      <c r="H60" s="26" t="inlineStr">
        <is>
          <t>כן</t>
        </is>
      </c>
    </row>
    <row r="61" ht="14.25" customHeight="1" s="131">
      <c r="A61" s="47" t="inlineStr">
        <is>
          <t>17/08/2026</t>
        </is>
      </c>
      <c r="B61" s="6" t="inlineStr">
        <is>
          <t>עוצמת התמרון – סגירת חשבונית SI266000108 (בניכוי 3%)</t>
        </is>
      </c>
      <c r="C61" s="60" t="n"/>
      <c r="D61" s="60" t="n">
        <v>10113.67</v>
      </c>
      <c r="E61" s="61" t="n">
        <v>758717.05</v>
      </c>
      <c r="F61" s="13" t="n"/>
      <c r="G61" s="6" t="inlineStr">
        <is>
          <t>📤 הוצאה</t>
        </is>
      </c>
      <c r="H61" s="22" t="inlineStr">
        <is>
          <t>כן</t>
        </is>
      </c>
    </row>
    <row r="62" ht="14.25" customHeight="1" s="131">
      <c r="A62" s="63" t="inlineStr">
        <is>
          <t>18/08/2026</t>
        </is>
      </c>
      <c r="B62" s="22" t="inlineStr">
        <is>
          <t>משיכת מזומן</t>
        </is>
      </c>
      <c r="C62" s="64" t="n"/>
      <c r="D62" s="64" t="n">
        <v>206.95</v>
      </c>
      <c r="E62" s="65" t="n">
        <v>758510.1</v>
      </c>
      <c r="F62" s="22" t="inlineStr">
        <is>
          <t>תשלום לעובד שעבד לסחוב מיטות מקורצאק לבית חנינא</t>
        </is>
      </c>
      <c r="G62" s="66" t="inlineStr">
        <is>
          <t>📤 הוצאה</t>
        </is>
      </c>
      <c r="H62" s="22" t="inlineStr">
        <is>
          <t>כן</t>
        </is>
      </c>
    </row>
    <row r="63" ht="14.25" customHeight="1" s="131">
      <c r="A63" s="67" t="inlineStr">
        <is>
          <t>18/08/2026</t>
        </is>
      </c>
      <c r="B63" s="22" t="inlineStr">
        <is>
          <t>שלמה מינסקי – העברה עבור עובדים זרים</t>
        </is>
      </c>
      <c r="C63" s="64" t="n"/>
      <c r="D63" s="64" t="n">
        <v>5489</v>
      </c>
      <c r="E63" s="68" t="n">
        <v>753021.1</v>
      </c>
      <c r="F63" s="22" t="n"/>
      <c r="G63" s="66" t="inlineStr">
        <is>
          <t>📤 הוצאה</t>
        </is>
      </c>
      <c r="H63" s="22" t="inlineStr">
        <is>
          <t>כן</t>
        </is>
      </c>
    </row>
    <row r="64" ht="14.25" customHeight="1" s="131">
      <c r="A64" s="67" t="inlineStr">
        <is>
          <t>18/08/2026</t>
        </is>
      </c>
      <c r="B64" s="22" t="inlineStr">
        <is>
          <t>פאנג שירותי כח אדם – סילוק חשבונית יולי 01/002702</t>
        </is>
      </c>
      <c r="C64" s="64" t="n"/>
      <c r="D64" s="64" t="n">
        <v>492998.1</v>
      </c>
      <c r="E64" s="68" t="n">
        <v>260023</v>
      </c>
      <c r="F64" s="22" t="n"/>
      <c r="G64" s="66" t="inlineStr">
        <is>
          <t>📤 הוצאה</t>
        </is>
      </c>
      <c r="H64" s="22" t="inlineStr">
        <is>
          <t>כן</t>
        </is>
      </c>
    </row>
    <row r="65" ht="14.25" customHeight="1" s="131">
      <c r="A65" s="67" t="inlineStr">
        <is>
          <t>18/08/2026</t>
        </is>
      </c>
      <c r="B65" s="22" t="inlineStr">
        <is>
          <t>עמלת בנק (עמ. גל"י לבנקים)</t>
        </is>
      </c>
      <c r="C65" s="64" t="n"/>
      <c r="D65" s="64" t="n">
        <v>3.85</v>
      </c>
      <c r="E65" s="68" t="n">
        <v>260019.15</v>
      </c>
      <c r="F65" s="22" t="inlineStr">
        <is>
          <t>עמלה קטנה</t>
        </is>
      </c>
      <c r="G65" s="66" t="inlineStr">
        <is>
          <t>📤 הוצאה</t>
        </is>
      </c>
      <c r="H65" s="22" t="inlineStr">
        <is>
          <t>כן</t>
        </is>
      </c>
    </row>
    <row r="66" ht="14.25" customHeight="1" s="131">
      <c r="A66" s="67" t="inlineStr">
        <is>
          <t>18/08/2026</t>
        </is>
      </c>
      <c r="B66" s="22" t="inlineStr">
        <is>
          <t>ש קרליץ בניה בע"מ – החזר יתרת תשלום ביתר</t>
        </is>
      </c>
      <c r="C66" s="64" t="n"/>
      <c r="D66" s="64" t="n">
        <v>48883.26</v>
      </c>
      <c r="E66" s="68" t="n">
        <v>211135.89</v>
      </c>
      <c r="F66" s="22" t="n"/>
      <c r="G66" s="66" t="inlineStr">
        <is>
          <t>📤 הוצאה</t>
        </is>
      </c>
      <c r="H66" s="22" t="n"/>
    </row>
    <row r="67" ht="14.25" customHeight="1" s="131">
      <c r="A67" s="33" t="inlineStr">
        <is>
          <t>19/08/2026</t>
        </is>
      </c>
      <c r="B67" s="33" t="inlineStr">
        <is>
          <t>אופל בלאנס – ניכיון שיק</t>
        </is>
      </c>
      <c r="C67" s="33" t="n">
        <v>50000</v>
      </c>
      <c r="D67" s="33" t="n"/>
      <c r="E67" s="69" t="n">
        <v>261135.89</v>
      </c>
      <c r="F67" s="33" t="inlineStr">
        <is>
          <t>✅ מקדמה על צ'ק גרייטדור (110,000) - ניכיון חלקי, יתרה 60,000 בחודש הבא</t>
        </is>
      </c>
      <c r="G67" s="70" t="inlineStr">
        <is>
          <t>✅ הכנסה</t>
        </is>
      </c>
      <c r="H67" s="33" t="n"/>
    </row>
    <row r="68" ht="14.25" customHeight="1" s="131">
      <c r="A68" s="33" t="inlineStr">
        <is>
          <t>19/08/2026</t>
        </is>
      </c>
      <c r="B68" s="33" t="inlineStr">
        <is>
          <t>אופיר חנון – תשלום על חשבון</t>
        </is>
      </c>
      <c r="C68" s="33" t="n">
        <v>35000</v>
      </c>
      <c r="D68" s="33" t="n"/>
      <c r="E68" s="69" t="n">
        <v>296135.89</v>
      </c>
      <c r="F68" s="33" t="n"/>
      <c r="G68" s="70" t="inlineStr">
        <is>
          <t>✅ הכנסה</t>
        </is>
      </c>
      <c r="H68" s="33" t="n"/>
    </row>
    <row r="69" ht="14.25" customHeight="1" s="131">
      <c r="A69" s="22" t="inlineStr">
        <is>
          <t>19/08/2026</t>
        </is>
      </c>
      <c r="B69" s="22" t="inlineStr">
        <is>
          <t>ג.ד קלאמרה – חשבונית 20005</t>
        </is>
      </c>
      <c r="C69" s="22" t="n"/>
      <c r="D69" s="22" t="n">
        <v>2832</v>
      </c>
      <c r="E69" s="71" t="n">
        <v>293303.89</v>
      </c>
      <c r="F69" s="22" t="n"/>
      <c r="G69" s="66" t="inlineStr">
        <is>
          <t>📤 הוצאה</t>
        </is>
      </c>
      <c r="H69" s="22" t="inlineStr">
        <is>
          <t>כן</t>
        </is>
      </c>
    </row>
    <row r="70" ht="14.25" customHeight="1" s="131">
      <c r="A70" s="22" t="inlineStr">
        <is>
          <t>19/08/2026</t>
        </is>
      </c>
      <c r="B70" s="22" t="inlineStr">
        <is>
          <t>פניני התכלת – סילוק חשבונית 90088 (ניכוי 2%)</t>
        </is>
      </c>
      <c r="C70" s="22" t="n"/>
      <c r="D70" s="22" t="n">
        <v>69822.72</v>
      </c>
      <c r="E70" s="71" t="n">
        <v>223481.17</v>
      </c>
      <c r="F70" s="22" t="inlineStr">
        <is>
          <t>נטו אחרי ניכוי מס במקור</t>
        </is>
      </c>
      <c r="G70" s="66" t="inlineStr">
        <is>
          <t>📤 הוצאה</t>
        </is>
      </c>
      <c r="H70" s="22" t="inlineStr">
        <is>
          <t>כן</t>
        </is>
      </c>
    </row>
    <row r="71" ht="14.25" customHeight="1" s="131">
      <c r="A71" s="22" t="inlineStr">
        <is>
          <t>ש</t>
        </is>
      </c>
      <c r="B71" s="22" t="inlineStr">
        <is>
          <t>פרעון הלוואה</t>
        </is>
      </c>
      <c r="C71" s="22" t="n"/>
      <c r="D71" s="22" t="n">
        <v>4141.44</v>
      </c>
      <c r="E71" s="71" t="n">
        <v>219339.73</v>
      </c>
      <c r="F71" s="22" t="n"/>
      <c r="G71" s="66" t="inlineStr">
        <is>
          <t>📤 הוצאה</t>
        </is>
      </c>
      <c r="H71" s="22" t="inlineStr">
        <is>
          <t>כן</t>
        </is>
      </c>
    </row>
    <row r="72" ht="14.25" customHeight="1" s="131">
      <c r="A72" s="22" t="inlineStr">
        <is>
          <t>20/08/2026</t>
        </is>
      </c>
      <c r="B72" s="22" t="inlineStr">
        <is>
          <t>פרעון שיק – חברת החשמל</t>
        </is>
      </c>
      <c r="C72" s="22" t="n"/>
      <c r="D72" s="22" t="n">
        <v>1825</v>
      </c>
      <c r="E72" s="71" t="n">
        <v>217514.73</v>
      </c>
      <c r="F72" s="22" t="n"/>
      <c r="G72" s="66" t="inlineStr">
        <is>
          <t>📤 הוצאה</t>
        </is>
      </c>
      <c r="H72" s="22" t="inlineStr">
        <is>
          <t>כן</t>
        </is>
      </c>
    </row>
    <row r="73" ht="14.25" customHeight="1" s="131">
      <c r="A73" s="22" t="inlineStr">
        <is>
          <t>20/08/2026</t>
        </is>
      </c>
      <c r="B73" s="22" t="inlineStr">
        <is>
          <t>BMG – סילוק חשבונית יולי 3006</t>
        </is>
      </c>
      <c r="C73" s="22" t="n"/>
      <c r="D73" s="22" t="n">
        <v>94801.78999999999</v>
      </c>
      <c r="E73" s="71" t="n">
        <v>122712.94</v>
      </c>
      <c r="F73" s="22" t="n"/>
      <c r="G73" s="66" t="inlineStr">
        <is>
          <t>📤 הוצאה</t>
        </is>
      </c>
      <c r="H73" s="22" t="inlineStr">
        <is>
          <t>כן</t>
        </is>
      </c>
    </row>
    <row r="74" ht="14.25" customHeight="1" s="131">
      <c r="A74" s="22" t="inlineStr">
        <is>
          <t>20/08/2026</t>
        </is>
      </c>
      <c r="B74" s="22" t="inlineStr">
        <is>
          <t>פוגין אינטרנשיונל – סילוק חשבונית יולי 01/000876</t>
        </is>
      </c>
      <c r="C74" s="22" t="n"/>
      <c r="D74" s="22" t="n">
        <v>25869.7</v>
      </c>
      <c r="E74" s="71" t="n">
        <v>96843.24000000002</v>
      </c>
      <c r="F74" s="22" t="n"/>
      <c r="G74" s="66" t="inlineStr">
        <is>
          <t>📤 הוצאה</t>
        </is>
      </c>
      <c r="H74" s="22" t="inlineStr">
        <is>
          <t>כן</t>
        </is>
      </c>
    </row>
    <row r="75" ht="14.25" customHeight="1" s="131">
      <c r="A75" s="33" t="inlineStr">
        <is>
          <t>20/08/2026</t>
        </is>
      </c>
      <c r="B75" s="33" t="inlineStr">
        <is>
          <t>רמא – ר.מ. ט – השלמה לניכוי מס במקור (יש פטור)</t>
        </is>
      </c>
      <c r="C75" s="33" t="n">
        <v>9166.24</v>
      </c>
      <c r="D75" s="33" t="n"/>
      <c r="E75" s="69" t="n">
        <v>106009.48</v>
      </c>
      <c r="F75" s="33" t="n"/>
      <c r="G75" s="70" t="inlineStr">
        <is>
          <t>✅ הכנסה</t>
        </is>
      </c>
      <c r="H75" s="33" t="n"/>
    </row>
    <row r="76" ht="14.25" customHeight="1" s="131">
      <c r="A76" s="33" t="inlineStr">
        <is>
          <t>23/08/2026</t>
        </is>
      </c>
      <c r="B76" s="33" t="inlineStr">
        <is>
          <t>אופל בלאנס – ניכיון שיק</t>
        </is>
      </c>
      <c r="C76" s="33" t="n">
        <v>28642</v>
      </c>
      <c r="D76" s="33" t="n"/>
      <c r="E76" s="69" t="n">
        <v>134651.48</v>
      </c>
      <c r="F76" s="33" t="inlineStr">
        <is>
          <t>✅ ניכיון 2 צ'קי מצודת השלום (29,551 בניכוי עמלה 909)</t>
        </is>
      </c>
      <c r="G76" s="70" t="inlineStr">
        <is>
          <t>✅ הכנסה</t>
        </is>
      </c>
      <c r="H76" s="33" t="n"/>
    </row>
    <row r="77" ht="14.25" customHeight="1" s="131">
      <c r="A77" s="33" t="inlineStr">
        <is>
          <t>23/08/2026</t>
        </is>
      </c>
      <c r="B77" s="33" t="inlineStr">
        <is>
          <t>אופיר חנון – תשלום נוסף</t>
        </is>
      </c>
      <c r="C77" s="33" t="n">
        <v>20000</v>
      </c>
      <c r="D77" s="33" t="n"/>
      <c r="E77" s="69" t="n">
        <v>154651.48</v>
      </c>
      <c r="F77" s="33" t="n"/>
      <c r="G77" s="70" t="inlineStr">
        <is>
          <t>✅ הכנסה</t>
        </is>
      </c>
      <c r="H77" s="33" t="n"/>
    </row>
    <row r="78" ht="14.25" customHeight="1" s="131">
      <c r="A78" s="33" t="inlineStr">
        <is>
          <t>23/08/2026</t>
        </is>
      </c>
      <c r="B78" s="33" t="inlineStr">
        <is>
          <t>מטה ופתילים – העברה עבור צ'ק רוטנברג</t>
        </is>
      </c>
      <c r="C78" s="33" t="n">
        <v>58826</v>
      </c>
      <c r="D78" s="33" t="n"/>
      <c r="E78" s="69" t="n">
        <v>213477.48</v>
      </c>
      <c r="F78" s="33" t="inlineStr">
        <is>
          <t>✅ מטה כיסה את הצ'ק כמתוכנן</t>
        </is>
      </c>
      <c r="G78" s="70" t="inlineStr">
        <is>
          <t>✅ הכנסה</t>
        </is>
      </c>
      <c r="H78" s="33" t="n"/>
    </row>
    <row r="79" ht="14.25" customHeight="1" s="131">
      <c r="A79" s="22" t="inlineStr">
        <is>
          <t>23/08/2026</t>
        </is>
      </c>
      <c r="B79" s="22" t="inlineStr">
        <is>
          <t>BONOS – Pankaj Kumar</t>
        </is>
      </c>
      <c r="C79" s="22" t="n"/>
      <c r="D79" s="22" t="n">
        <v>600</v>
      </c>
      <c r="E79" s="71" t="n">
        <v>212877.48</v>
      </c>
      <c r="F79" s="22" t="n"/>
      <c r="G79" s="66" t="inlineStr">
        <is>
          <t>📤 הוצאה</t>
        </is>
      </c>
      <c r="H79" s="22" t="inlineStr">
        <is>
          <t>כן</t>
        </is>
      </c>
    </row>
    <row r="80" ht="14.25" customHeight="1" s="131">
      <c r="A80" s="22" t="inlineStr">
        <is>
          <t>23/08/2026</t>
        </is>
      </c>
      <c r="B80" s="22" t="inlineStr">
        <is>
          <t>דלק – Delev Andrei</t>
        </is>
      </c>
      <c r="C80" s="22" t="n"/>
      <c r="D80" s="22" t="n">
        <v>300</v>
      </c>
      <c r="E80" s="71" t="n">
        <v>212577.48</v>
      </c>
      <c r="F80" s="22" t="n"/>
      <c r="G80" s="66" t="inlineStr">
        <is>
          <t>📤 הוצאה</t>
        </is>
      </c>
      <c r="H80" s="22" t="inlineStr">
        <is>
          <t>כן</t>
        </is>
      </c>
    </row>
    <row r="81" ht="14.25" customHeight="1" s="131">
      <c r="A81" s="67" t="inlineStr">
        <is>
          <t>25/08/2026</t>
        </is>
      </c>
      <c r="B81" s="22" t="inlineStr">
        <is>
          <t>פאנג שירותי כח אדם – צ'ק 5000344 (יתרת חשבונית מאי)</t>
        </is>
      </c>
      <c r="C81" s="22" t="n"/>
      <c r="D81" s="22" t="n">
        <v>132000</v>
      </c>
      <c r="E81" s="71" t="n">
        <v>80577.48000000001</v>
      </c>
      <c r="F81" s="22" t="n"/>
      <c r="G81" s="66" t="inlineStr">
        <is>
          <t>📤 הוצאה</t>
        </is>
      </c>
      <c r="H81" s="22" t="inlineStr">
        <is>
          <t>לא</t>
        </is>
      </c>
    </row>
    <row r="82" ht="14.25" customHeight="1" s="131">
      <c r="A82" s="67" t="inlineStr">
        <is>
          <t>25/08/2026</t>
        </is>
      </c>
      <c r="B82" s="22" t="inlineStr">
        <is>
          <t>אחים לימור – תשלום חלקי עבור חשבונית 956</t>
        </is>
      </c>
      <c r="C82" s="22" t="n"/>
      <c r="D82" s="22" t="n">
        <v>40000</v>
      </c>
      <c r="E82" s="71" t="n">
        <v>40577.48000000001</v>
      </c>
      <c r="F82" s="22" t="n"/>
      <c r="G82" s="66" t="inlineStr">
        <is>
          <t>📤 הוצאה</t>
        </is>
      </c>
      <c r="H82" s="22" t="inlineStr">
        <is>
          <t>כן</t>
        </is>
      </c>
    </row>
    <row r="83" ht="14.25" customHeight="1" s="131">
      <c r="A83" s="67" t="inlineStr">
        <is>
          <t>26/08/2026</t>
        </is>
      </c>
      <c r="B83" s="22" t="inlineStr">
        <is>
          <t>מ. רוטנברג – צ'ק 5000327</t>
        </is>
      </c>
      <c r="C83" s="22" t="n"/>
      <c r="D83" s="22" t="n">
        <v>58836</v>
      </c>
      <c r="E83" s="71" t="n">
        <v>-18258.52</v>
      </c>
      <c r="F83" s="22" t="inlineStr">
        <is>
          <t>⚠️ 58,836 בפועל (לא 58,826 כמו שהיה רשום - הפרש 10 ₪)</t>
        </is>
      </c>
      <c r="G83" s="66" t="inlineStr">
        <is>
          <t>📤 הוצאה</t>
        </is>
      </c>
      <c r="H83" s="22" t="inlineStr">
        <is>
          <t>לא</t>
        </is>
      </c>
    </row>
    <row r="84" ht="14.25" customHeight="1" s="131">
      <c r="A84" s="67" t="inlineStr">
        <is>
          <t>26/08/2026</t>
        </is>
      </c>
      <c r="B84" s="22" t="inlineStr">
        <is>
          <t>שי-לי כח אדם – חשבונית 230673</t>
        </is>
      </c>
      <c r="C84" s="22" t="n"/>
      <c r="D84" s="22" t="n">
        <v>44156</v>
      </c>
      <c r="E84" s="71" t="n">
        <v>-62414.52</v>
      </c>
      <c r="F84" s="22" t="n"/>
      <c r="G84" s="66" t="inlineStr">
        <is>
          <t>📤 הוצאה</t>
        </is>
      </c>
      <c r="H84" s="22" t="inlineStr">
        <is>
          <t>כן</t>
        </is>
      </c>
    </row>
    <row r="85" ht="14.25" customHeight="1" s="131">
      <c r="A85" s="67" t="inlineStr">
        <is>
          <t>27/08/2026</t>
        </is>
      </c>
      <c r="B85" s="22" t="inlineStr">
        <is>
          <t>מע"מ</t>
        </is>
      </c>
      <c r="C85" s="22" t="n"/>
      <c r="D85" s="22" t="n">
        <v>27839</v>
      </c>
      <c r="E85" s="71" t="n">
        <v>-90253.51999999999</v>
      </c>
      <c r="F85" s="22" t="inlineStr">
        <is>
          <t>⚠️ סכום אמיתי גבוה יותר ממה שהוערך קודם (5,056)</t>
        </is>
      </c>
      <c r="G85" s="66" t="inlineStr">
        <is>
          <t>🔁 קבוע</t>
        </is>
      </c>
      <c r="H85" s="22" t="inlineStr">
        <is>
          <t>כן</t>
        </is>
      </c>
    </row>
    <row r="86" ht="14.25" customHeight="1" s="131">
      <c r="A86" s="67" t="inlineStr">
        <is>
          <t>27/08/2026</t>
        </is>
      </c>
      <c r="B86" s="22" t="inlineStr">
        <is>
          <t>ביטוח לאומי</t>
        </is>
      </c>
      <c r="C86" s="22" t="n"/>
      <c r="D86" s="22" t="n">
        <v>8168</v>
      </c>
      <c r="E86" s="71" t="n">
        <v>-98421.51999999999</v>
      </c>
      <c r="F86" s="22" t="inlineStr">
        <is>
          <t>✅ ירד מוקדם (היה מתוכנן ל-4/9)</t>
        </is>
      </c>
      <c r="G86" s="66" t="inlineStr">
        <is>
          <t>🔁 קבוע</t>
        </is>
      </c>
      <c r="H86" s="22" t="inlineStr">
        <is>
          <t>כן</t>
        </is>
      </c>
    </row>
    <row r="87" ht="14.25" customHeight="1" s="131">
      <c r="A87" s="75" t="inlineStr">
        <is>
          <t>27/08/2026</t>
        </is>
      </c>
      <c r="B87" s="33" t="inlineStr">
        <is>
          <t>מטה ופתילים – העברה</t>
        </is>
      </c>
      <c r="C87" s="33" t="n">
        <v>50000</v>
      </c>
      <c r="D87" s="33" t="n"/>
      <c r="E87" s="69" t="n">
        <v>-48421.51999999999</v>
      </c>
      <c r="F87" s="33" t="inlineStr">
        <is>
          <t>כיסוי חריגה</t>
        </is>
      </c>
      <c r="G87" s="70" t="inlineStr">
        <is>
          <t>✅ הכנסה</t>
        </is>
      </c>
      <c r="H87" s="33" t="n"/>
    </row>
    <row r="88" ht="14.25" customHeight="1" s="131">
      <c r="A88" s="75" t="inlineStr">
        <is>
          <t>28/08/2026</t>
        </is>
      </c>
      <c r="B88" s="33" t="inlineStr">
        <is>
          <t>מטה ופתילים – העברה</t>
        </is>
      </c>
      <c r="C88" s="33" t="n">
        <v>30000</v>
      </c>
      <c r="D88" s="33" t="n"/>
      <c r="E88" s="69" t="n">
        <v>-18421.51999999999</v>
      </c>
      <c r="F88" s="33" t="inlineStr">
        <is>
          <t>כיסוי חריגה - סה"כ עם ההעברה הקודמת 80,000</t>
        </is>
      </c>
      <c r="G88" s="70" t="inlineStr">
        <is>
          <t>✅ הכנסה</t>
        </is>
      </c>
      <c r="H88" s="33" t="n"/>
    </row>
    <row r="89" ht="14.25" customHeight="1" s="131">
      <c r="A89" s="67" t="inlineStr">
        <is>
          <t>30/08/2026</t>
        </is>
      </c>
      <c r="B89" s="22" t="inlineStr">
        <is>
          <t>העברה לחשבונותי</t>
        </is>
      </c>
      <c r="C89" s="22" t="n"/>
      <c r="D89" s="22" t="n">
        <v>6.89</v>
      </c>
      <c r="E89" s="71" t="n">
        <v>-18428.41</v>
      </c>
      <c r="F89" s="22" t="inlineStr">
        <is>
          <t>עמלה/העברה פנימית קטנה</t>
        </is>
      </c>
      <c r="G89" s="66" t="inlineStr">
        <is>
          <t>📤 הוצאה</t>
        </is>
      </c>
      <c r="H89" s="22" t="inlineStr">
        <is>
          <t>כן</t>
        </is>
      </c>
    </row>
    <row r="90" ht="14.25" customHeight="1" s="131">
      <c r="A90" s="75" t="inlineStr">
        <is>
          <t>30/08/2026</t>
        </is>
      </c>
      <c r="B90" s="33" t="inlineStr">
        <is>
          <t>אברהם חיים ב - תשלום</t>
        </is>
      </c>
      <c r="C90" s="33" t="n">
        <v>2077.7</v>
      </c>
      <c r="D90" s="33" t="n"/>
      <c r="E90" s="69" t="n">
        <v>-16350.71</v>
      </c>
      <c r="F90" s="33" t="inlineStr">
        <is>
          <t>החזר מזמירה עבור גז ומים ששילמנו בחודשים שלא הייתה שם</t>
        </is>
      </c>
      <c r="G90" s="70" t="inlineStr">
        <is>
          <t>✅ הכנסה</t>
        </is>
      </c>
      <c r="H90" s="33" t="n"/>
    </row>
    <row r="91" ht="14.25" customHeight="1" s="131">
      <c r="A91" s="67" t="inlineStr">
        <is>
          <t>31/08/2026</t>
        </is>
      </c>
      <c r="B91" s="22" t="inlineStr">
        <is>
          <t>מע"מ (תשלום נוסף)</t>
        </is>
      </c>
      <c r="C91" s="22" t="n"/>
      <c r="D91" s="22" t="n">
        <v>5056</v>
      </c>
      <c r="E91" s="71" t="n">
        <v>-21406.71</v>
      </c>
      <c r="F91" s="22" t="n"/>
      <c r="G91" s="66" t="inlineStr">
        <is>
          <t>🔁 קבוע</t>
        </is>
      </c>
      <c r="H91" s="22" t="inlineStr">
        <is>
          <t>כן</t>
        </is>
      </c>
    </row>
    <row r="92" ht="14.25" customHeight="1" s="131">
      <c r="A92" s="58" t="inlineStr">
        <is>
          <t>יתרה בפועל בבנק – 31/08/2026 (סוף חודש) ⚠️ עדיין ביתרת חובה</t>
        </is>
      </c>
      <c r="E92" s="76" t="n">
        <v>-21406.71</v>
      </c>
    </row>
    <row r="93" ht="14.25" customHeight="1" s="131">
      <c r="A93" s="58" t="inlineStr">
        <is>
          <t>הערה: תנועות עתידיות/ממתינות עברו לגיליון "ממתינים לתשלום" (כדי לא לכפול). הנתונים כאן מאומתים במלואם מול דו"ח בנק לאומי עד 31/08/2026 - סוף חודש אוגוסט. ⚠️ החשבון סגר את החודש ביתרת חובה.</t>
        </is>
      </c>
    </row>
    <row r="94" ht="14.25" customHeight="1" s="131"/>
    <row r="95" ht="14.25" customHeight="1" s="131">
      <c r="A95" s="78" t="inlineStr">
        <is>
          <t>📊 סיכום לפי עמודה "שייך להוצאות החודש?"</t>
        </is>
      </c>
      <c r="B95" s="80" t="n"/>
      <c r="C95" s="80" t="n"/>
      <c r="D95" s="80" t="n"/>
    </row>
    <row r="96" ht="14.25" customHeight="1" s="131">
      <c r="A96" s="80" t="inlineStr">
        <is>
          <t>סה"כ הוצאות שכן שייכות לחודש (שכירות, משכורות, מע"מ, כרטיסי אשראי, קבועות)</t>
        </is>
      </c>
      <c r="B96" s="80" t="n"/>
      <c r="C96" s="80" t="n"/>
      <c r="D96" s="83" t="n">
        <v>1047718.29</v>
      </c>
    </row>
    <row r="97" ht="14.25" customHeight="1" s="131">
      <c r="A97" s="80" t="inlineStr">
        <is>
          <t>סה"כ הוצאות שלא שייכות (חובות תאגידים מחודשים אחרים, ניכיונות, החזרים, העברות)</t>
        </is>
      </c>
      <c r="B97" s="80" t="n"/>
      <c r="C97" s="80" t="n"/>
      <c r="D97" s="83" t="n">
        <v>273787</v>
      </c>
    </row>
    <row r="98" ht="14.25" customHeight="1" s="131"/>
    <row r="99" ht="14.25" customHeight="1" s="131"/>
    <row r="100" ht="14.25" customHeight="1" s="131"/>
    <row r="101" ht="14.25" customHeight="1" s="131"/>
    <row r="102" ht="14.25" customHeight="1" s="131"/>
    <row r="103" ht="14.25" customHeight="1" s="131"/>
    <row r="104" ht="14.25" customHeight="1" s="131"/>
    <row r="105" ht="14.25" customHeight="1" s="131"/>
    <row r="106" ht="14.25" customHeight="1" s="131"/>
    <row r="107" ht="14.25" customHeight="1" s="131"/>
    <row r="108" ht="14.25" customHeight="1" s="131"/>
    <row r="109" ht="14.25" customHeight="1" s="131"/>
    <row r="110" ht="14.25" customHeight="1" s="131"/>
    <row r="111" ht="14.25" customHeight="1" s="131"/>
    <row r="112" ht="14.25" customHeight="1" s="131"/>
    <row r="113" ht="14.25" customHeight="1" s="131"/>
    <row r="114" ht="14.25" customHeight="1" s="131"/>
    <row r="115" ht="14.25" customHeight="1" s="131"/>
    <row r="116" ht="14.25" customHeight="1" s="131"/>
    <row r="117" ht="14.25" customHeight="1" s="131"/>
    <row r="118" ht="14.25" customHeight="1" s="131"/>
    <row r="119" ht="14.25" customHeight="1" s="131"/>
    <row r="120" ht="14.25" customHeight="1" s="131"/>
    <row r="121" ht="14.25" customHeight="1" s="131"/>
    <row r="122" ht="14.25" customHeight="1" s="131"/>
    <row r="123" ht="14.25" customHeight="1" s="131"/>
    <row r="124" ht="14.25" customHeight="1" s="131"/>
    <row r="125" ht="14.25" customHeight="1" s="131"/>
    <row r="126" ht="14.25" customHeight="1" s="131"/>
    <row r="127" ht="14.25" customHeight="1" s="131"/>
    <row r="128" ht="14.25" customHeight="1" s="131"/>
    <row r="129" ht="14.25" customHeight="1" s="131"/>
    <row r="130" ht="14.25" customHeight="1" s="131"/>
    <row r="131" ht="14.25" customHeight="1" s="131"/>
    <row r="132" ht="14.25" customHeight="1" s="131"/>
    <row r="133" ht="14.25" customHeight="1" s="131"/>
    <row r="134" ht="14.25" customHeight="1" s="131"/>
    <row r="135" ht="14.25" customHeight="1" s="131"/>
    <row r="136" ht="14.25" customHeight="1" s="131"/>
    <row r="137" ht="14.25" customHeight="1" s="131"/>
    <row r="138" ht="14.25" customHeight="1" s="131"/>
    <row r="139" ht="14.25" customHeight="1" s="131"/>
    <row r="140" ht="14.25" customHeight="1" s="131"/>
    <row r="141" ht="14.25" customHeight="1" s="131"/>
    <row r="142" ht="14.25" customHeight="1" s="131"/>
    <row r="143" ht="14.25" customHeight="1" s="131"/>
    <row r="144" ht="14.25" customHeight="1" s="131"/>
    <row r="145" ht="14.25" customHeight="1" s="131"/>
    <row r="146" ht="14.25" customHeight="1" s="131"/>
    <row r="147" ht="14.25" customHeight="1" s="131"/>
    <row r="148" ht="14.25" customHeight="1" s="131"/>
    <row r="149" ht="14.25" customHeight="1" s="131"/>
    <row r="150" ht="14.25" customHeight="1" s="131"/>
    <row r="151" ht="14.25" customHeight="1" s="131"/>
    <row r="152" ht="14.25" customHeight="1" s="131"/>
    <row r="153" ht="14.25" customHeight="1" s="131"/>
    <row r="154" ht="14.25" customHeight="1" s="131"/>
    <row r="155" ht="14.25" customHeight="1" s="131"/>
    <row r="156" ht="14.25" customHeight="1" s="131"/>
    <row r="157" ht="14.25" customHeight="1" s="131"/>
    <row r="158" ht="14.25" customHeight="1" s="131"/>
    <row r="159" ht="14.25" customHeight="1" s="131"/>
    <row r="160" ht="14.25" customHeight="1" s="131"/>
    <row r="161" ht="14.25" customHeight="1" s="131"/>
    <row r="162" ht="14.25" customHeight="1" s="131"/>
    <row r="163" ht="14.25" customHeight="1" s="131"/>
    <row r="164" ht="14.25" customHeight="1" s="131"/>
    <row r="165" ht="14.25" customHeight="1" s="131"/>
    <row r="166" ht="14.25" customHeight="1" s="131"/>
    <row r="167" ht="14.25" customHeight="1" s="131"/>
    <row r="168" ht="14.25" customHeight="1" s="131"/>
    <row r="169" ht="14.25" customHeight="1" s="131"/>
    <row r="170" ht="14.25" customHeight="1" s="131"/>
    <row r="171" ht="14.25" customHeight="1" s="131"/>
    <row r="172" ht="14.25" customHeight="1" s="131"/>
    <row r="173" ht="14.25" customHeight="1" s="131"/>
    <row r="174" ht="14.25" customHeight="1" s="131"/>
    <row r="175" ht="14.25" customHeight="1" s="131"/>
    <row r="176" ht="14.25" customHeight="1" s="131"/>
    <row r="177" ht="14.25" customHeight="1" s="131"/>
    <row r="178" ht="14.25" customHeight="1" s="131"/>
    <row r="179" ht="14.25" customHeight="1" s="131"/>
    <row r="180" ht="14.25" customHeight="1" s="131"/>
    <row r="181" ht="14.25" customHeight="1" s="131"/>
    <row r="182" ht="14.25" customHeight="1" s="131"/>
    <row r="183" ht="14.25" customHeight="1" s="131"/>
    <row r="184" ht="14.25" customHeight="1" s="131"/>
    <row r="185" ht="14.25" customHeight="1" s="131"/>
    <row r="186" ht="14.25" customHeight="1" s="131"/>
    <row r="187" ht="14.25" customHeight="1" s="131"/>
    <row r="188" ht="14.25" customHeight="1" s="131"/>
    <row r="189" ht="14.25" customHeight="1" s="131"/>
    <row r="190" ht="14.25" customHeight="1" s="131"/>
    <row r="191" ht="14.25" customHeight="1" s="131"/>
    <row r="192" ht="14.25" customHeight="1" s="131"/>
    <row r="193" ht="14.25" customHeight="1" s="131"/>
    <row r="194" ht="14.25" customHeight="1" s="131"/>
    <row r="195" ht="14.25" customHeight="1" s="131"/>
    <row r="196" ht="14.25" customHeight="1" s="131"/>
    <row r="197" ht="14.25" customHeight="1" s="131"/>
    <row r="198" ht="14.25" customHeight="1" s="131"/>
    <row r="199" ht="14.25" customHeight="1" s="131"/>
    <row r="200" ht="14.25" customHeight="1" s="131"/>
    <row r="201" ht="14.25" customHeight="1" s="131"/>
    <row r="202" ht="14.25" customHeight="1" s="131"/>
    <row r="203" ht="14.25" customHeight="1" s="131"/>
    <row r="204" ht="14.25" customHeight="1" s="131"/>
    <row r="205" ht="14.25" customHeight="1" s="131"/>
    <row r="206" ht="14.25" customHeight="1" s="131"/>
    <row r="207" ht="14.25" customHeight="1" s="131"/>
    <row r="208" ht="14.25" customHeight="1" s="131"/>
    <row r="209" ht="14.25" customHeight="1" s="131"/>
    <row r="210" ht="14.25" customHeight="1" s="131"/>
    <row r="211" ht="14.25" customHeight="1" s="131"/>
    <row r="212" ht="14.25" customHeight="1" s="131"/>
    <row r="213" ht="14.25" customHeight="1" s="131"/>
    <row r="214" ht="14.25" customHeight="1" s="131"/>
    <row r="215" ht="14.25" customHeight="1" s="131"/>
    <row r="216" ht="14.25" customHeight="1" s="131"/>
    <row r="217" ht="14.25" customHeight="1" s="131"/>
    <row r="218" ht="14.25" customHeight="1" s="131"/>
    <row r="219" ht="14.25" customHeight="1" s="131"/>
    <row r="220" ht="14.25" customHeight="1" s="131"/>
    <row r="221" ht="14.25" customHeight="1" s="131"/>
    <row r="222" ht="14.25" customHeight="1" s="131"/>
    <row r="223" ht="14.25" customHeight="1" s="131"/>
    <row r="224" ht="14.25" customHeight="1" s="131"/>
    <row r="225" ht="14.25" customHeight="1" s="131"/>
    <row r="226" ht="14.25" customHeight="1" s="131"/>
    <row r="227" ht="14.25" customHeight="1" s="131"/>
    <row r="228" ht="14.25" customHeight="1" s="131"/>
    <row r="229" ht="14.25" customHeight="1" s="131"/>
    <row r="230" ht="14.25" customHeight="1" s="131"/>
    <row r="231" ht="14.25" customHeight="1" s="131"/>
    <row r="232" ht="14.25" customHeight="1" s="131"/>
    <row r="233" ht="14.25" customHeight="1" s="131"/>
    <row r="234" ht="14.25" customHeight="1" s="131"/>
    <row r="235" ht="14.25" customHeight="1" s="131"/>
    <row r="236" ht="14.25" customHeight="1" s="131"/>
    <row r="237" ht="14.25" customHeight="1" s="131"/>
    <row r="238" ht="14.25" customHeight="1" s="131"/>
    <row r="239" ht="14.25" customHeight="1" s="131"/>
    <row r="240" ht="14.25" customHeight="1" s="131"/>
    <row r="241" ht="14.25" customHeight="1" s="131"/>
    <row r="242" ht="14.25" customHeight="1" s="131"/>
    <row r="243" ht="14.25" customHeight="1" s="131"/>
    <row r="244" ht="14.25" customHeight="1" s="131"/>
    <row r="245" ht="14.25" customHeight="1" s="131"/>
    <row r="246" ht="14.25" customHeight="1" s="131"/>
    <row r="247" ht="14.25" customHeight="1" s="131"/>
    <row r="248" ht="14.25" customHeight="1" s="131"/>
    <row r="249" ht="14.25" customHeight="1" s="131"/>
    <row r="250" ht="14.25" customHeight="1" s="131"/>
    <row r="251" ht="14.25" customHeight="1" s="131"/>
    <row r="252" ht="14.25" customHeight="1" s="131"/>
    <row r="253" ht="14.25" customHeight="1" s="131"/>
    <row r="254" ht="14.25" customHeight="1" s="131"/>
    <row r="255" ht="14.25" customHeight="1" s="131"/>
    <row r="256" ht="14.25" customHeight="1" s="131"/>
    <row r="257" ht="14.25" customHeight="1" s="131"/>
    <row r="258" ht="14.25" customHeight="1" s="131"/>
    <row r="259" ht="14.25" customHeight="1" s="131"/>
    <row r="260" ht="14.25" customHeight="1" s="131"/>
    <row r="261" ht="14.25" customHeight="1" s="131"/>
    <row r="262" ht="14.25" customHeight="1" s="131"/>
    <row r="263" ht="14.25" customHeight="1" s="131"/>
    <row r="264" ht="14.25" customHeight="1" s="131"/>
    <row r="265" ht="14.25" customHeight="1" s="131"/>
    <row r="266" ht="14.25" customHeight="1" s="131"/>
    <row r="267" ht="14.25" customHeight="1" s="131"/>
    <row r="268" ht="14.25" customHeight="1" s="131"/>
    <row r="269" ht="14.25" customHeight="1" s="131"/>
    <row r="270" ht="14.25" customHeight="1" s="131"/>
    <row r="271" ht="14.25" customHeight="1" s="131"/>
    <row r="272" ht="14.25" customHeight="1" s="131"/>
    <row r="273" ht="14.25" customHeight="1" s="131"/>
    <row r="274" ht="14.25" customHeight="1" s="131"/>
    <row r="275" ht="14.25" customHeight="1" s="131"/>
    <row r="276" ht="14.25" customHeight="1" s="131"/>
    <row r="277" ht="14.25" customHeight="1" s="131"/>
    <row r="278" ht="14.25" customHeight="1" s="131"/>
    <row r="279" ht="14.25" customHeight="1" s="131"/>
    <row r="280" ht="14.25" customHeight="1" s="131"/>
    <row r="281" ht="14.25" customHeight="1" s="131"/>
    <row r="282" ht="14.25" customHeight="1" s="131"/>
    <row r="283" ht="14.25" customHeight="1" s="131"/>
    <row r="284" ht="14.25" customHeight="1" s="131"/>
    <row r="285" ht="14.25" customHeight="1" s="131"/>
    <row r="286" ht="14.25" customHeight="1" s="131"/>
    <row r="287" ht="14.25" customHeight="1" s="131"/>
    <row r="288" ht="14.25" customHeight="1" s="131"/>
    <row r="289" ht="14.25" customHeight="1" s="131"/>
    <row r="290" ht="14.25" customHeight="1" s="131"/>
    <row r="291" ht="14.25" customHeight="1" s="131"/>
    <row r="292" ht="14.25" customHeight="1" s="131"/>
    <row r="293" ht="14.25" customHeight="1" s="131"/>
    <row r="294" ht="14.25" customHeight="1" s="131"/>
    <row r="295" ht="14.25" customHeight="1" s="131"/>
    <row r="296" ht="14.25" customHeight="1" s="131"/>
    <row r="297" ht="14.25" customHeight="1" s="131"/>
    <row r="298" ht="14.25" customHeight="1" s="131"/>
    <row r="299" ht="14.25" customHeight="1" s="131"/>
    <row r="300" ht="14.25" customHeight="1" s="131"/>
    <row r="301" ht="14.25" customHeight="1" s="131"/>
    <row r="302" ht="14.25" customHeight="1" s="131"/>
    <row r="303" ht="14.25" customHeight="1" s="131"/>
    <row r="304" ht="14.25" customHeight="1" s="131"/>
    <row r="305" ht="14.25" customHeight="1" s="131"/>
    <row r="306" ht="14.25" customHeight="1" s="131"/>
    <row r="307" ht="14.25" customHeight="1" s="131"/>
    <row r="308" ht="14.25" customHeight="1" s="131"/>
    <row r="309" ht="14.25" customHeight="1" s="131"/>
    <row r="310" ht="14.25" customHeight="1" s="131"/>
    <row r="311" ht="14.25" customHeight="1" s="131"/>
    <row r="312" ht="14.25" customHeight="1" s="131"/>
    <row r="313" ht="14.25" customHeight="1" s="131"/>
    <row r="314" ht="14.25" customHeight="1" s="131"/>
    <row r="315" ht="14.25" customHeight="1" s="131"/>
    <row r="316" ht="14.25" customHeight="1" s="131"/>
    <row r="317" ht="14.25" customHeight="1" s="131"/>
    <row r="318" ht="14.25" customHeight="1" s="131"/>
    <row r="319" ht="14.25" customHeight="1" s="131"/>
    <row r="320" ht="14.25" customHeight="1" s="131"/>
    <row r="321" ht="14.25" customHeight="1" s="131"/>
    <row r="322" ht="14.25" customHeight="1" s="131"/>
    <row r="323" ht="14.25" customHeight="1" s="131"/>
    <row r="324" ht="14.25" customHeight="1" s="131"/>
    <row r="325" ht="14.25" customHeight="1" s="131"/>
    <row r="326" ht="14.25" customHeight="1" s="131"/>
    <row r="327" ht="14.25" customHeight="1" s="131"/>
    <row r="328" ht="14.25" customHeight="1" s="131"/>
    <row r="329" ht="14.25" customHeight="1" s="131"/>
    <row r="330" ht="14.25" customHeight="1" s="131"/>
    <row r="331" ht="14.25" customHeight="1" s="131"/>
    <row r="332" ht="14.25" customHeight="1" s="131"/>
    <row r="333" ht="14.25" customHeight="1" s="131"/>
    <row r="334" ht="14.25" customHeight="1" s="131"/>
    <row r="335" ht="14.25" customHeight="1" s="131"/>
    <row r="336" ht="14.25" customHeight="1" s="131"/>
    <row r="337" ht="14.25" customHeight="1" s="131"/>
    <row r="338" ht="14.25" customHeight="1" s="131"/>
    <row r="339" ht="14.25" customHeight="1" s="131"/>
    <row r="340" ht="14.25" customHeight="1" s="131"/>
    <row r="341" ht="14.25" customHeight="1" s="131"/>
    <row r="342" ht="14.25" customHeight="1" s="131"/>
    <row r="343" ht="14.25" customHeight="1" s="131"/>
    <row r="344" ht="14.25" customHeight="1" s="131"/>
    <row r="345" ht="14.25" customHeight="1" s="131"/>
    <row r="346" ht="14.25" customHeight="1" s="131"/>
    <row r="347" ht="14.25" customHeight="1" s="131"/>
    <row r="348" ht="14.25" customHeight="1" s="131"/>
    <row r="349" ht="14.25" customHeight="1" s="131"/>
    <row r="350" ht="14.25" customHeight="1" s="131"/>
    <row r="351" ht="14.25" customHeight="1" s="131"/>
    <row r="352" ht="14.25" customHeight="1" s="131"/>
    <row r="353" ht="14.25" customHeight="1" s="131"/>
    <row r="354" ht="14.25" customHeight="1" s="131"/>
    <row r="355" ht="14.25" customHeight="1" s="131"/>
    <row r="356" ht="14.25" customHeight="1" s="131"/>
    <row r="357" ht="14.25" customHeight="1" s="131"/>
    <row r="358" ht="14.25" customHeight="1" s="131"/>
    <row r="359" ht="14.25" customHeight="1" s="131"/>
    <row r="360" ht="14.25" customHeight="1" s="131"/>
    <row r="361" ht="14.25" customHeight="1" s="131"/>
    <row r="362" ht="14.25" customHeight="1" s="131"/>
    <row r="363" ht="14.25" customHeight="1" s="131"/>
    <row r="364" ht="14.25" customHeight="1" s="131"/>
    <row r="365" ht="14.25" customHeight="1" s="131"/>
    <row r="366" ht="14.25" customHeight="1" s="131"/>
    <row r="367" ht="14.25" customHeight="1" s="131"/>
    <row r="368" ht="14.25" customHeight="1" s="131"/>
    <row r="369" ht="14.25" customHeight="1" s="131"/>
    <row r="370" ht="14.25" customHeight="1" s="131"/>
    <row r="371" ht="14.25" customHeight="1" s="131"/>
    <row r="372" ht="14.25" customHeight="1" s="131"/>
    <row r="373" ht="14.25" customHeight="1" s="131"/>
    <row r="374" ht="14.25" customHeight="1" s="131"/>
    <row r="375" ht="14.25" customHeight="1" s="131"/>
    <row r="376" ht="14.25" customHeight="1" s="131"/>
    <row r="377" ht="14.25" customHeight="1" s="131"/>
    <row r="378" ht="14.25" customHeight="1" s="131"/>
    <row r="379" ht="14.25" customHeight="1" s="131"/>
    <row r="380" ht="14.25" customHeight="1" s="131"/>
    <row r="381" ht="14.25" customHeight="1" s="131"/>
    <row r="382" ht="14.25" customHeight="1" s="131"/>
    <row r="383" ht="14.25" customHeight="1" s="131"/>
    <row r="384" ht="14.25" customHeight="1" s="131"/>
    <row r="385" ht="14.25" customHeight="1" s="131"/>
    <row r="386" ht="14.25" customHeight="1" s="131"/>
    <row r="387" ht="14.25" customHeight="1" s="131"/>
    <row r="388" ht="14.25" customHeight="1" s="131"/>
    <row r="389" ht="14.25" customHeight="1" s="131"/>
    <row r="390" ht="14.25" customHeight="1" s="131"/>
    <row r="391" ht="14.25" customHeight="1" s="131"/>
    <row r="392" ht="14.25" customHeight="1" s="131"/>
    <row r="393" ht="14.25" customHeight="1" s="131"/>
    <row r="394" ht="14.25" customHeight="1" s="131"/>
    <row r="395" ht="14.25" customHeight="1" s="131"/>
    <row r="396" ht="14.25" customHeight="1" s="131"/>
    <row r="397" ht="14.25" customHeight="1" s="131"/>
    <row r="398" ht="14.25" customHeight="1" s="131"/>
    <row r="399" ht="14.25" customHeight="1" s="131"/>
    <row r="400" ht="14.25" customHeight="1" s="131"/>
    <row r="401" ht="14.25" customHeight="1" s="131"/>
    <row r="402" ht="14.25" customHeight="1" s="131"/>
    <row r="403" ht="14.25" customHeight="1" s="131"/>
    <row r="404" ht="14.25" customHeight="1" s="131"/>
    <row r="405" ht="14.25" customHeight="1" s="131"/>
    <row r="406" ht="14.25" customHeight="1" s="131"/>
    <row r="407" ht="14.25" customHeight="1" s="131"/>
    <row r="408" ht="14.25" customHeight="1" s="131"/>
    <row r="409" ht="14.25" customHeight="1" s="131"/>
    <row r="410" ht="14.25" customHeight="1" s="131"/>
    <row r="411" ht="14.25" customHeight="1" s="131"/>
    <row r="412" ht="14.25" customHeight="1" s="131"/>
    <row r="413" ht="14.25" customHeight="1" s="131"/>
    <row r="414" ht="14.25" customHeight="1" s="131"/>
    <row r="415" ht="14.25" customHeight="1" s="131"/>
    <row r="416" ht="14.25" customHeight="1" s="131"/>
    <row r="417" ht="14.25" customHeight="1" s="131"/>
    <row r="418" ht="14.25" customHeight="1" s="131"/>
    <row r="419" ht="14.25" customHeight="1" s="131"/>
    <row r="420" ht="14.25" customHeight="1" s="131"/>
    <row r="421" ht="14.25" customHeight="1" s="131"/>
    <row r="422" ht="14.25" customHeight="1" s="131"/>
    <row r="423" ht="14.25" customHeight="1" s="131"/>
    <row r="424" ht="14.25" customHeight="1" s="131"/>
    <row r="425" ht="14.25" customHeight="1" s="131"/>
    <row r="426" ht="14.25" customHeight="1" s="131"/>
    <row r="427" ht="14.25" customHeight="1" s="131"/>
    <row r="428" ht="14.25" customHeight="1" s="131"/>
    <row r="429" ht="14.25" customHeight="1" s="131"/>
    <row r="430" ht="14.25" customHeight="1" s="131"/>
    <row r="431" ht="14.25" customHeight="1" s="131"/>
    <row r="432" ht="14.25" customHeight="1" s="131"/>
    <row r="433" ht="14.25" customHeight="1" s="131"/>
    <row r="434" ht="14.25" customHeight="1" s="131"/>
    <row r="435" ht="14.25" customHeight="1" s="131"/>
    <row r="436" ht="14.25" customHeight="1" s="131"/>
    <row r="437" ht="14.25" customHeight="1" s="131"/>
    <row r="438" ht="14.25" customHeight="1" s="131"/>
    <row r="439" ht="14.25" customHeight="1" s="131"/>
    <row r="440" ht="14.25" customHeight="1" s="131"/>
    <row r="441" ht="14.25" customHeight="1" s="131"/>
    <row r="442" ht="14.25" customHeight="1" s="131"/>
    <row r="443" ht="14.25" customHeight="1" s="131"/>
    <row r="444" ht="14.25" customHeight="1" s="131"/>
    <row r="445" ht="14.25" customHeight="1" s="131"/>
    <row r="446" ht="14.25" customHeight="1" s="131"/>
    <row r="447" ht="14.25" customHeight="1" s="131"/>
    <row r="448" ht="14.25" customHeight="1" s="131"/>
    <row r="449" ht="14.25" customHeight="1" s="131"/>
    <row r="450" ht="14.25" customHeight="1" s="131"/>
    <row r="451" ht="14.25" customHeight="1" s="131"/>
    <row r="452" ht="14.25" customHeight="1" s="131"/>
    <row r="453" ht="14.25" customHeight="1" s="131"/>
    <row r="454" ht="14.25" customHeight="1" s="131"/>
    <row r="455" ht="14.25" customHeight="1" s="131"/>
    <row r="456" ht="14.25" customHeight="1" s="131"/>
    <row r="457" ht="14.25" customHeight="1" s="131"/>
    <row r="458" ht="14.25" customHeight="1" s="131"/>
    <row r="459" ht="14.25" customHeight="1" s="131"/>
    <row r="460" ht="14.25" customHeight="1" s="131"/>
    <row r="461" ht="14.25" customHeight="1" s="131"/>
    <row r="462" ht="14.25" customHeight="1" s="131"/>
    <row r="463" ht="14.25" customHeight="1" s="131"/>
    <row r="464" ht="14.25" customHeight="1" s="131"/>
    <row r="465" ht="14.25" customHeight="1" s="131"/>
    <row r="466" ht="14.25" customHeight="1" s="131"/>
    <row r="467" ht="14.25" customHeight="1" s="131"/>
    <row r="468" ht="14.25" customHeight="1" s="131"/>
    <row r="469" ht="14.25" customHeight="1" s="131"/>
    <row r="470" ht="14.25" customHeight="1" s="131"/>
    <row r="471" ht="14.25" customHeight="1" s="131"/>
    <row r="472" ht="14.25" customHeight="1" s="131"/>
    <row r="473" ht="14.25" customHeight="1" s="131"/>
    <row r="474" ht="14.25" customHeight="1" s="131"/>
    <row r="475" ht="14.25" customHeight="1" s="131"/>
    <row r="476" ht="14.25" customHeight="1" s="131"/>
    <row r="477" ht="14.25" customHeight="1" s="131"/>
    <row r="478" ht="14.25" customHeight="1" s="131"/>
    <row r="479" ht="14.25" customHeight="1" s="131"/>
    <row r="480" ht="14.25" customHeight="1" s="131"/>
    <row r="481" ht="14.25" customHeight="1" s="131"/>
    <row r="482" ht="14.25" customHeight="1" s="131"/>
    <row r="483" ht="14.25" customHeight="1" s="131"/>
    <row r="484" ht="14.25" customHeight="1" s="131"/>
    <row r="485" ht="14.25" customHeight="1" s="131"/>
    <row r="486" ht="14.25" customHeight="1" s="131"/>
    <row r="487" ht="14.25" customHeight="1" s="131"/>
    <row r="488" ht="14.25" customHeight="1" s="131"/>
    <row r="489" ht="14.25" customHeight="1" s="131"/>
    <row r="490" ht="14.25" customHeight="1" s="131"/>
    <row r="491" ht="14.25" customHeight="1" s="131"/>
    <row r="492" ht="14.25" customHeight="1" s="131"/>
    <row r="493" ht="14.25" customHeight="1" s="131"/>
    <row r="494" ht="14.25" customHeight="1" s="131"/>
    <row r="495" ht="14.25" customHeight="1" s="131"/>
    <row r="496" ht="14.25" customHeight="1" s="131"/>
    <row r="497" ht="14.25" customHeight="1" s="131"/>
    <row r="498" ht="14.25" customHeight="1" s="131"/>
    <row r="499" ht="14.25" customHeight="1" s="131"/>
    <row r="500" ht="14.25" customHeight="1" s="131"/>
    <row r="501" ht="14.25" customHeight="1" s="131"/>
    <row r="502" ht="14.25" customHeight="1" s="131"/>
    <row r="503" ht="14.25" customHeight="1" s="131"/>
    <row r="504" ht="14.25" customHeight="1" s="131"/>
    <row r="505" ht="14.25" customHeight="1" s="131"/>
    <row r="506" ht="14.25" customHeight="1" s="131"/>
    <row r="507" ht="14.25" customHeight="1" s="131"/>
    <row r="508" ht="14.25" customHeight="1" s="131"/>
    <row r="509" ht="14.25" customHeight="1" s="131"/>
    <row r="510" ht="14.25" customHeight="1" s="131"/>
    <row r="511" ht="14.25" customHeight="1" s="131"/>
    <row r="512" ht="14.25" customHeight="1" s="131"/>
    <row r="513" ht="14.25" customHeight="1" s="131"/>
    <row r="514" ht="14.25" customHeight="1" s="131"/>
    <row r="515" ht="14.25" customHeight="1" s="131"/>
    <row r="516" ht="14.25" customHeight="1" s="131"/>
    <row r="517" ht="14.25" customHeight="1" s="131"/>
    <row r="518" ht="14.25" customHeight="1" s="131"/>
    <row r="519" ht="14.25" customHeight="1" s="131"/>
    <row r="520" ht="14.25" customHeight="1" s="131"/>
    <row r="521" ht="14.25" customHeight="1" s="131"/>
    <row r="522" ht="14.25" customHeight="1" s="131"/>
    <row r="523" ht="14.25" customHeight="1" s="131"/>
    <row r="524" ht="14.25" customHeight="1" s="131"/>
    <row r="525" ht="14.25" customHeight="1" s="131"/>
    <row r="526" ht="14.25" customHeight="1" s="131"/>
    <row r="527" ht="14.25" customHeight="1" s="131"/>
    <row r="528" ht="14.25" customHeight="1" s="131"/>
    <row r="529" ht="14.25" customHeight="1" s="131"/>
    <row r="530" ht="14.25" customHeight="1" s="131"/>
    <row r="531" ht="14.25" customHeight="1" s="131"/>
    <row r="532" ht="14.25" customHeight="1" s="131"/>
    <row r="533" ht="14.25" customHeight="1" s="131"/>
    <row r="534" ht="14.25" customHeight="1" s="131"/>
    <row r="535" ht="14.25" customHeight="1" s="131"/>
    <row r="536" ht="14.25" customHeight="1" s="131"/>
    <row r="537" ht="14.25" customHeight="1" s="131"/>
    <row r="538" ht="14.25" customHeight="1" s="131"/>
    <row r="539" ht="14.25" customHeight="1" s="131"/>
    <row r="540" ht="14.25" customHeight="1" s="131"/>
    <row r="541" ht="14.25" customHeight="1" s="131"/>
    <row r="542" ht="14.25" customHeight="1" s="131"/>
    <row r="543" ht="14.25" customHeight="1" s="131"/>
    <row r="544" ht="14.25" customHeight="1" s="131"/>
    <row r="545" ht="14.25" customHeight="1" s="131"/>
    <row r="546" ht="14.25" customHeight="1" s="131"/>
    <row r="547" ht="14.25" customHeight="1" s="131"/>
    <row r="548" ht="14.25" customHeight="1" s="131"/>
    <row r="549" ht="14.25" customHeight="1" s="131"/>
    <row r="550" ht="14.25" customHeight="1" s="131"/>
    <row r="551" ht="14.25" customHeight="1" s="131"/>
    <row r="552" ht="14.25" customHeight="1" s="131"/>
    <row r="553" ht="14.25" customHeight="1" s="131"/>
    <row r="554" ht="14.25" customHeight="1" s="131"/>
    <row r="555" ht="14.25" customHeight="1" s="131"/>
    <row r="556" ht="14.25" customHeight="1" s="131"/>
    <row r="557" ht="14.25" customHeight="1" s="131"/>
    <row r="558" ht="14.25" customHeight="1" s="131"/>
    <row r="559" ht="14.25" customHeight="1" s="131"/>
    <row r="560" ht="14.25" customHeight="1" s="131"/>
    <row r="561" ht="14.25" customHeight="1" s="131"/>
    <row r="562" ht="14.25" customHeight="1" s="131"/>
    <row r="563" ht="14.25" customHeight="1" s="131"/>
    <row r="564" ht="14.25" customHeight="1" s="131"/>
    <row r="565" ht="14.25" customHeight="1" s="131"/>
    <row r="566" ht="14.25" customHeight="1" s="131"/>
    <row r="567" ht="14.25" customHeight="1" s="131"/>
    <row r="568" ht="14.25" customHeight="1" s="131"/>
    <row r="569" ht="14.25" customHeight="1" s="131"/>
    <row r="570" ht="14.25" customHeight="1" s="131"/>
    <row r="571" ht="14.25" customHeight="1" s="131"/>
    <row r="572" ht="14.25" customHeight="1" s="131"/>
    <row r="573" ht="14.25" customHeight="1" s="131"/>
    <row r="574" ht="14.25" customHeight="1" s="131"/>
    <row r="575" ht="14.25" customHeight="1" s="131"/>
    <row r="576" ht="14.25" customHeight="1" s="131"/>
    <row r="577" ht="14.25" customHeight="1" s="131"/>
    <row r="578" ht="14.25" customHeight="1" s="131"/>
    <row r="579" ht="14.25" customHeight="1" s="131"/>
    <row r="580" ht="14.25" customHeight="1" s="131"/>
    <row r="581" ht="14.25" customHeight="1" s="131"/>
    <row r="582" ht="14.25" customHeight="1" s="131"/>
    <row r="583" ht="14.25" customHeight="1" s="131"/>
    <row r="584" ht="14.25" customHeight="1" s="131"/>
    <row r="585" ht="14.25" customHeight="1" s="131"/>
    <row r="586" ht="14.25" customHeight="1" s="131"/>
    <row r="587" ht="14.25" customHeight="1" s="131"/>
    <row r="588" ht="14.25" customHeight="1" s="131"/>
    <row r="589" ht="14.25" customHeight="1" s="131"/>
    <row r="590" ht="14.25" customHeight="1" s="131"/>
    <row r="591" ht="14.25" customHeight="1" s="131"/>
    <row r="592" ht="14.25" customHeight="1" s="131"/>
    <row r="593" ht="14.25" customHeight="1" s="131"/>
    <row r="594" ht="14.25" customHeight="1" s="131"/>
    <row r="595" ht="14.25" customHeight="1" s="131"/>
    <row r="596" ht="14.25" customHeight="1" s="131"/>
    <row r="597" ht="14.25" customHeight="1" s="131"/>
    <row r="598" ht="14.25" customHeight="1" s="131"/>
    <row r="599" ht="14.25" customHeight="1" s="131"/>
    <row r="600" ht="14.25" customHeight="1" s="131"/>
    <row r="601" ht="14.25" customHeight="1" s="131"/>
    <row r="602" ht="14.25" customHeight="1" s="131"/>
    <row r="603" ht="14.25" customHeight="1" s="131"/>
    <row r="604" ht="14.25" customHeight="1" s="131"/>
    <row r="605" ht="14.25" customHeight="1" s="131"/>
    <row r="606" ht="14.25" customHeight="1" s="131"/>
    <row r="607" ht="14.25" customHeight="1" s="131"/>
    <row r="608" ht="14.25" customHeight="1" s="131"/>
    <row r="609" ht="14.25" customHeight="1" s="131"/>
    <row r="610" ht="14.25" customHeight="1" s="131"/>
    <row r="611" ht="14.25" customHeight="1" s="131"/>
    <row r="612" ht="14.25" customHeight="1" s="131"/>
    <row r="613" ht="14.25" customHeight="1" s="131"/>
    <row r="614" ht="14.25" customHeight="1" s="131"/>
    <row r="615" ht="14.25" customHeight="1" s="131"/>
    <row r="616" ht="14.25" customHeight="1" s="131"/>
    <row r="617" ht="14.25" customHeight="1" s="131"/>
    <row r="618" ht="14.25" customHeight="1" s="131"/>
    <row r="619" ht="14.25" customHeight="1" s="131"/>
    <row r="620" ht="14.25" customHeight="1" s="131"/>
    <row r="621" ht="14.25" customHeight="1" s="131"/>
    <row r="622" ht="14.25" customHeight="1" s="131"/>
    <row r="623" ht="14.25" customHeight="1" s="131"/>
    <row r="624" ht="14.25" customHeight="1" s="131"/>
    <row r="625" ht="14.25" customHeight="1" s="131"/>
    <row r="626" ht="14.25" customHeight="1" s="131"/>
    <row r="627" ht="14.25" customHeight="1" s="131"/>
    <row r="628" ht="14.25" customHeight="1" s="131"/>
    <row r="629" ht="14.25" customHeight="1" s="131"/>
    <row r="630" ht="14.25" customHeight="1" s="131"/>
    <row r="631" ht="14.25" customHeight="1" s="131"/>
    <row r="632" ht="14.25" customHeight="1" s="131"/>
    <row r="633" ht="14.25" customHeight="1" s="131"/>
    <row r="634" ht="14.25" customHeight="1" s="131"/>
    <row r="635" ht="14.25" customHeight="1" s="131"/>
    <row r="636" ht="14.25" customHeight="1" s="131"/>
    <row r="637" ht="14.25" customHeight="1" s="131"/>
    <row r="638" ht="14.25" customHeight="1" s="131"/>
    <row r="639" ht="14.25" customHeight="1" s="131"/>
    <row r="640" ht="14.25" customHeight="1" s="131"/>
    <row r="641" ht="14.25" customHeight="1" s="131"/>
    <row r="642" ht="14.25" customHeight="1" s="131"/>
    <row r="643" ht="14.25" customHeight="1" s="131"/>
    <row r="644" ht="14.25" customHeight="1" s="131"/>
    <row r="645" ht="14.25" customHeight="1" s="131"/>
    <row r="646" ht="14.25" customHeight="1" s="131"/>
    <row r="647" ht="14.25" customHeight="1" s="131"/>
    <row r="648" ht="14.25" customHeight="1" s="131"/>
    <row r="649" ht="14.25" customHeight="1" s="131"/>
    <row r="650" ht="14.25" customHeight="1" s="131"/>
    <row r="651" ht="14.25" customHeight="1" s="131"/>
    <row r="652" ht="14.25" customHeight="1" s="131"/>
    <row r="653" ht="14.25" customHeight="1" s="131"/>
    <row r="654" ht="14.25" customHeight="1" s="131"/>
    <row r="655" ht="14.25" customHeight="1" s="131"/>
    <row r="656" ht="14.25" customHeight="1" s="131"/>
    <row r="657" ht="14.25" customHeight="1" s="131"/>
    <row r="658" ht="14.25" customHeight="1" s="131"/>
    <row r="659" ht="14.25" customHeight="1" s="131"/>
    <row r="660" ht="14.25" customHeight="1" s="131"/>
    <row r="661" ht="14.25" customHeight="1" s="131"/>
    <row r="662" ht="14.25" customHeight="1" s="131"/>
    <row r="663" ht="14.25" customHeight="1" s="131"/>
    <row r="664" ht="14.25" customHeight="1" s="131"/>
    <row r="665" ht="14.25" customHeight="1" s="131"/>
    <row r="666" ht="14.25" customHeight="1" s="131"/>
    <row r="667" ht="14.25" customHeight="1" s="131"/>
    <row r="668" ht="14.25" customHeight="1" s="131"/>
    <row r="669" ht="14.25" customHeight="1" s="131"/>
    <row r="670" ht="14.25" customHeight="1" s="131"/>
    <row r="671" ht="14.25" customHeight="1" s="131"/>
    <row r="672" ht="14.25" customHeight="1" s="131"/>
    <row r="673" ht="14.25" customHeight="1" s="131"/>
    <row r="674" ht="14.25" customHeight="1" s="131"/>
    <row r="675" ht="14.25" customHeight="1" s="131"/>
    <row r="676" ht="14.25" customHeight="1" s="131"/>
    <row r="677" ht="14.25" customHeight="1" s="131"/>
    <row r="678" ht="14.25" customHeight="1" s="131"/>
    <row r="679" ht="14.25" customHeight="1" s="131"/>
    <row r="680" ht="14.25" customHeight="1" s="131"/>
    <row r="681" ht="14.25" customHeight="1" s="131"/>
    <row r="682" ht="14.25" customHeight="1" s="131"/>
    <row r="683" ht="14.25" customHeight="1" s="131"/>
    <row r="684" ht="14.25" customHeight="1" s="131"/>
    <row r="685" ht="14.25" customHeight="1" s="131"/>
    <row r="686" ht="14.25" customHeight="1" s="131"/>
    <row r="687" ht="14.25" customHeight="1" s="131"/>
    <row r="688" ht="14.25" customHeight="1" s="131"/>
    <row r="689" ht="14.25" customHeight="1" s="131"/>
    <row r="690" ht="14.25" customHeight="1" s="131"/>
    <row r="691" ht="14.25" customHeight="1" s="131"/>
    <row r="692" ht="14.25" customHeight="1" s="131"/>
    <row r="693" ht="14.25" customHeight="1" s="131"/>
    <row r="694" ht="14.25" customHeight="1" s="131"/>
    <row r="695" ht="14.25" customHeight="1" s="131"/>
    <row r="696" ht="14.25" customHeight="1" s="131"/>
    <row r="697" ht="14.25" customHeight="1" s="131"/>
    <row r="698" ht="14.25" customHeight="1" s="131"/>
    <row r="699" ht="14.25" customHeight="1" s="131"/>
    <row r="700" ht="14.25" customHeight="1" s="131"/>
    <row r="701" ht="14.25" customHeight="1" s="131"/>
    <row r="702" ht="14.25" customHeight="1" s="131"/>
    <row r="703" ht="14.25" customHeight="1" s="131"/>
    <row r="704" ht="14.25" customHeight="1" s="131"/>
    <row r="705" ht="14.25" customHeight="1" s="131"/>
    <row r="706" ht="14.25" customHeight="1" s="131"/>
    <row r="707" ht="14.25" customHeight="1" s="131"/>
    <row r="708" ht="14.25" customHeight="1" s="131"/>
    <row r="709" ht="14.25" customHeight="1" s="131"/>
    <row r="710" ht="14.25" customHeight="1" s="131"/>
    <row r="711" ht="14.25" customHeight="1" s="131"/>
    <row r="712" ht="14.25" customHeight="1" s="131"/>
    <row r="713" ht="14.25" customHeight="1" s="131"/>
    <row r="714" ht="14.25" customHeight="1" s="131"/>
    <row r="715" ht="14.25" customHeight="1" s="131"/>
    <row r="716" ht="14.25" customHeight="1" s="131"/>
    <row r="717" ht="14.25" customHeight="1" s="131"/>
    <row r="718" ht="14.25" customHeight="1" s="131"/>
    <row r="719" ht="14.25" customHeight="1" s="131"/>
    <row r="720" ht="14.25" customHeight="1" s="131"/>
    <row r="721" ht="14.25" customHeight="1" s="131"/>
    <row r="722" ht="14.25" customHeight="1" s="131"/>
    <row r="723" ht="14.25" customHeight="1" s="131"/>
    <row r="724" ht="14.25" customHeight="1" s="131"/>
    <row r="725" ht="14.25" customHeight="1" s="131"/>
    <row r="726" ht="14.25" customHeight="1" s="131"/>
    <row r="727" ht="14.25" customHeight="1" s="131"/>
    <row r="728" ht="14.25" customHeight="1" s="131"/>
    <row r="729" ht="14.25" customHeight="1" s="131"/>
    <row r="730" ht="14.25" customHeight="1" s="131"/>
    <row r="731" ht="14.25" customHeight="1" s="131"/>
    <row r="732" ht="14.25" customHeight="1" s="131"/>
    <row r="733" ht="14.25" customHeight="1" s="131"/>
    <row r="734" ht="14.25" customHeight="1" s="131"/>
    <row r="735" ht="14.25" customHeight="1" s="131"/>
    <row r="736" ht="14.25" customHeight="1" s="131"/>
    <row r="737" ht="14.25" customHeight="1" s="131"/>
    <row r="738" ht="14.25" customHeight="1" s="131"/>
    <row r="739" ht="14.25" customHeight="1" s="131"/>
    <row r="740" ht="14.25" customHeight="1" s="131"/>
    <row r="741" ht="14.25" customHeight="1" s="131"/>
    <row r="742" ht="14.25" customHeight="1" s="131"/>
    <row r="743" ht="14.25" customHeight="1" s="131"/>
    <row r="744" ht="14.25" customHeight="1" s="131"/>
    <row r="745" ht="14.25" customHeight="1" s="131"/>
    <row r="746" ht="14.25" customHeight="1" s="131"/>
    <row r="747" ht="14.25" customHeight="1" s="131"/>
    <row r="748" ht="14.25" customHeight="1" s="131"/>
    <row r="749" ht="14.25" customHeight="1" s="131"/>
    <row r="750" ht="14.25" customHeight="1" s="131"/>
    <row r="751" ht="14.25" customHeight="1" s="131"/>
    <row r="752" ht="14.25" customHeight="1" s="131"/>
    <row r="753" ht="14.25" customHeight="1" s="131"/>
    <row r="754" ht="14.25" customHeight="1" s="131"/>
    <row r="755" ht="14.25" customHeight="1" s="131"/>
    <row r="756" ht="14.25" customHeight="1" s="131"/>
    <row r="757" ht="14.25" customHeight="1" s="131"/>
    <row r="758" ht="14.25" customHeight="1" s="131"/>
    <row r="759" ht="14.25" customHeight="1" s="131"/>
    <row r="760" ht="14.25" customHeight="1" s="131"/>
    <row r="761" ht="14.25" customHeight="1" s="131"/>
    <row r="762" ht="14.25" customHeight="1" s="131"/>
    <row r="763" ht="14.25" customHeight="1" s="131"/>
    <row r="764" ht="14.25" customHeight="1" s="131"/>
    <row r="765" ht="14.25" customHeight="1" s="131"/>
    <row r="766" ht="14.25" customHeight="1" s="131"/>
    <row r="767" ht="14.25" customHeight="1" s="131"/>
    <row r="768" ht="14.25" customHeight="1" s="131"/>
    <row r="769" ht="14.25" customHeight="1" s="131"/>
    <row r="770" ht="14.25" customHeight="1" s="131"/>
    <row r="771" ht="14.25" customHeight="1" s="131"/>
    <row r="772" ht="14.25" customHeight="1" s="131"/>
    <row r="773" ht="14.25" customHeight="1" s="131"/>
    <row r="774" ht="14.25" customHeight="1" s="131"/>
    <row r="775" ht="14.25" customHeight="1" s="131"/>
    <row r="776" ht="14.25" customHeight="1" s="131"/>
    <row r="777" ht="14.25" customHeight="1" s="131"/>
    <row r="778" ht="14.25" customHeight="1" s="131"/>
    <row r="779" ht="14.25" customHeight="1" s="131"/>
    <row r="780" ht="14.25" customHeight="1" s="131"/>
    <row r="781" ht="14.25" customHeight="1" s="131"/>
    <row r="782" ht="14.25" customHeight="1" s="131"/>
    <row r="783" ht="14.25" customHeight="1" s="131"/>
    <row r="784" ht="14.25" customHeight="1" s="131"/>
    <row r="785" ht="14.25" customHeight="1" s="131"/>
    <row r="786" ht="14.25" customHeight="1" s="131"/>
    <row r="787" ht="14.25" customHeight="1" s="131"/>
    <row r="788" ht="14.25" customHeight="1" s="131"/>
    <row r="789" ht="14.25" customHeight="1" s="131"/>
    <row r="790" ht="14.25" customHeight="1" s="131"/>
    <row r="791" ht="14.25" customHeight="1" s="131"/>
    <row r="792" ht="14.25" customHeight="1" s="131"/>
    <row r="793" ht="14.25" customHeight="1" s="131"/>
    <row r="794" ht="14.25" customHeight="1" s="131"/>
    <row r="795" ht="14.25" customHeight="1" s="131"/>
    <row r="796" ht="14.25" customHeight="1" s="131"/>
    <row r="797" ht="14.25" customHeight="1" s="131"/>
    <row r="798" ht="14.25" customHeight="1" s="131"/>
    <row r="799" ht="14.25" customHeight="1" s="131"/>
    <row r="800" ht="14.25" customHeight="1" s="131"/>
    <row r="801" ht="14.25" customHeight="1" s="131"/>
    <row r="802" ht="14.25" customHeight="1" s="131"/>
    <row r="803" ht="14.25" customHeight="1" s="131"/>
    <row r="804" ht="14.25" customHeight="1" s="131"/>
    <row r="805" ht="14.25" customHeight="1" s="131"/>
    <row r="806" ht="14.25" customHeight="1" s="131"/>
    <row r="807" ht="14.25" customHeight="1" s="131"/>
    <row r="808" ht="14.25" customHeight="1" s="131"/>
    <row r="809" ht="14.25" customHeight="1" s="131"/>
    <row r="810" ht="14.25" customHeight="1" s="131"/>
    <row r="811" ht="14.25" customHeight="1" s="131"/>
    <row r="812" ht="14.25" customHeight="1" s="131"/>
    <row r="813" ht="14.25" customHeight="1" s="131"/>
    <row r="814" ht="14.25" customHeight="1" s="131"/>
    <row r="815" ht="14.25" customHeight="1" s="131"/>
    <row r="816" ht="14.25" customHeight="1" s="131"/>
    <row r="817" ht="14.25" customHeight="1" s="131"/>
    <row r="818" ht="14.25" customHeight="1" s="131"/>
    <row r="819" ht="14.25" customHeight="1" s="131"/>
    <row r="820" ht="14.25" customHeight="1" s="131"/>
    <row r="821" ht="14.25" customHeight="1" s="131"/>
    <row r="822" ht="14.25" customHeight="1" s="131"/>
    <row r="823" ht="14.25" customHeight="1" s="131"/>
    <row r="824" ht="14.25" customHeight="1" s="131"/>
    <row r="825" ht="14.25" customHeight="1" s="131"/>
    <row r="826" ht="14.25" customHeight="1" s="131"/>
    <row r="827" ht="14.25" customHeight="1" s="131"/>
    <row r="828" ht="14.25" customHeight="1" s="131"/>
    <row r="829" ht="14.25" customHeight="1" s="131"/>
    <row r="830" ht="14.25" customHeight="1" s="131"/>
    <row r="831" ht="14.25" customHeight="1" s="131"/>
    <row r="832" ht="14.25" customHeight="1" s="131"/>
    <row r="833" ht="14.25" customHeight="1" s="131"/>
    <row r="834" ht="14.25" customHeight="1" s="131"/>
    <row r="835" ht="14.25" customHeight="1" s="131"/>
    <row r="836" ht="14.25" customHeight="1" s="131"/>
    <row r="837" ht="14.25" customHeight="1" s="131"/>
    <row r="838" ht="14.25" customHeight="1" s="131"/>
    <row r="839" ht="14.25" customHeight="1" s="131"/>
    <row r="840" ht="14.25" customHeight="1" s="131"/>
    <row r="841" ht="14.25" customHeight="1" s="131"/>
    <row r="842" ht="14.25" customHeight="1" s="131"/>
    <row r="843" ht="14.25" customHeight="1" s="131"/>
    <row r="844" ht="14.25" customHeight="1" s="131"/>
    <row r="845" ht="14.25" customHeight="1" s="131"/>
    <row r="846" ht="14.25" customHeight="1" s="131"/>
    <row r="847" ht="14.25" customHeight="1" s="131"/>
    <row r="848" ht="14.25" customHeight="1" s="131"/>
    <row r="849" ht="14.25" customHeight="1" s="131"/>
    <row r="850" ht="14.25" customHeight="1" s="131"/>
    <row r="851" ht="14.25" customHeight="1" s="131"/>
    <row r="852" ht="14.25" customHeight="1" s="131"/>
    <row r="853" ht="14.25" customHeight="1" s="131"/>
    <row r="854" ht="14.25" customHeight="1" s="131"/>
    <row r="855" ht="14.25" customHeight="1" s="131"/>
    <row r="856" ht="14.25" customHeight="1" s="131"/>
    <row r="857" ht="14.25" customHeight="1" s="131"/>
    <row r="858" ht="14.25" customHeight="1" s="131"/>
    <row r="859" ht="14.25" customHeight="1" s="131"/>
    <row r="860" ht="14.25" customHeight="1" s="131"/>
    <row r="861" ht="14.25" customHeight="1" s="131"/>
    <row r="862" ht="14.25" customHeight="1" s="131"/>
    <row r="863" ht="14.25" customHeight="1" s="131"/>
    <row r="864" ht="14.25" customHeight="1" s="131"/>
    <row r="865" ht="14.25" customHeight="1" s="131"/>
    <row r="866" ht="14.25" customHeight="1" s="131"/>
    <row r="867" ht="14.25" customHeight="1" s="131"/>
    <row r="868" ht="14.25" customHeight="1" s="131"/>
    <row r="869" ht="14.25" customHeight="1" s="131"/>
    <row r="870" ht="14.25" customHeight="1" s="131"/>
    <row r="871" ht="14.25" customHeight="1" s="131"/>
    <row r="872" ht="14.25" customHeight="1" s="131"/>
    <row r="873" ht="14.25" customHeight="1" s="131"/>
    <row r="874" ht="14.25" customHeight="1" s="131"/>
    <row r="875" ht="14.25" customHeight="1" s="131"/>
    <row r="876" ht="14.25" customHeight="1" s="131"/>
    <row r="877" ht="14.25" customHeight="1" s="131"/>
    <row r="878" ht="14.25" customHeight="1" s="131"/>
    <row r="879" ht="14.25" customHeight="1" s="131"/>
    <row r="880" ht="14.25" customHeight="1" s="131"/>
    <row r="881" ht="14.25" customHeight="1" s="131"/>
    <row r="882" ht="14.25" customHeight="1" s="131"/>
    <row r="883" ht="14.25" customHeight="1" s="131"/>
    <row r="884" ht="14.25" customHeight="1" s="131"/>
    <row r="885" ht="14.25" customHeight="1" s="131"/>
    <row r="886" ht="14.25" customHeight="1" s="131"/>
    <row r="887" ht="14.25" customHeight="1" s="131"/>
    <row r="888" ht="14.25" customHeight="1" s="131"/>
    <row r="889" ht="14.25" customHeight="1" s="131"/>
    <row r="890" ht="14.25" customHeight="1" s="131"/>
    <row r="891" ht="14.25" customHeight="1" s="131"/>
    <row r="892" ht="14.25" customHeight="1" s="131"/>
    <row r="893" ht="14.25" customHeight="1" s="131"/>
    <row r="894" ht="14.25" customHeight="1" s="131"/>
    <row r="895" ht="14.25" customHeight="1" s="131"/>
    <row r="896" ht="14.25" customHeight="1" s="131"/>
    <row r="897" ht="14.25" customHeight="1" s="131"/>
    <row r="898" ht="14.25" customHeight="1" s="131"/>
    <row r="899" ht="14.25" customHeight="1" s="131"/>
    <row r="900" ht="14.25" customHeight="1" s="131"/>
    <row r="901" ht="14.25" customHeight="1" s="131"/>
    <row r="902" ht="14.25" customHeight="1" s="131"/>
    <row r="903" ht="14.25" customHeight="1" s="131"/>
    <row r="904" ht="14.25" customHeight="1" s="131"/>
    <row r="905" ht="14.25" customHeight="1" s="131"/>
    <row r="906" ht="14.25" customHeight="1" s="131"/>
    <row r="907" ht="14.25" customHeight="1" s="131"/>
    <row r="908" ht="14.25" customHeight="1" s="131"/>
    <row r="909" ht="14.25" customHeight="1" s="131"/>
    <row r="910" ht="14.25" customHeight="1" s="131"/>
    <row r="911" ht="14.25" customHeight="1" s="131"/>
    <row r="912" ht="14.25" customHeight="1" s="131"/>
    <row r="913" ht="14.25" customHeight="1" s="131"/>
    <row r="914" ht="14.25" customHeight="1" s="131"/>
    <row r="915" ht="14.25" customHeight="1" s="131"/>
    <row r="916" ht="14.25" customHeight="1" s="131"/>
    <row r="917" ht="14.25" customHeight="1" s="131"/>
    <row r="918" ht="14.25" customHeight="1" s="131"/>
    <row r="919" ht="14.25" customHeight="1" s="131"/>
    <row r="920" ht="14.25" customHeight="1" s="131"/>
    <row r="921" ht="14.25" customHeight="1" s="131"/>
    <row r="922" ht="14.25" customHeight="1" s="131"/>
    <row r="923" ht="14.25" customHeight="1" s="131"/>
    <row r="924" ht="14.25" customHeight="1" s="131"/>
    <row r="925" ht="14.25" customHeight="1" s="131"/>
    <row r="926" ht="14.25" customHeight="1" s="131"/>
    <row r="927" ht="14.25" customHeight="1" s="131"/>
    <row r="928" ht="14.25" customHeight="1" s="131"/>
    <row r="929" ht="14.25" customHeight="1" s="131"/>
    <row r="930" ht="14.25" customHeight="1" s="131"/>
    <row r="931" ht="14.25" customHeight="1" s="131"/>
    <row r="932" ht="14.25" customHeight="1" s="131"/>
    <row r="933" ht="14.25" customHeight="1" s="131"/>
    <row r="934" ht="14.25" customHeight="1" s="131"/>
    <row r="935" ht="14.25" customHeight="1" s="131"/>
    <row r="936" ht="14.25" customHeight="1" s="131"/>
    <row r="937" ht="14.25" customHeight="1" s="131"/>
    <row r="938" ht="14.25" customHeight="1" s="131"/>
    <row r="939" ht="14.25" customHeight="1" s="131"/>
    <row r="940" ht="14.25" customHeight="1" s="131"/>
    <row r="941" ht="14.25" customHeight="1" s="131"/>
    <row r="942" ht="14.25" customHeight="1" s="131"/>
    <row r="943" ht="14.25" customHeight="1" s="131"/>
    <row r="944" ht="14.25" customHeight="1" s="131"/>
    <row r="945" ht="14.25" customHeight="1" s="131"/>
    <row r="946" ht="14.25" customHeight="1" s="131"/>
    <row r="947" ht="14.25" customHeight="1" s="131"/>
    <row r="948" ht="14.25" customHeight="1" s="131"/>
    <row r="949" ht="14.25" customHeight="1" s="131"/>
    <row r="950" ht="14.25" customHeight="1" s="131"/>
    <row r="951" ht="14.25" customHeight="1" s="131"/>
    <row r="952" ht="14.25" customHeight="1" s="131"/>
    <row r="953" ht="14.25" customHeight="1" s="131"/>
    <row r="954" ht="14.25" customHeight="1" s="131"/>
    <row r="955" ht="14.25" customHeight="1" s="131"/>
    <row r="956" ht="14.25" customHeight="1" s="131"/>
    <row r="957" ht="14.25" customHeight="1" s="131"/>
    <row r="958" ht="14.25" customHeight="1" s="131"/>
    <row r="959" ht="14.25" customHeight="1" s="131"/>
    <row r="960" ht="14.25" customHeight="1" s="131"/>
    <row r="961" ht="14.25" customHeight="1" s="131"/>
    <row r="962" ht="14.25" customHeight="1" s="131"/>
    <row r="963" ht="14.25" customHeight="1" s="131"/>
    <row r="964" ht="14.25" customHeight="1" s="131"/>
    <row r="965" ht="14.25" customHeight="1" s="131"/>
    <row r="966" ht="14.25" customHeight="1" s="131"/>
    <row r="967" ht="14.25" customHeight="1" s="131"/>
    <row r="968" ht="14.25" customHeight="1" s="131"/>
    <row r="969" ht="14.25" customHeight="1" s="131"/>
    <row r="970" ht="14.25" customHeight="1" s="131"/>
    <row r="971" ht="14.25" customHeight="1" s="131"/>
    <row r="972" ht="14.25" customHeight="1" s="131"/>
    <row r="973" ht="14.25" customHeight="1" s="131"/>
    <row r="974" ht="14.25" customHeight="1" s="131"/>
    <row r="975" ht="14.25" customHeight="1" s="131"/>
    <row r="976" ht="14.25" customHeight="1" s="131"/>
    <row r="977" ht="14.25" customHeight="1" s="131"/>
    <row r="978" ht="14.25" customHeight="1" s="131"/>
    <row r="979" ht="14.25" customHeight="1" s="131"/>
    <row r="980" ht="14.25" customHeight="1" s="131"/>
    <row r="981" ht="14.25" customHeight="1" s="131"/>
    <row r="982" ht="14.25" customHeight="1" s="131"/>
    <row r="983" ht="14.25" customHeight="1" s="131"/>
    <row r="984" ht="14.25" customHeight="1" s="131"/>
    <row r="985" ht="14.25" customHeight="1" s="131"/>
    <row r="986" ht="14.25" customHeight="1" s="131"/>
    <row r="987" ht="14.25" customHeight="1" s="131"/>
    <row r="988" ht="14.25" customHeight="1" s="131"/>
    <row r="989" ht="14.25" customHeight="1" s="131"/>
    <row r="990" ht="14.25" customHeight="1" s="131"/>
    <row r="991" ht="14.25" customHeight="1" s="131"/>
    <row r="992" ht="14.25" customHeight="1" s="131"/>
    <row r="993" ht="14.25" customHeight="1" s="131"/>
    <row r="994" ht="14.25" customHeight="1" s="131"/>
    <row r="995" ht="14.25" customHeight="1" s="131"/>
    <row r="996" ht="14.25" customHeight="1" s="131"/>
    <row r="997" ht="14.25" customHeight="1" s="131"/>
    <row r="998" ht="14.25" customHeight="1" s="131"/>
    <row r="999" ht="14.25" customHeight="1" s="131"/>
    <row r="1000" ht="14.25" customHeight="1" s="131"/>
    <row r="1001" ht="14.25" customHeight="1" s="131"/>
    <row r="1002" ht="14.25" customHeight="1" s="131"/>
    <row r="1003" ht="14.25" customHeight="1" s="131"/>
  </sheetData>
  <mergeCells count="2">
    <mergeCell ref="A1:G1"/>
    <mergeCell ref="A2:D2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rightToLeft="1" workbookViewId="0">
      <pane ySplit="4" topLeftCell="A5" activePane="bottomLeft" state="frozen"/>
      <selection pane="bottomLeft" activeCell="B6" sqref="B6"/>
    </sheetView>
  </sheetViews>
  <sheetFormatPr baseColWidth="8" defaultColWidth="12.625" defaultRowHeight="15" customHeight="1"/>
  <cols>
    <col width="12" customWidth="1" style="131" min="1" max="1"/>
    <col width="38" customWidth="1" style="131" min="2" max="2"/>
    <col width="17.375" customWidth="1" style="131" min="3" max="3"/>
    <col width="13.5" customWidth="1" style="131" min="4" max="4"/>
    <col width="14.5" customWidth="1" style="131" min="5" max="5"/>
    <col width="42" customWidth="1" style="131" min="6" max="6"/>
    <col width="12" customWidth="1" style="131" min="7" max="7"/>
    <col width="17.75" customWidth="1" style="131" min="8" max="8"/>
  </cols>
  <sheetData>
    <row r="1" ht="24" customHeight="1" s="131">
      <c r="A1" s="137" t="inlineStr">
        <is>
          <t>תזרים מזומנים – ספטמבר 2026  |  ישר שירותי קרקע לקבלן ולפועל בע"מ</t>
        </is>
      </c>
    </row>
    <row r="2" ht="14.25" customHeight="1" s="131">
      <c r="A2" s="140" t="inlineStr">
        <is>
          <t>יתרת פתיחה – 01/09/2026</t>
        </is>
      </c>
      <c r="E2" s="1" t="n">
        <v>-21406.71</v>
      </c>
      <c r="F2" s="2" t="n"/>
      <c r="G2" s="2" t="n"/>
    </row>
    <row r="3" ht="14.25" customHeight="1" s="131"/>
    <row r="4" ht="14.25" customHeight="1" s="131">
      <c r="A4" s="3" t="inlineStr">
        <is>
          <t>תאריך</t>
        </is>
      </c>
      <c r="B4" s="3" t="inlineStr">
        <is>
          <t>תיאור</t>
        </is>
      </c>
      <c r="C4" s="3" t="inlineStr">
        <is>
          <t>הכנסה (₪)</t>
        </is>
      </c>
      <c r="D4" s="3" t="inlineStr">
        <is>
          <t>הוצאה (₪)</t>
        </is>
      </c>
      <c r="E4" s="4" t="inlineStr">
        <is>
          <t>יתרה (₪)</t>
        </is>
      </c>
      <c r="F4" s="3" t="inlineStr">
        <is>
          <t>הערות</t>
        </is>
      </c>
      <c r="G4" s="3" t="inlineStr">
        <is>
          <t>סוג</t>
        </is>
      </c>
      <c r="H4" s="7" t="inlineStr">
        <is>
          <t>שייך להוצאות החודש?</t>
        </is>
      </c>
    </row>
    <row r="5" ht="14.25" customHeight="1" s="131">
      <c r="A5" s="10" t="inlineStr">
        <is>
          <t>01/09/2026</t>
        </is>
      </c>
      <c r="B5" s="12" t="inlineStr">
        <is>
          <t>שהנאז ייזום</t>
        </is>
      </c>
      <c r="C5" s="15" t="n"/>
      <c r="D5" s="18" t="n">
        <v>9209</v>
      </c>
      <c r="E5" s="25">
        <f>E2+N(C5)-N(D5)</f>
        <v/>
      </c>
      <c r="F5" s="21" t="inlineStr">
        <is>
          <t>שכירות משרד</t>
        </is>
      </c>
      <c r="G5" s="16" t="inlineStr">
        <is>
          <t>🔁 קבוע</t>
        </is>
      </c>
      <c r="H5" s="26" t="inlineStr">
        <is>
          <t>כן</t>
        </is>
      </c>
    </row>
    <row r="6" ht="14.25" customHeight="1" s="131">
      <c r="A6" s="10" t="inlineStr">
        <is>
          <t>01/09/2026</t>
        </is>
      </c>
      <c r="B6" s="12" t="inlineStr">
        <is>
          <t>עמלת ערוץ ישיר</t>
        </is>
      </c>
      <c r="C6" s="15" t="n"/>
      <c r="D6" s="18" t="n">
        <v>110.55</v>
      </c>
      <c r="E6" s="25">
        <f>E5+N(C6)-N(D6)</f>
        <v/>
      </c>
      <c r="F6" s="21" t="inlineStr">
        <is>
          <t>קבועה</t>
        </is>
      </c>
      <c r="G6" s="16" t="inlineStr">
        <is>
          <t>🔁 קבוע</t>
        </is>
      </c>
      <c r="H6" s="26" t="inlineStr">
        <is>
          <t>כן</t>
        </is>
      </c>
    </row>
    <row r="7" ht="14.25" customHeight="1" s="131">
      <c r="A7" s="10" t="inlineStr">
        <is>
          <t>02/09/2026</t>
        </is>
      </c>
      <c r="B7" s="12" t="inlineStr">
        <is>
          <t>מקס איט פיננסים</t>
        </is>
      </c>
      <c r="C7" s="15" t="n"/>
      <c r="D7" s="18" t="n">
        <v>2224.49</v>
      </c>
      <c r="E7" s="25">
        <f>E6+N(C7)-N(D7)</f>
        <v/>
      </c>
      <c r="F7" s="21" t="inlineStr">
        <is>
          <t>קבועה</t>
        </is>
      </c>
      <c r="G7" s="16" t="inlineStr">
        <is>
          <t>🔁 קבוע</t>
        </is>
      </c>
      <c r="H7" s="26" t="inlineStr">
        <is>
          <t>כן</t>
        </is>
      </c>
    </row>
    <row r="8" ht="14.25" customHeight="1" s="131">
      <c r="A8" s="10" t="inlineStr">
        <is>
          <t>02/09/2026</t>
        </is>
      </c>
      <c r="B8" s="12" t="inlineStr">
        <is>
          <t>ביטוח לאומי</t>
        </is>
      </c>
      <c r="C8" s="15" t="n"/>
      <c r="D8" s="18" t="n">
        <v>3956</v>
      </c>
      <c r="E8" s="25">
        <f>E7+N(C8)-N(D8)</f>
        <v/>
      </c>
      <c r="F8" s="21" t="inlineStr">
        <is>
          <t>קבועה</t>
        </is>
      </c>
      <c r="G8" s="16" t="inlineStr">
        <is>
          <t>🔁 קבוע</t>
        </is>
      </c>
      <c r="H8" s="26" t="inlineStr">
        <is>
          <t>כן</t>
        </is>
      </c>
    </row>
    <row r="9" ht="14.25" customHeight="1" s="131">
      <c r="A9" s="10" t="inlineStr">
        <is>
          <t>02/09/2026</t>
        </is>
      </c>
      <c r="B9" s="12" t="inlineStr">
        <is>
          <t>לאומי ויזה</t>
        </is>
      </c>
      <c r="C9" s="15" t="n"/>
      <c r="D9" s="18" t="n">
        <v>191.5</v>
      </c>
      <c r="E9" s="25">
        <f>E8+N(C9)-N(D9)</f>
        <v/>
      </c>
      <c r="F9" s="21" t="inlineStr">
        <is>
          <t>קבועה</t>
        </is>
      </c>
      <c r="G9" s="16" t="inlineStr">
        <is>
          <t>🔁 קבוע</t>
        </is>
      </c>
      <c r="H9" s="26" t="inlineStr">
        <is>
          <t>כן</t>
        </is>
      </c>
    </row>
    <row r="10" ht="14.25" customHeight="1" s="131">
      <c r="A10" s="10" t="inlineStr">
        <is>
          <t>02/09/2026</t>
        </is>
      </c>
      <c r="B10" s="12" t="inlineStr">
        <is>
          <t>דיינרס קלאב</t>
        </is>
      </c>
      <c r="C10" s="15" t="n"/>
      <c r="D10" s="18" t="n">
        <v>5709.09</v>
      </c>
      <c r="E10" s="25">
        <f>E9+N(C10)-N(D10)</f>
        <v/>
      </c>
      <c r="F10" s="21" t="inlineStr">
        <is>
          <t>קבועה</t>
        </is>
      </c>
      <c r="G10" s="16" t="inlineStr">
        <is>
          <t>🔁 קבוע</t>
        </is>
      </c>
      <c r="H10" s="26" t="inlineStr">
        <is>
          <t>כן</t>
        </is>
      </c>
    </row>
    <row r="11" ht="14.25" customHeight="1" s="131">
      <c r="A11" s="38" t="inlineStr">
        <is>
          <t>02/09/2026</t>
        </is>
      </c>
      <c r="B11" s="14" t="inlineStr">
        <is>
          <t>מטה ופתילים - העברה בין חברות</t>
        </is>
      </c>
      <c r="C11" s="24" t="n">
        <v>16000</v>
      </c>
      <c r="D11" s="27" t="n"/>
      <c r="E11" s="36">
        <f>E10+N(C11)-N(D11)</f>
        <v/>
      </c>
      <c r="F11" s="30" t="inlineStr">
        <is>
          <t>העברה פנימית ממטה</t>
        </is>
      </c>
      <c r="G11" s="20" t="inlineStr">
        <is>
          <t>✅ הכנסה</t>
        </is>
      </c>
      <c r="H11" s="33" t="n"/>
    </row>
    <row r="12" ht="14.25" customHeight="1" s="131">
      <c r="A12" s="38" t="inlineStr">
        <is>
          <t>02/09/2026</t>
        </is>
      </c>
      <c r="B12" s="14" t="inlineStr">
        <is>
          <t>גרייטדור תעש - תקבול לקוח</t>
        </is>
      </c>
      <c r="C12" s="24" t="n">
        <v>40223</v>
      </c>
      <c r="D12" s="27" t="n"/>
      <c r="E12" s="36">
        <f>E11+N(C12)-N(D12)</f>
        <v/>
      </c>
      <c r="F12" s="30" t="inlineStr">
        <is>
          <t>תקבול על חשבון החוב</t>
        </is>
      </c>
      <c r="G12" s="20" t="inlineStr">
        <is>
          <t>✅ הכנסה</t>
        </is>
      </c>
      <c r="H12" s="33" t="n"/>
    </row>
    <row r="13" ht="14.25" customHeight="1" s="131">
      <c r="A13" s="38" t="inlineStr">
        <is>
          <t>02/09/2026</t>
        </is>
      </c>
      <c r="B13" s="14" t="inlineStr">
        <is>
          <t>אלגרסי תפעול - תקבול לקוח</t>
        </is>
      </c>
      <c r="C13" s="24" t="n">
        <v>25772</v>
      </c>
      <c r="D13" s="27" t="n"/>
      <c r="E13" s="36">
        <f>E12+N(C13)-N(D13)</f>
        <v/>
      </c>
      <c r="F13" s="30" t="inlineStr">
        <is>
          <t>תקבול על חשבון החוב</t>
        </is>
      </c>
      <c r="G13" s="20" t="inlineStr">
        <is>
          <t>✅ הכנסה</t>
        </is>
      </c>
      <c r="H13" s="33" t="n"/>
    </row>
    <row r="14" ht="14.25" customHeight="1" s="131">
      <c r="A14" s="38" t="inlineStr">
        <is>
          <t>03/09/2026</t>
        </is>
      </c>
      <c r="B14" s="14" t="inlineStr">
        <is>
          <t>מ. רוטנברג - תשלום על חשבון עבודות אוגוסט</t>
        </is>
      </c>
      <c r="C14" s="24" t="n">
        <v>41069</v>
      </c>
      <c r="D14" s="27" t="n"/>
      <c r="E14" s="36">
        <f>E13+N(C14)-N(D14)</f>
        <v/>
      </c>
      <c r="F14" s="30" t="inlineStr">
        <is>
          <t>תקבול לקוח - חשבון עסקה 40103</t>
        </is>
      </c>
      <c r="G14" s="20" t="inlineStr">
        <is>
          <t>✅ הכנסה</t>
        </is>
      </c>
      <c r="H14" s="33" t="n"/>
    </row>
    <row r="15" ht="14.25" customHeight="1" s="131">
      <c r="A15" s="38" t="inlineStr">
        <is>
          <t>03/09/2026</t>
        </is>
      </c>
      <c r="B15" s="14" t="inlineStr">
        <is>
          <t>אליעזר הקר אלומיניום - תקבול לקוח</t>
        </is>
      </c>
      <c r="C15" s="24" t="n">
        <v>64849.85</v>
      </c>
      <c r="D15" s="27" t="n"/>
      <c r="E15" s="36">
        <f>E14+N(C15)-N(D15)</f>
        <v/>
      </c>
      <c r="F15" s="30" t="inlineStr">
        <is>
          <t>תקבול על חשבון עסקה 40090</t>
        </is>
      </c>
      <c r="G15" s="20" t="inlineStr">
        <is>
          <t>✅ הכנסה</t>
        </is>
      </c>
      <c r="H15" s="33" t="n"/>
    </row>
    <row r="16" ht="14.25" customHeight="1" s="131">
      <c r="A16" s="10" t="inlineStr">
        <is>
          <t>03/09/2026</t>
        </is>
      </c>
      <c r="B16" s="12" t="inlineStr">
        <is>
          <t>שמעון והב – השלמת משכורת יולי לשלמה מינסקי</t>
        </is>
      </c>
      <c r="C16" s="15" t="n"/>
      <c r="D16" s="18" t="n">
        <v>2500</v>
      </c>
      <c r="E16" s="25">
        <f>E15+N(C16)-N(D16)</f>
        <v/>
      </c>
      <c r="F16" s="21" t="inlineStr">
        <is>
          <t>שולם בפועל בספטמבר, מתייחס למשכורת יולי</t>
        </is>
      </c>
      <c r="G16" s="16" t="inlineStr">
        <is>
          <t>🔁 קבוע</t>
        </is>
      </c>
      <c r="H16" s="26" t="inlineStr">
        <is>
          <t>כן</t>
        </is>
      </c>
    </row>
    <row r="17" ht="14.25" customHeight="1" s="131">
      <c r="A17" s="10" t="inlineStr">
        <is>
          <t>03/09/2026</t>
        </is>
      </c>
      <c r="B17" s="12" t="inlineStr">
        <is>
          <t>האחים ישראל – שכירות רבי חייא</t>
        </is>
      </c>
      <c r="C17" s="15" t="n"/>
      <c r="D17" s="18" t="n">
        <v>18290</v>
      </c>
      <c r="E17" s="25">
        <f>E16+N(C17)-N(D17)</f>
        <v/>
      </c>
      <c r="F17" s="21" t="inlineStr">
        <is>
          <t>קבועה</t>
        </is>
      </c>
      <c r="G17" s="16" t="inlineStr">
        <is>
          <t>🔁 קבוע</t>
        </is>
      </c>
      <c r="H17" s="26" t="inlineStr">
        <is>
          <t>כן</t>
        </is>
      </c>
    </row>
    <row r="18" ht="14.25" customHeight="1" s="131">
      <c r="A18" s="47" t="inlineStr">
        <is>
          <t>04/09/2026</t>
        </is>
      </c>
      <c r="B18" s="6" t="inlineStr">
        <is>
          <t>פסגת ליאם כ"א - תשלום עבור עובדים אוגוסט</t>
        </is>
      </c>
      <c r="C18" s="8" t="n"/>
      <c r="D18" s="9" t="n">
        <v>37541.7</v>
      </c>
      <c r="E18" s="46">
        <f>E17+N(C18)-N(D18)</f>
        <v/>
      </c>
      <c r="F18" s="13" t="inlineStr">
        <is>
          <t>חשבונית אוגוסט - שולם במלואו</t>
        </is>
      </c>
      <c r="G18" s="5" t="inlineStr">
        <is>
          <t>📤 הוצאה</t>
        </is>
      </c>
      <c r="H18" s="22" t="inlineStr">
        <is>
          <t>כן</t>
        </is>
      </c>
    </row>
    <row r="19" ht="14.25" customHeight="1" s="131">
      <c r="A19" s="47" t="inlineStr">
        <is>
          <t>04/09/2026</t>
        </is>
      </c>
      <c r="B19" s="6" t="inlineStr">
        <is>
          <t>ואקנין יצחק - תשלום עבור חשבונית מס</t>
        </is>
      </c>
      <c r="C19" s="8" t="n"/>
      <c r="D19" s="9" t="n">
        <v>1475</v>
      </c>
      <c r="E19" s="46">
        <f>E18+N(C19)-N(D19)</f>
        <v/>
      </c>
      <c r="F19" s="13" t="inlineStr">
        <is>
          <t>תשלום עבור חשבונית מס</t>
        </is>
      </c>
      <c r="G19" s="5" t="inlineStr">
        <is>
          <t>📤 הוצאה</t>
        </is>
      </c>
      <c r="H19" s="22" t="inlineStr">
        <is>
          <t>כן</t>
        </is>
      </c>
    </row>
    <row r="20" ht="14.25" customHeight="1" s="131">
      <c r="A20" s="10" t="inlineStr">
        <is>
          <t>06/09/2026</t>
        </is>
      </c>
      <c r="B20" s="12" t="inlineStr">
        <is>
          <t>מקס איט פיננסי – כרטיס אשראי</t>
        </is>
      </c>
      <c r="C20" s="15" t="n"/>
      <c r="D20" s="18" t="n">
        <v>45.9</v>
      </c>
      <c r="E20" s="25">
        <f>E19+N(C20)-N(D20)</f>
        <v/>
      </c>
      <c r="F20" s="21" t="inlineStr">
        <is>
          <t>קבועה</t>
        </is>
      </c>
      <c r="G20" s="16" t="inlineStr">
        <is>
          <t>🔁 קבוע</t>
        </is>
      </c>
      <c r="H20" s="26" t="inlineStr">
        <is>
          <t>כן</t>
        </is>
      </c>
    </row>
    <row r="21" ht="14.25" customHeight="1" s="131">
      <c r="A21" s="38" t="inlineStr">
        <is>
          <t>07/09/2026</t>
        </is>
      </c>
      <c r="B21" s="14" t="inlineStr">
        <is>
          <t>אליעזר הקר אלומיניום - תשלום יתרה סופית</t>
        </is>
      </c>
      <c r="C21" s="24" t="n">
        <v>1298</v>
      </c>
      <c r="D21" s="27" t="n"/>
      <c r="E21" s="36">
        <f>E20+N(C21)-N(D21)</f>
        <v/>
      </c>
      <c r="F21" s="30" t="n"/>
      <c r="G21" s="20" t="inlineStr">
        <is>
          <t>✅ הכנסה</t>
        </is>
      </c>
      <c r="H21" s="33" t="n"/>
    </row>
    <row r="22" ht="14.25" customHeight="1" s="131">
      <c r="A22" s="10" t="inlineStr">
        <is>
          <t>07/09/2026</t>
        </is>
      </c>
      <c r="B22" s="12" t="inlineStr">
        <is>
          <t>חיים קוט – שכירות קריית גת</t>
        </is>
      </c>
      <c r="C22" s="15" t="n"/>
      <c r="D22" s="18" t="n">
        <v>2500</v>
      </c>
      <c r="E22" s="25">
        <f>E21+N(C22)-N(D22)</f>
        <v/>
      </c>
      <c r="F22" s="21" t="inlineStr">
        <is>
          <t>תשלום נוסף - אושר ע"י שמואל</t>
        </is>
      </c>
      <c r="G22" s="16" t="inlineStr">
        <is>
          <t>🔁 קבוע</t>
        </is>
      </c>
      <c r="H22" s="26" t="inlineStr">
        <is>
          <t>כן</t>
        </is>
      </c>
    </row>
    <row r="23" ht="14.25" customHeight="1" s="131">
      <c r="A23" s="38" t="inlineStr">
        <is>
          <t>08/09/2026</t>
        </is>
      </c>
      <c r="B23" s="14" t="inlineStr">
        <is>
          <t>אופל בלאנס - ניכיון צ'ק גרייטדור 60,000</t>
        </is>
      </c>
      <c r="C23" s="24" t="n">
        <v>55238</v>
      </c>
      <c r="D23" s="27" t="n"/>
      <c r="E23" s="36">
        <f>E22+N(C23)-N(D23)</f>
        <v/>
      </c>
      <c r="F23" s="30" t="inlineStr">
        <is>
          <t>ניכיון צ׳ק 60,000; התקבלו 55,238 נטו. העמלה 4,762 מגולגלת לגרייטדור ונרשמה כחוב לקוח - לא הוצאה שלנו</t>
        </is>
      </c>
      <c r="G23" s="20" t="inlineStr">
        <is>
          <t>✅ הכנסה</t>
        </is>
      </c>
      <c r="H23" s="33" t="n"/>
    </row>
    <row r="24" ht="14.25" customHeight="1" s="131">
      <c r="A24" s="47" t="inlineStr">
        <is>
          <t>08/09/2026</t>
        </is>
      </c>
      <c r="B24" s="6" t="inlineStr">
        <is>
          <t>מטה ופתילים - העברה בין חברות</t>
        </is>
      </c>
      <c r="C24" s="8" t="n"/>
      <c r="D24" s="9" t="n">
        <v>19700</v>
      </c>
      <c r="E24" s="46">
        <f>E23+N(C24)-N(D24)</f>
        <v/>
      </c>
      <c r="F24" s="13" t="inlineStr">
        <is>
          <t>העברה עצמית למטה</t>
        </is>
      </c>
      <c r="G24" s="5" t="inlineStr">
        <is>
          <t>🔄 העברה</t>
        </is>
      </c>
      <c r="H24" s="22" t="inlineStr">
        <is>
          <t>לא</t>
        </is>
      </c>
    </row>
    <row r="25" ht="14.25" customHeight="1" s="131">
      <c r="A25" s="47" t="inlineStr">
        <is>
          <t>08/09/2026</t>
        </is>
      </c>
      <c r="B25" s="6" t="inlineStr">
        <is>
          <t>טוהר הדברות ותחזוקה - הדברה בית חנינה</t>
        </is>
      </c>
      <c r="C25" s="8" t="n"/>
      <c r="D25" s="9" t="n">
        <v>1180</v>
      </c>
      <c r="E25" s="46">
        <f>E24+N(C25)-N(D25)</f>
        <v/>
      </c>
      <c r="F25" s="13" t="inlineStr">
        <is>
          <t>חן 100240</t>
        </is>
      </c>
      <c r="G25" s="5" t="inlineStr">
        <is>
          <t>📤 הוצאה</t>
        </is>
      </c>
      <c r="H25" s="22" t="inlineStr">
        <is>
          <t>כן</t>
        </is>
      </c>
    </row>
    <row r="26" ht="14.25" customHeight="1" s="131">
      <c r="A26" s="38" t="inlineStr">
        <is>
          <t>09/09/2026</t>
        </is>
      </c>
      <c r="B26" s="14" t="inlineStr">
        <is>
          <t>ש.ח.ן כרמלי - תקבול לקוח (חשבונית 50365, עובדי אוגוסט)</t>
        </is>
      </c>
      <c r="C26" s="24" t="n">
        <v>96620</v>
      </c>
      <c r="D26" s="27" t="n"/>
      <c r="E26" s="36">
        <f>E25+N(C26)-N(D26)</f>
        <v/>
      </c>
      <c r="F26" s="30" t="n"/>
      <c r="G26" s="20" t="inlineStr">
        <is>
          <t>✅ הכנסה</t>
        </is>
      </c>
      <c r="H26" s="33" t="n"/>
    </row>
    <row r="27" ht="14.25" customHeight="1" s="131">
      <c r="A27" s="38" t="inlineStr">
        <is>
          <t>09/09/2026</t>
        </is>
      </c>
      <c r="B27" s="14" t="inlineStr">
        <is>
          <t>ד.י שרף השקעות - תקבול לקוח (חשבונית 50363)</t>
        </is>
      </c>
      <c r="C27" s="24" t="n">
        <v>5036</v>
      </c>
      <c r="D27" s="27" t="n"/>
      <c r="E27" s="36">
        <f>E26+N(C27)-N(D27)</f>
        <v/>
      </c>
      <c r="F27" s="30" t="n"/>
      <c r="G27" s="20" t="inlineStr">
        <is>
          <t>✅ הכנסה</t>
        </is>
      </c>
      <c r="H27" s="33" t="n"/>
    </row>
    <row r="28" ht="14.25" customHeight="1" s="131">
      <c r="A28" s="38" t="inlineStr">
        <is>
          <t>09/09/2026</t>
        </is>
      </c>
      <c r="B28" s="14" t="inlineStr">
        <is>
          <t>איבריקה אינטרנשיונל - תקבול לקוח (חן 40083/40084/40085)</t>
        </is>
      </c>
      <c r="C28" s="24" t="n">
        <v>23069</v>
      </c>
      <c r="D28" s="27" t="n"/>
      <c r="E28" s="36">
        <f>E27+N(C28)-N(D28)</f>
        <v/>
      </c>
      <c r="F28" s="30" t="n"/>
      <c r="G28" s="20" t="inlineStr">
        <is>
          <t>✅ הכנסה</t>
        </is>
      </c>
      <c r="H28" s="33" t="n"/>
    </row>
    <row r="29" ht="14.25" customHeight="1" s="131">
      <c r="A29" s="38" t="inlineStr">
        <is>
          <t>09/09/2026</t>
        </is>
      </c>
      <c r="B29" s="14" t="inlineStr">
        <is>
          <t>שי-רם חברה לבנייה - תקבול לקוח</t>
        </is>
      </c>
      <c r="C29" s="24" t="n">
        <v>18990</v>
      </c>
      <c r="D29" s="27" t="n"/>
      <c r="E29" s="36">
        <f>E28+N(C29)-N(D29)</f>
        <v/>
      </c>
      <c r="F29" s="30" t="inlineStr">
        <is>
          <t>חשבון עסקה 40098 - עובדי אוגוסט</t>
        </is>
      </c>
      <c r="G29" s="20" t="inlineStr">
        <is>
          <t>✅ הכנסה</t>
        </is>
      </c>
      <c r="H29" s="33" t="n"/>
    </row>
    <row r="30" ht="14.25" customHeight="1" s="131">
      <c r="A30" s="38" t="inlineStr">
        <is>
          <t>09/09/2026</t>
        </is>
      </c>
      <c r="B30" s="14" t="inlineStr">
        <is>
          <t>גרייטדור תעש - תקבול לקוח</t>
        </is>
      </c>
      <c r="C30" s="24" t="n">
        <v>82721.75</v>
      </c>
      <c r="D30" s="27" t="n"/>
      <c r="E30" s="36">
        <f>E29+N(C30)-N(D30)</f>
        <v/>
      </c>
      <c r="F30" s="30" t="inlineStr">
        <is>
          <t>על חשבון חשבון עסקה 40097+40101 (הנחה - לאימות)</t>
        </is>
      </c>
      <c r="G30" s="20" t="inlineStr">
        <is>
          <t>✅ הכנסה</t>
        </is>
      </c>
      <c r="H30" s="33" t="n"/>
    </row>
    <row r="31" ht="14.25" customHeight="1" s="131">
      <c r="A31" s="47" t="inlineStr">
        <is>
          <t>09/09/2026</t>
        </is>
      </c>
      <c r="B31" s="6" t="inlineStr">
        <is>
          <t>אחים לימור - השלמת תשלום חשבונית 956</t>
        </is>
      </c>
      <c r="C31" s="8" t="n"/>
      <c r="D31" s="9" t="n">
        <v>169845.3</v>
      </c>
      <c r="E31" s="46">
        <f>E30+N(C31)-N(D31)</f>
        <v/>
      </c>
      <c r="F31" s="13" t="inlineStr">
        <is>
          <t>חוב יולי נסגר במלואו (40,000 ב-25/08 + 169,845.30)</t>
        </is>
      </c>
      <c r="G31" s="5" t="inlineStr">
        <is>
          <t>📤 הוצאה</t>
        </is>
      </c>
      <c r="H31" s="22" t="inlineStr">
        <is>
          <t>לא</t>
        </is>
      </c>
    </row>
    <row r="32" ht="14.25" customHeight="1" s="131">
      <c r="A32" s="38" t="inlineStr">
        <is>
          <t>09/09/2026</t>
        </is>
      </c>
      <c r="B32" s="14" t="inlineStr">
        <is>
          <t>ש.מינסקי יזמות - העברה כספית מהכיס</t>
        </is>
      </c>
      <c r="C32" s="24" t="n">
        <v>5000</v>
      </c>
      <c r="D32" s="27" t="n"/>
      <c r="E32" s="36">
        <f>E31+N(C32)-N(D32)</f>
        <v/>
      </c>
      <c r="F32" s="30" t="inlineStr">
        <is>
          <t>רשום בקובץ "התחשבנות שמואל מינסקי" כהעברה פתוחה שטרם הוחזרה - מגדיל את חוב ישר לשמואל</t>
        </is>
      </c>
      <c r="G32" s="20" t="inlineStr">
        <is>
          <t>✅ הכנסה</t>
        </is>
      </c>
      <c r="H32" s="33" t="n"/>
    </row>
    <row r="33" ht="14.25" customHeight="1" s="131">
      <c r="A33" s="47" t="inlineStr">
        <is>
          <t>09/09/2026</t>
        </is>
      </c>
      <c r="B33" s="6" t="inlineStr">
        <is>
          <t>ד.י שרף השקעות - תשלום עבור עובדי אוגוסט</t>
        </is>
      </c>
      <c r="C33" s="8" t="n"/>
      <c r="D33" s="9" t="n">
        <v>75065</v>
      </c>
      <c r="E33" s="46">
        <f>E32+N(C33)-N(D33)</f>
        <v/>
      </c>
      <c r="F33" s="13" t="inlineStr">
        <is>
          <t>שולם לפי אומדן - החשבונית עצמה טרם התקבלה</t>
        </is>
      </c>
      <c r="G33" s="5" t="inlineStr">
        <is>
          <t>📤 הוצאה</t>
        </is>
      </c>
      <c r="H33" s="22" t="inlineStr">
        <is>
          <t>כן</t>
        </is>
      </c>
    </row>
    <row r="34" ht="14.25" customHeight="1" s="131">
      <c r="A34" s="38" t="inlineStr">
        <is>
          <t>09/09/2026</t>
        </is>
      </c>
      <c r="B34" s="14" t="inlineStr">
        <is>
          <t>רמא - תקבול לקוח</t>
        </is>
      </c>
      <c r="C34" s="24" t="n">
        <v>129446</v>
      </c>
      <c r="D34" s="27" t="n"/>
      <c r="E34" s="36">
        <f>E33+N(C34)-N(D34)</f>
        <v/>
      </c>
      <c r="F34" s="30" t="inlineStr">
        <is>
          <t>חשבון עסקה 40087 - עובדי אוגוסט</t>
        </is>
      </c>
      <c r="G34" s="20" t="inlineStr">
        <is>
          <t>✅ הכנסה</t>
        </is>
      </c>
      <c r="H34" s="33" t="n"/>
    </row>
    <row r="35" ht="14.25" customHeight="1" s="131">
      <c r="A35" s="10" t="inlineStr">
        <is>
          <t>10/09/2026</t>
        </is>
      </c>
      <c r="B35" s="12" t="inlineStr">
        <is>
          <t>תגמולי מילואים – שלמה מינסקי</t>
        </is>
      </c>
      <c r="C35" s="15" t="n"/>
      <c r="D35" s="18" t="n">
        <v>12635</v>
      </c>
      <c r="E35" s="25">
        <f>E34+N(C35)-N(D35)</f>
        <v/>
      </c>
      <c r="F35" s="21" t="inlineStr">
        <is>
          <t>✅ מזוהה - תגמולי מילואים לשלמה מינסקי</t>
        </is>
      </c>
      <c r="G35" s="16" t="inlineStr">
        <is>
          <t>🔁 קבוע</t>
        </is>
      </c>
      <c r="H35" s="26" t="inlineStr">
        <is>
          <t>כן</t>
        </is>
      </c>
    </row>
    <row r="36" ht="14.25" customHeight="1" s="131">
      <c r="A36" s="10" t="inlineStr">
        <is>
          <t>10/09/2026</t>
        </is>
      </c>
      <c r="B36" s="12" t="inlineStr">
        <is>
          <t>העברת משכורת – עדינה (תלוש 8/26)</t>
        </is>
      </c>
      <c r="C36" s="15" t="n"/>
      <c r="D36" s="18" t="n">
        <v>11755</v>
      </c>
      <c r="E36" s="25">
        <f>E35+N(C36)-N(D36)</f>
        <v/>
      </c>
      <c r="F36" s="21" t="inlineStr">
        <is>
          <t>✅ תואם תלוש אוגוסט: נטו לתשלום 11,755 (ברוטו 14,323)</t>
        </is>
      </c>
      <c r="G36" s="16" t="inlineStr">
        <is>
          <t>🔁 קבוע</t>
        </is>
      </c>
      <c r="H36" s="26" t="inlineStr">
        <is>
          <t>כן</t>
        </is>
      </c>
    </row>
    <row r="37" ht="14.25" customHeight="1" s="131">
      <c r="A37" s="10" t="inlineStr">
        <is>
          <t>10/09/2026</t>
        </is>
      </c>
      <c r="B37" s="12" t="inlineStr">
        <is>
          <t>העברת משכורת – נחשון (יונאייב נחשון חיים)</t>
        </is>
      </c>
      <c r="C37" s="15" t="n"/>
      <c r="D37" s="18" t="n">
        <v>12514</v>
      </c>
      <c r="E37" s="25">
        <f>E36+N(C37)-N(D37)</f>
        <v/>
      </c>
      <c r="F37" s="21" t="inlineStr">
        <is>
          <t>קבועה | ✅ מזוהה - נחשון. שולם 10/09, לא נותרה משכורת רביעית לסוף החודש</t>
        </is>
      </c>
      <c r="G37" s="16" t="inlineStr">
        <is>
          <t>🔁 קבוע</t>
        </is>
      </c>
      <c r="H37" s="26" t="inlineStr">
        <is>
          <t>כן</t>
        </is>
      </c>
    </row>
    <row r="38" ht="14.25" customHeight="1" s="131">
      <c r="A38" s="38" t="inlineStr">
        <is>
          <t>10/09/2026</t>
        </is>
      </c>
      <c r="B38" s="14" t="inlineStr">
        <is>
          <t>אחים לימור - שכירות קורצק (חן 50367, אוגוסט)</t>
        </is>
      </c>
      <c r="C38" s="24" t="n">
        <v>29500</v>
      </c>
      <c r="D38" s="27" t="n"/>
      <c r="E38" s="36">
        <f>E37+N(C38)-N(D38)</f>
        <v/>
      </c>
      <c r="F38" s="30" t="inlineStr">
        <is>
          <t>הכנסת דירה - קורצאק</t>
        </is>
      </c>
      <c r="G38" s="20" t="inlineStr">
        <is>
          <t>✅ הכנסה</t>
        </is>
      </c>
      <c r="H38" s="33" t="n"/>
    </row>
    <row r="39" ht="14.25" customHeight="1" s="131">
      <c r="A39" s="38" t="inlineStr">
        <is>
          <t>10/09/2026</t>
        </is>
      </c>
      <c r="B39" s="14" t="inlineStr">
        <is>
          <t>אחים לימור - שכירות בית צפאפא (חן 50366, אוגוסט)</t>
        </is>
      </c>
      <c r="C39" s="24" t="n">
        <v>15340</v>
      </c>
      <c r="D39" s="27" t="n"/>
      <c r="E39" s="36">
        <f>E38+N(C39)-N(D39)</f>
        <v/>
      </c>
      <c r="F39" s="30" t="inlineStr">
        <is>
          <t>הכנסת דירה - בית צפאפא</t>
        </is>
      </c>
      <c r="G39" s="20" t="inlineStr">
        <is>
          <t>✅ הכנסה</t>
        </is>
      </c>
      <c r="H39" s="33" t="n"/>
    </row>
    <row r="40" ht="14.25" customHeight="1" s="131">
      <c r="A40" s="38" t="inlineStr">
        <is>
          <t>10/09/2026</t>
        </is>
      </c>
      <c r="B40" s="14" t="inlineStr">
        <is>
          <t>מאי חברה למערכות חשמל - תקבול לקוח</t>
        </is>
      </c>
      <c r="C40" s="24" t="n">
        <v>12675</v>
      </c>
      <c r="D40" s="27" t="n"/>
      <c r="E40" s="36">
        <f>E39+N(C40)-N(D40)</f>
        <v/>
      </c>
      <c r="F40" s="30" t="inlineStr">
        <is>
          <t>חן עסקה 40100</t>
        </is>
      </c>
      <c r="G40" s="20" t="inlineStr">
        <is>
          <t>✅ הכנסה</t>
        </is>
      </c>
      <c r="H40" s="33" t="n"/>
    </row>
    <row r="41" ht="14.25" customHeight="1" s="131">
      <c r="A41" s="10" t="inlineStr">
        <is>
          <t>10/09/2026</t>
        </is>
      </c>
      <c r="B41" s="12" t="inlineStr">
        <is>
          <t>ארנונה – עיריית ירושלים</t>
        </is>
      </c>
      <c r="C41" s="15" t="n"/>
      <c r="D41" s="18" t="n">
        <v>6928.76</v>
      </c>
      <c r="E41" s="25">
        <f>E40+N(C41)-N(D41)</f>
        <v/>
      </c>
      <c r="F41" s="21" t="inlineStr">
        <is>
          <t>קבועה | 6 חיובים נפרדים</t>
        </is>
      </c>
      <c r="G41" s="16" t="inlineStr">
        <is>
          <t>🔁 קבוע</t>
        </is>
      </c>
      <c r="H41" s="26" t="inlineStr">
        <is>
          <t>כן</t>
        </is>
      </c>
    </row>
    <row r="42" ht="14.25" customHeight="1" s="131">
      <c r="A42" s="38" t="inlineStr">
        <is>
          <t>10/09/2026</t>
        </is>
      </c>
      <c r="B42" s="14" t="inlineStr">
        <is>
          <t>גרייטדור תעש - תקבול לקוח</t>
        </is>
      </c>
      <c r="C42" s="24" t="n">
        <v>142805.25</v>
      </c>
      <c r="D42" s="27" t="n"/>
      <c r="E42" s="36">
        <f>E41+N(C42)-N(D42)</f>
        <v/>
      </c>
      <c r="F42" s="30" t="inlineStr">
        <is>
          <t>על חשבון עבודת אוגוסט/ספטמבר</t>
        </is>
      </c>
      <c r="G42" s="20" t="inlineStr">
        <is>
          <t>✅ הכנסה</t>
        </is>
      </c>
      <c r="H42" s="33" t="n"/>
    </row>
    <row r="43" ht="14.25" customHeight="1" s="131">
      <c r="A43" s="47" t="inlineStr">
        <is>
          <t>11/09/2026</t>
        </is>
      </c>
      <c r="B43" s="6" t="inlineStr">
        <is>
          <t>שיק 5000347</t>
        </is>
      </c>
      <c r="C43" s="8" t="n"/>
      <c r="D43" s="9" t="n">
        <v>5000</v>
      </c>
      <c r="E43" s="46">
        <f>E42+N(C43)-N(D43)</f>
        <v/>
      </c>
      <c r="F43" s="13" t="inlineStr">
        <is>
          <t>⚠️ שיק - לבדוק למי ועבור מה</t>
        </is>
      </c>
      <c r="G43" s="5" t="inlineStr">
        <is>
          <t>📤 הוצאה</t>
        </is>
      </c>
      <c r="H43" s="22" t="n"/>
    </row>
    <row r="44" ht="14.25" customHeight="1" s="131">
      <c r="A44" s="47" t="inlineStr">
        <is>
          <t>14/09/2026</t>
        </is>
      </c>
      <c r="B44" s="6" t="inlineStr">
        <is>
          <t>פדיון מקוזז</t>
        </is>
      </c>
      <c r="C44" s="8" t="n"/>
      <c r="D44" s="9" t="n">
        <v>45602.49</v>
      </c>
      <c r="E44" s="46">
        <f>E43+N(C44)-N(D44)</f>
        <v/>
      </c>
      <c r="F44" s="13" t="inlineStr">
        <is>
          <t>פדיון פיקדון פנימי - הכסף חזר מיד (ראה שורות הבאות) - לא נספר כהוצאה</t>
        </is>
      </c>
      <c r="G44" s="5" t="inlineStr">
        <is>
          <t>📤 הוצאה</t>
        </is>
      </c>
      <c r="H44" s="22" t="n"/>
    </row>
    <row r="45" ht="14.25" customHeight="1" s="131">
      <c r="A45" s="38" t="inlineStr">
        <is>
          <t>14/09/2026</t>
        </is>
      </c>
      <c r="B45" s="14" t="inlineStr">
        <is>
          <t>פרעון פקדון</t>
        </is>
      </c>
      <c r="C45" s="24" t="n">
        <v>45599.41</v>
      </c>
      <c r="D45" s="27" t="n"/>
      <c r="E45" s="36">
        <f>E44+N(C45)-N(D45)</f>
        <v/>
      </c>
      <c r="F45" s="30" t="inlineStr">
        <is>
          <t>חוזר לחשבון</t>
        </is>
      </c>
      <c r="G45" s="20" t="inlineStr">
        <is>
          <t>✅ הכנסה</t>
        </is>
      </c>
      <c r="H45" s="33" t="n"/>
    </row>
    <row r="46" ht="14.25" customHeight="1" s="131">
      <c r="A46" s="38" t="inlineStr">
        <is>
          <t>14/09/2026</t>
        </is>
      </c>
      <c r="B46" s="14" t="inlineStr">
        <is>
          <t>ריבית לפקדון</t>
        </is>
      </c>
      <c r="C46" s="24" t="n">
        <v>3.08</v>
      </c>
      <c r="D46" s="27" t="n"/>
      <c r="E46" s="36">
        <f>E45+N(C46)-N(D46)</f>
        <v/>
      </c>
      <c r="F46" s="30" t="n"/>
      <c r="G46" s="20" t="inlineStr">
        <is>
          <t>✅ הכנסה</t>
        </is>
      </c>
      <c r="H46" s="33" t="n"/>
    </row>
    <row r="47" ht="14.25" customHeight="1" s="131">
      <c r="A47" s="38" t="inlineStr">
        <is>
          <t>14/09/2026</t>
        </is>
      </c>
      <c r="B47" s="14" t="inlineStr">
        <is>
          <t>ברגשטיין - תקבול לקוח</t>
        </is>
      </c>
      <c r="C47" s="24" t="n">
        <v>286847</v>
      </c>
      <c r="D47" s="27" t="n"/>
      <c r="E47" s="36">
        <f>E46+N(C47)-N(D47)</f>
        <v/>
      </c>
      <c r="F47" s="30" t="inlineStr">
        <is>
          <t>חן עסקה 40102 - שולם במלואו</t>
        </is>
      </c>
      <c r="G47" s="20" t="inlineStr">
        <is>
          <t>✅ הכנסה</t>
        </is>
      </c>
      <c r="H47" s="33" t="n"/>
    </row>
    <row r="48" ht="14.25" customHeight="1" s="131">
      <c r="A48" s="47" t="inlineStr">
        <is>
          <t>14/09/2026</t>
        </is>
      </c>
      <c r="B48" s="6" t="inlineStr">
        <is>
          <t>שיק 5000349</t>
        </is>
      </c>
      <c r="C48" s="8" t="n"/>
      <c r="D48" s="9" t="n">
        <v>16250</v>
      </c>
      <c r="E48" s="46">
        <f>E47+N(C48)-N(D48)</f>
        <v/>
      </c>
      <c r="F48" s="13" t="inlineStr">
        <is>
          <t>⚠️ שיק - לבדוק למי ועבור מה</t>
        </is>
      </c>
      <c r="G48" s="5" t="inlineStr">
        <is>
          <t>📤 הוצאה</t>
        </is>
      </c>
      <c r="H48" s="22" t="n"/>
    </row>
    <row r="49" ht="14.25" customHeight="1" s="131">
      <c r="A49" s="38" t="inlineStr">
        <is>
          <t>14/09/2026</t>
        </is>
      </c>
      <c r="B49" s="14" t="inlineStr">
        <is>
          <t>אביאלי אלומיניום (אלי שי בן-חיים) - תקבול לקוח, יתרת חשבון 40088</t>
        </is>
      </c>
      <c r="C49" s="24" t="n">
        <v>42772</v>
      </c>
      <c r="D49" s="27" t="n"/>
      <c r="E49" s="36">
        <f>E48+N(C49)-N(D49)</f>
        <v/>
      </c>
      <c r="F49" s="30" t="n"/>
      <c r="G49" s="20" t="inlineStr">
        <is>
          <t>✅ הכנסה</t>
        </is>
      </c>
      <c r="H49" s="33" t="n"/>
    </row>
    <row r="50" ht="14.25" customHeight="1" s="131">
      <c r="A50" s="10" t="inlineStr">
        <is>
          <t>15/09/2026</t>
        </is>
      </c>
      <c r="B50" s="12" t="inlineStr">
        <is>
          <t>דיינרס - כרטיס אשראי</t>
        </is>
      </c>
      <c r="C50" s="15" t="n"/>
      <c r="D50" s="18" t="n">
        <v>171</v>
      </c>
      <c r="E50" s="25">
        <f>E49+N(C50)-N(D50)</f>
        <v/>
      </c>
      <c r="F50" s="21" t="inlineStr">
        <is>
          <t>קבועה</t>
        </is>
      </c>
      <c r="G50" s="16" t="inlineStr">
        <is>
          <t>🔁 קבוע</t>
        </is>
      </c>
      <c r="H50" s="26" t="inlineStr">
        <is>
          <t>כן</t>
        </is>
      </c>
    </row>
    <row r="51" ht="14.25" customHeight="1" s="131">
      <c r="A51" s="10" t="inlineStr">
        <is>
          <t>15/09/2026</t>
        </is>
      </c>
      <c r="B51" s="12" t="inlineStr">
        <is>
          <t>לאומי מאסטרקרד - כרטיס אשראי</t>
        </is>
      </c>
      <c r="C51" s="15" t="n"/>
      <c r="D51" s="18" t="n">
        <v>12926.98</v>
      </c>
      <c r="E51" s="25">
        <f>E50+N(C51)-N(D51)</f>
        <v/>
      </c>
      <c r="F51" s="21" t="inlineStr">
        <is>
          <t>קבועה</t>
        </is>
      </c>
      <c r="G51" s="16" t="inlineStr">
        <is>
          <t>🔁 קבוע</t>
        </is>
      </c>
      <c r="H51" s="26" t="inlineStr">
        <is>
          <t>כן</t>
        </is>
      </c>
    </row>
    <row r="52" ht="14.25" customHeight="1" s="131">
      <c r="A52" s="10" t="inlineStr">
        <is>
          <t>15/09/2026</t>
        </is>
      </c>
      <c r="B52" s="12" t="inlineStr">
        <is>
          <t>תומא וסאם - שכירות בית חנינה</t>
        </is>
      </c>
      <c r="C52" s="15" t="n"/>
      <c r="D52" s="18" t="n">
        <v>9600</v>
      </c>
      <c r="E52" s="25">
        <f>E51+N(C52)-N(D52)</f>
        <v/>
      </c>
      <c r="F52" s="21" t="inlineStr">
        <is>
          <t>קבועה</t>
        </is>
      </c>
      <c r="G52" s="16" t="inlineStr">
        <is>
          <t>🔁 קבוע</t>
        </is>
      </c>
      <c r="H52" s="26" t="inlineStr">
        <is>
          <t>כן</t>
        </is>
      </c>
    </row>
    <row r="53" ht="14.25" customHeight="1" s="131">
      <c r="A53" s="10" t="inlineStr">
        <is>
          <t>15/09/2026</t>
        </is>
      </c>
      <c r="B53" s="12" t="inlineStr">
        <is>
          <t>הינדי טייטלבוים - שכירות קארו 3</t>
        </is>
      </c>
      <c r="C53" s="15" t="n"/>
      <c r="D53" s="18" t="n">
        <v>4000</v>
      </c>
      <c r="E53" s="25">
        <f>E52+N(C53)-N(D53)</f>
        <v/>
      </c>
      <c r="F53" s="21" t="inlineStr">
        <is>
          <t>קבועה</t>
        </is>
      </c>
      <c r="G53" s="16" t="inlineStr">
        <is>
          <t>🔁 קבוע</t>
        </is>
      </c>
      <c r="H53" s="26" t="inlineStr">
        <is>
          <t>כן</t>
        </is>
      </c>
    </row>
    <row r="54" ht="14.25" customHeight="1" s="131">
      <c r="A54" s="10" t="inlineStr">
        <is>
          <t>15/09/2026</t>
        </is>
      </c>
      <c r="B54" s="12" t="inlineStr">
        <is>
          <t>שישא גבריאל - שכירות קארו 7</t>
        </is>
      </c>
      <c r="C54" s="15" t="n"/>
      <c r="D54" s="18" t="n">
        <v>7000</v>
      </c>
      <c r="E54" s="25">
        <f>E53+N(C54)-N(D54)</f>
        <v/>
      </c>
      <c r="F54" s="21" t="inlineStr">
        <is>
          <t>קבועה</t>
        </is>
      </c>
      <c r="G54" s="16" t="inlineStr">
        <is>
          <t>🔁 קבוע</t>
        </is>
      </c>
      <c r="H54" s="26" t="inlineStr">
        <is>
          <t>כן</t>
        </is>
      </c>
    </row>
    <row r="55" ht="14.25" customHeight="1" s="131">
      <c r="A55" s="10" t="inlineStr">
        <is>
          <t>15/09/2026</t>
        </is>
      </c>
      <c r="B55" s="12" t="inlineStr">
        <is>
          <t>זאב זלץ - שכירות קארו 11</t>
        </is>
      </c>
      <c r="C55" s="15" t="n"/>
      <c r="D55" s="18" t="n">
        <v>3000</v>
      </c>
      <c r="E55" s="25">
        <f>E54+N(C55)-N(D55)</f>
        <v/>
      </c>
      <c r="F55" s="21" t="inlineStr">
        <is>
          <t>קבועה</t>
        </is>
      </c>
      <c r="G55" s="16" t="inlineStr">
        <is>
          <t>🔁 קבוע</t>
        </is>
      </c>
      <c r="H55" s="26" t="inlineStr">
        <is>
          <t>כן</t>
        </is>
      </c>
    </row>
    <row r="56" ht="14.25" customHeight="1" s="131">
      <c r="A56" s="10" t="inlineStr">
        <is>
          <t>15/09/2026</t>
        </is>
      </c>
      <c r="B56" s="12" t="inlineStr">
        <is>
          <t>רחל מסטשי - שכירות אסירי ציון</t>
        </is>
      </c>
      <c r="C56" s="15" t="n"/>
      <c r="D56" s="18" t="n">
        <v>4700</v>
      </c>
      <c r="E56" s="25">
        <f>E55+N(C56)-N(D56)</f>
        <v/>
      </c>
      <c r="F56" s="21" t="inlineStr">
        <is>
          <t>קבועה</t>
        </is>
      </c>
      <c r="G56" s="16" t="inlineStr">
        <is>
          <t>🔁 קבוע</t>
        </is>
      </c>
      <c r="H56" s="26" t="inlineStr">
        <is>
          <t>כן</t>
        </is>
      </c>
    </row>
    <row r="57" ht="14.25" customHeight="1" s="131">
      <c r="A57" s="10" t="inlineStr">
        <is>
          <t>15/09/2026</t>
        </is>
      </c>
      <c r="B57" s="12" t="inlineStr">
        <is>
          <t>י. צדיק נכסים - שכירות בית צפאפא</t>
        </is>
      </c>
      <c r="C57" s="15" t="n"/>
      <c r="D57" s="18" t="n">
        <v>8850</v>
      </c>
      <c r="E57" s="25">
        <f>E56+N(C57)-N(D57)</f>
        <v/>
      </c>
      <c r="F57" s="21" t="inlineStr">
        <is>
          <t>קבועה</t>
        </is>
      </c>
      <c r="G57" s="16" t="inlineStr">
        <is>
          <t>🔁 קבוע</t>
        </is>
      </c>
      <c r="H57" s="26" t="inlineStr">
        <is>
          <t>כן</t>
        </is>
      </c>
    </row>
    <row r="58" ht="14.25" customHeight="1" s="131">
      <c r="A58" s="10" t="inlineStr">
        <is>
          <t>15/09/2026</t>
        </is>
      </c>
      <c r="B58" s="12" t="inlineStr">
        <is>
          <t>י. צדיק נכסים - שכירות קורצאק</t>
        </is>
      </c>
      <c r="C58" s="15" t="n"/>
      <c r="D58" s="18" t="n">
        <v>12980</v>
      </c>
      <c r="E58" s="25">
        <f>E57+N(C58)-N(D58)</f>
        <v/>
      </c>
      <c r="F58" s="21" t="inlineStr">
        <is>
          <t>קבועה</t>
        </is>
      </c>
      <c r="G58" s="16" t="inlineStr">
        <is>
          <t>🔁 קבוע</t>
        </is>
      </c>
      <c r="H58" s="26" t="inlineStr">
        <is>
          <t>כן</t>
        </is>
      </c>
    </row>
    <row r="59" ht="14.25" customHeight="1" s="131">
      <c r="A59" s="10" t="inlineStr">
        <is>
          <t>15/09/2026</t>
        </is>
      </c>
      <c r="B59" s="12" t="inlineStr">
        <is>
          <t>מקס איט פיננסי - כרטיס אשראי</t>
        </is>
      </c>
      <c r="C59" s="15" t="n"/>
      <c r="D59" s="18" t="n">
        <v>10782.64</v>
      </c>
      <c r="E59" s="25">
        <f>E58+N(C59)-N(D59)</f>
        <v/>
      </c>
      <c r="F59" s="21" t="inlineStr">
        <is>
          <t>קבועה - סכום בפועל (במקום אמדן 10,284.20)</t>
        </is>
      </c>
      <c r="G59" s="16" t="inlineStr">
        <is>
          <t>🔁 קבוע</t>
        </is>
      </c>
      <c r="H59" s="26" t="inlineStr">
        <is>
          <t>כן</t>
        </is>
      </c>
    </row>
    <row r="60" ht="14.25" customHeight="1" s="131">
      <c r="A60" s="10" t="inlineStr">
        <is>
          <t>15/09/2026</t>
        </is>
      </c>
      <c r="B60" s="12" t="inlineStr">
        <is>
          <t>אייל גולן - ריטיינר חודשי</t>
        </is>
      </c>
      <c r="C60" s="15" t="n"/>
      <c r="D60" s="18" t="n">
        <v>3540</v>
      </c>
      <c r="E60" s="25">
        <f>E59+N(C60)-N(D60)</f>
        <v/>
      </c>
      <c r="F60" s="21" t="inlineStr">
        <is>
          <t>בוצע 15/09 (היה מתוכנן 3,450 - הסכום בפועל 3,540)</t>
        </is>
      </c>
      <c r="G60" s="16" t="inlineStr">
        <is>
          <t>🔁 קבוע</t>
        </is>
      </c>
      <c r="H60" s="26" t="inlineStr">
        <is>
          <t>כן</t>
        </is>
      </c>
    </row>
    <row r="61" ht="14.25" customHeight="1" s="131">
      <c r="A61" s="10" t="inlineStr">
        <is>
          <t>16/09/2026</t>
        </is>
      </c>
      <c r="B61" s="12" t="inlineStr">
        <is>
          <t>החזרי מע"מ לעוסקים - מכס ומע"מ</t>
        </is>
      </c>
      <c r="C61" s="15" t="n">
        <v>4839</v>
      </c>
      <c r="D61" s="18" t="n"/>
      <c r="E61" s="25">
        <f>E60+N(C61)-N(D61)</f>
        <v/>
      </c>
      <c r="F61" s="21" t="inlineStr">
        <is>
          <t>החזר מע"מ</t>
        </is>
      </c>
      <c r="G61" s="16" t="inlineStr">
        <is>
          <t>✅ הכנסה</t>
        </is>
      </c>
      <c r="H61" s="26" t="n"/>
    </row>
    <row r="62" ht="14.25" customHeight="1" s="131">
      <c r="A62" s="10" t="inlineStr">
        <is>
          <t>16/09/2026</t>
        </is>
      </c>
      <c r="B62" s="12" t="inlineStr">
        <is>
          <t>מטה ופתילים - העברה בין חברות</t>
        </is>
      </c>
      <c r="C62" s="15" t="n"/>
      <c r="D62" s="18" t="n">
        <v>19770</v>
      </c>
      <c r="E62" s="25">
        <f>E61+N(C62)-N(D62)</f>
        <v/>
      </c>
      <c r="F62" s="21" t="inlineStr">
        <is>
          <t>העברה עצמית למטה</t>
        </is>
      </c>
      <c r="G62" s="16" t="inlineStr">
        <is>
          <t>🔄 העברה</t>
        </is>
      </c>
      <c r="H62" s="26" t="inlineStr">
        <is>
          <t>לא</t>
        </is>
      </c>
    </row>
    <row r="63" ht="14.25" customHeight="1" s="131">
      <c r="A63" s="10" t="inlineStr">
        <is>
          <t>16/09/2026</t>
        </is>
      </c>
      <c r="B63" s="12" t="inlineStr">
        <is>
          <t>גרייטדור תעש - תקבול לקוח</t>
        </is>
      </c>
      <c r="C63" s="15" t="n">
        <v>30000</v>
      </c>
      <c r="D63" s="18" t="n"/>
      <c r="E63" s="25">
        <f>E62+N(C63)-N(D63)</f>
        <v/>
      </c>
      <c r="F63" s="21" t="inlineStr">
        <is>
          <t>העברה דיגיטל על חשבון החוב</t>
        </is>
      </c>
      <c r="G63" s="16" t="inlineStr">
        <is>
          <t>✅ הכנסה</t>
        </is>
      </c>
      <c r="H63" s="26" t="n"/>
    </row>
    <row r="64" ht="14.25" customHeight="1" s="131">
      <c r="A64" s="10" t="inlineStr">
        <is>
          <t>16/09/2026</t>
        </is>
      </c>
      <c r="B64" s="12" t="inlineStr">
        <is>
          <t>רואה חשבון יוסי טובול - ריטיינר חודשי</t>
        </is>
      </c>
      <c r="C64" s="15" t="n"/>
      <c r="D64" s="18" t="n">
        <v>1357</v>
      </c>
      <c r="E64" s="25">
        <f>E63+N(C64)-N(D64)</f>
        <v/>
      </c>
      <c r="F64" s="21" t="inlineStr">
        <is>
          <t>✅ בפועל - תואם אמדן</t>
        </is>
      </c>
      <c r="G64" s="16" t="inlineStr">
        <is>
          <t>🔁 קבוע</t>
        </is>
      </c>
      <c r="H64" s="26" t="inlineStr">
        <is>
          <t>כן</t>
        </is>
      </c>
    </row>
    <row r="65" ht="14.25" customHeight="1" s="131">
      <c r="A65" s="10" t="inlineStr">
        <is>
          <t>17/09/2026</t>
        </is>
      </c>
      <c r="B65" s="12" t="inlineStr">
        <is>
          <t>יעל אברהם - העברה בנקאית</t>
        </is>
      </c>
      <c r="C65" s="15" t="n"/>
      <c r="D65" s="18" t="n">
        <v>13770</v>
      </c>
      <c r="E65" s="25">
        <f>E64+N(C65)-N(D65)</f>
        <v/>
      </c>
      <c r="F65" s="21" t="n"/>
      <c r="G65" s="16" t="inlineStr">
        <is>
          <t>📤 הוצאה</t>
        </is>
      </c>
      <c r="H65" s="26" t="n"/>
    </row>
    <row r="66" ht="14.25" customHeight="1" s="131">
      <c r="A66" s="10" t="inlineStr">
        <is>
          <t>17/09/2026</t>
        </is>
      </c>
      <c r="B66" s="12" t="inlineStr">
        <is>
          <t>ISRAEL CARGO LOG - תשלום חודשי קבוע</t>
        </is>
      </c>
      <c r="C66" s="15" t="n"/>
      <c r="D66" s="18" t="n">
        <v>19770</v>
      </c>
      <c r="E66" s="25">
        <f>E65+N(C66)-N(D66)</f>
        <v/>
      </c>
      <c r="F66" s="21" t="inlineStr">
        <is>
          <t>📌 תזכורת: צריך להעביר 19,770 ₪ כל חודש ב-10 לחודש - נותרו עוד 8 תשלומים (אוקטובר 2026 עד מאי 2027)</t>
        </is>
      </c>
      <c r="G66" s="16" t="inlineStr">
        <is>
          <t>🔁 קבוע</t>
        </is>
      </c>
      <c r="H66" s="26" t="inlineStr">
        <is>
          <t>כן</t>
        </is>
      </c>
    </row>
    <row r="67" ht="14.25" customHeight="1" s="131">
      <c r="A67" s="10" t="inlineStr">
        <is>
          <t>22/09/2026</t>
        </is>
      </c>
      <c r="B67" s="12" t="inlineStr">
        <is>
          <t>פרעון הלוואה</t>
        </is>
      </c>
      <c r="C67" s="15" t="n"/>
      <c r="D67" s="18" t="n">
        <v>4193.64</v>
      </c>
      <c r="E67" s="25">
        <f>E66+N(C67)-N(D67)</f>
        <v/>
      </c>
      <c r="F67" s="21" t="inlineStr">
        <is>
          <t>🏦 בפועל מהבנק</t>
        </is>
      </c>
      <c r="G67" s="16" t="inlineStr">
        <is>
          <t>🔁 קבוע</t>
        </is>
      </c>
      <c r="H67" s="26" t="inlineStr">
        <is>
          <t>כן</t>
        </is>
      </c>
    </row>
    <row r="68" ht="14.25" customHeight="1" s="131">
      <c r="A68" s="10" t="inlineStr">
        <is>
          <t>22/09/2026</t>
        </is>
      </c>
      <c r="B68" s="12" t="inlineStr">
        <is>
          <t>פניני התכלת - תשלום חשבונית 90110 (עובדי אוגוסט)</t>
        </is>
      </c>
      <c r="C68" s="15" t="n"/>
      <c r="D68" s="18" t="n">
        <v>92498.39999999999</v>
      </c>
      <c r="E68" s="25">
        <f>E67+N(C68)-N(D68)</f>
        <v/>
      </c>
      <c r="F68" s="21" t="inlineStr">
        <is>
          <t>חן 90110 - 94,093.20 פחות ניכוי במקור 2% (1,594.80). חוב אוגוסט נסגר</t>
        </is>
      </c>
      <c r="G68" s="16" t="inlineStr">
        <is>
          <t>📤 הוצאה</t>
        </is>
      </c>
      <c r="H68" s="26" t="inlineStr">
        <is>
          <t>כן</t>
        </is>
      </c>
    </row>
    <row r="69" ht="14.25" customHeight="1" s="131">
      <c r="A69" s="10" t="inlineStr">
        <is>
          <t>22/09/2026</t>
        </is>
      </c>
      <c r="B69" s="12" t="inlineStr">
        <is>
          <t>פרעון שיק/שטר</t>
        </is>
      </c>
      <c r="C69" s="15" t="n"/>
      <c r="D69" s="18" t="n">
        <v>1825</v>
      </c>
      <c r="E69" s="25">
        <f>E68+N(C69)-N(D69)</f>
        <v/>
      </c>
      <c r="F69" s="21" t="inlineStr">
        <is>
          <t>🏦 בפועל מהבנק (שיק 5000337)</t>
        </is>
      </c>
      <c r="G69" s="16" t="inlineStr">
        <is>
          <t>🔁 קבוע</t>
        </is>
      </c>
      <c r="H69" s="26" t="inlineStr">
        <is>
          <t>כן</t>
        </is>
      </c>
    </row>
    <row r="70" ht="14.25" customHeight="1" s="131">
      <c r="A70" s="10" t="inlineStr">
        <is>
          <t>22/09/2026</t>
        </is>
      </c>
      <c r="B70" s="12" t="inlineStr">
        <is>
          <t>ד.יוחאי - תשלום חשבונית IN264000106 (עובדי אוגוסט)</t>
        </is>
      </c>
      <c r="C70" s="15" t="n"/>
      <c r="D70" s="18" t="n">
        <v>35758.81</v>
      </c>
      <c r="E70" s="25">
        <f>E69+N(C70)-N(D70)</f>
        <v/>
      </c>
      <c r="F70" s="21" t="inlineStr">
        <is>
          <t>חשבונית 106 - חוב אוגוסט נסגר</t>
        </is>
      </c>
      <c r="G70" s="16" t="inlineStr">
        <is>
          <t>📤 הוצאה</t>
        </is>
      </c>
      <c r="H70" s="26" t="inlineStr">
        <is>
          <t>כן</t>
        </is>
      </c>
    </row>
    <row r="71" ht="14.25" customHeight="1" s="131">
      <c r="A71" s="10" t="inlineStr">
        <is>
          <t>22/09/2026</t>
        </is>
      </c>
      <c r="B71" s="12" t="inlineStr">
        <is>
          <t>אחים לימור - תשלום חשבונית אוגוסט (חן עסקה 8020)</t>
        </is>
      </c>
      <c r="C71" s="15" t="n"/>
      <c r="D71" s="18" t="n">
        <v>190858.51</v>
      </c>
      <c r="E71" s="25">
        <f>E70+N(C71)-N(D71)</f>
        <v/>
      </c>
      <c r="F71" s="21" t="inlineStr">
        <is>
          <t>חוב אוגוסט נסגר במלואו</t>
        </is>
      </c>
      <c r="G71" s="16" t="inlineStr">
        <is>
          <t>📤 הוצאה</t>
        </is>
      </c>
      <c r="H71" s="26" t="inlineStr">
        <is>
          <t>כן</t>
        </is>
      </c>
    </row>
    <row r="72" ht="14.25" customHeight="1" s="131">
      <c r="A72" s="10" t="inlineStr">
        <is>
          <t>22/09/2026</t>
        </is>
      </c>
      <c r="B72" s="12" t="inlineStr">
        <is>
          <t>ג.ד קלמרה - תשלום חשבונית 20019 (אוגוסט)</t>
        </is>
      </c>
      <c r="C72" s="15" t="n"/>
      <c r="D72" s="18" t="n">
        <v>4085</v>
      </c>
      <c r="E72" s="25">
        <f>E71+N(C72)-N(D72)</f>
        <v/>
      </c>
      <c r="F72" s="21" t="inlineStr">
        <is>
          <t>ייעוץ הנדסי וביקור מהנדס - חוב אוגוסט נסגר</t>
        </is>
      </c>
      <c r="G72" s="16" t="inlineStr">
        <is>
          <t>📤 הוצאה</t>
        </is>
      </c>
      <c r="H72" s="26" t="inlineStr">
        <is>
          <t>כן</t>
        </is>
      </c>
    </row>
    <row r="73" ht="14.25" customHeight="1" s="131">
      <c r="A73" s="10" t="inlineStr">
        <is>
          <t>22/09/2026</t>
        </is>
      </c>
      <c r="B73" s="12" t="inlineStr">
        <is>
          <t>פוגין אינטרנשיונל - תשלום חשבונית 01/000905 (אוגוסט)</t>
        </is>
      </c>
      <c r="C73" s="15" t="n"/>
      <c r="D73" s="18" t="n">
        <v>25965</v>
      </c>
      <c r="E73" s="25">
        <f>E72+N(C73)-N(D73)</f>
        <v/>
      </c>
      <c r="F73" s="21" t="inlineStr">
        <is>
          <t>חשבונית 25,965.90 - שולם 25,965 (פער 0.90 ₪ עיגול). חוב אוגוסט נסגר</t>
        </is>
      </c>
      <c r="G73" s="16" t="inlineStr">
        <is>
          <t>📤 הוצאה</t>
        </is>
      </c>
      <c r="H73" s="26" t="inlineStr">
        <is>
          <t>כן</t>
        </is>
      </c>
    </row>
    <row r="74" ht="14.25" customHeight="1" s="131">
      <c r="A74" s="10" t="inlineStr">
        <is>
          <t>24/09/2026</t>
        </is>
      </c>
      <c r="B74" s="12" t="inlineStr">
        <is>
          <t>FURTUNA ALEXANDE - העברה לחשבון BONOS 54-022-026246887</t>
        </is>
      </c>
      <c r="C74" s="15" t="n"/>
      <c r="D74" s="18" t="n">
        <v>1260</v>
      </c>
      <c r="E74" s="25">
        <f>E73+N(C74)-N(D74)</f>
        <v/>
      </c>
      <c r="F74" s="21" t="inlineStr">
        <is>
          <t>⚠️ לבדוק למי ועבור מה - העברה לחשבון BONOS (בנק לעובדים זרים). תנועות היום - לא סופי</t>
        </is>
      </c>
      <c r="G74" s="16" t="inlineStr">
        <is>
          <t>📤 הוצאה</t>
        </is>
      </c>
      <c r="H74" s="26" t="n"/>
    </row>
    <row r="75" ht="14.25" customHeight="1" s="131">
      <c r="A75" s="10" t="inlineStr">
        <is>
          <t>24/09/2026</t>
        </is>
      </c>
      <c r="B75" s="12" t="inlineStr">
        <is>
          <t>ANDREI DELEV - העברה לחשבון BONOS 54-022-087745299</t>
        </is>
      </c>
      <c r="C75" s="15" t="n"/>
      <c r="D75" s="18" t="n">
        <v>2580</v>
      </c>
      <c r="E75" s="25">
        <f>E74+N(C75)-N(D75)</f>
        <v/>
      </c>
      <c r="F75" s="21" t="inlineStr">
        <is>
          <t>⚠️ לבדוק למי ועבור מה - העברה לחשבון BONOS (בנק לעובדים זרים). תנועות היום - לא סופי</t>
        </is>
      </c>
      <c r="G75" s="16" t="inlineStr">
        <is>
          <t>📤 הוצאה</t>
        </is>
      </c>
      <c r="H75" s="26" t="n"/>
    </row>
    <row r="76" ht="14.25" customHeight="1" s="131">
      <c r="A76" s="10" t="inlineStr">
        <is>
          <t>24/09/2026</t>
        </is>
      </c>
      <c r="B76" s="12" t="inlineStr">
        <is>
          <t>מע"מ</t>
        </is>
      </c>
      <c r="C76" s="15" t="n"/>
      <c r="D76" s="18" t="n">
        <v>5056</v>
      </c>
      <c r="E76" s="25">
        <f>E75+N(C76)-N(D76)</f>
        <v/>
      </c>
      <c r="F76" s="21" t="inlineStr">
        <is>
          <t>🏦 בפועל מהבנק</t>
        </is>
      </c>
      <c r="G76" s="16" t="inlineStr">
        <is>
          <t>🔁 קבוע</t>
        </is>
      </c>
      <c r="H76" s="26" t="inlineStr">
        <is>
          <t>כן</t>
        </is>
      </c>
    </row>
    <row r="77" ht="14.25" customHeight="1" s="131">
      <c r="A77" s="10" t="inlineStr">
        <is>
          <t>24/09/2026</t>
        </is>
      </c>
      <c r="B77" s="12" t="inlineStr">
        <is>
          <t>שבט בנימין - תקבול לקוח (חש׳ 369+370)</t>
        </is>
      </c>
      <c r="C77" s="15" t="n">
        <v>47973.78</v>
      </c>
      <c r="D77" s="18" t="n"/>
      <c r="E77" s="25">
        <f>E76+N(C77)-N(D77)</f>
        <v/>
      </c>
      <c r="F77" s="21" t="inlineStr">
        <is>
          <t>חשבון עסקה 40096+40095 - עובדים אוגוסט + יולי. ✅ שולם במלואו - זה הסכום הסופי</t>
        </is>
      </c>
      <c r="G77" s="16" t="inlineStr">
        <is>
          <t>✅ הכנסה</t>
        </is>
      </c>
      <c r="H77" s="26" t="n"/>
    </row>
    <row r="78" ht="14.25" customHeight="1" s="131">
      <c r="A78" s="10" t="inlineStr">
        <is>
          <t>24/09/2026</t>
        </is>
      </c>
      <c r="B78" s="12" t="inlineStr">
        <is>
          <t>פאנג שירותי כח אדם - צ׳ק 5000345 (חשבונית יוני 01/002663)</t>
        </is>
      </c>
      <c r="C78" s="15" t="n"/>
      <c r="D78" s="18" t="n">
        <v>125000</v>
      </c>
      <c r="E78" s="25">
        <f>E77+N(C78)-N(D78)</f>
        <v/>
      </c>
      <c r="F78" s="21" t="inlineStr">
        <is>
          <t>צ׳ק ראשון מתוך 2 - צ׳ק 5000346 (125,000) פורע 25/10/2026</t>
        </is>
      </c>
      <c r="G78" s="16" t="inlineStr">
        <is>
          <t>📤 הוצאה</t>
        </is>
      </c>
      <c r="H78" s="26" t="inlineStr">
        <is>
          <t>לא</t>
        </is>
      </c>
    </row>
    <row r="79" ht="14.25" customHeight="1" s="131">
      <c r="A79" s="10" t="inlineStr">
        <is>
          <t>24/09/2026</t>
        </is>
      </c>
      <c r="B79" s="12" t="inlineStr">
        <is>
          <t>שי-לי כוח אדם - תשלום חשבונית 230703 (עובדי אוגוסט)</t>
        </is>
      </c>
      <c r="C79" s="15" t="n"/>
      <c r="D79" s="18" t="n">
        <v>67944</v>
      </c>
      <c r="E79" s="25">
        <f>E78+N(C79)-N(D79)</f>
        <v/>
      </c>
      <c r="F79" s="21" t="inlineStr">
        <is>
          <t>חוב אוגוסט נסגר במלואו</t>
        </is>
      </c>
      <c r="G79" s="16" t="inlineStr">
        <is>
          <t>📤 הוצאה</t>
        </is>
      </c>
      <c r="H79" s="26" t="inlineStr">
        <is>
          <t>כן</t>
        </is>
      </c>
    </row>
    <row r="80" ht="14.25" customHeight="1" s="131">
      <c r="A80" s="10" t="inlineStr">
        <is>
          <t>25/09/2026</t>
        </is>
      </c>
      <c r="B80" s="12" t="inlineStr">
        <is>
          <t>אופיר חנון בניה ופיקוח - תקבול לקוח</t>
        </is>
      </c>
      <c r="C80" s="15" t="n">
        <v>25000</v>
      </c>
      <c r="D80" s="18" t="n"/>
      <c r="E80" s="25">
        <f>E79+N(C80)-N(D80)</f>
        <v/>
      </c>
      <c r="F80" s="21" t="inlineStr">
        <is>
          <t>על חשבון חשבון עסקה 40094 - נותרו 88,425 ₪</t>
        </is>
      </c>
      <c r="G80" s="16" t="inlineStr">
        <is>
          <t>✅ הכנסה</t>
        </is>
      </c>
      <c r="H80" s="26" t="n"/>
    </row>
    <row r="81" ht="14.25" customHeight="1" s="131">
      <c r="A81" s="10" t="inlineStr">
        <is>
          <t>29/09/2026</t>
        </is>
      </c>
      <c r="B81" s="12" t="inlineStr">
        <is>
          <t>העברה לחשבונותי</t>
        </is>
      </c>
      <c r="C81" s="15" t="n"/>
      <c r="D81" s="18" t="n">
        <v>5.5</v>
      </c>
      <c r="E81" s="25">
        <f>E80+N(C81)-N(D81)</f>
        <v/>
      </c>
      <c r="F81" s="21" t="inlineStr">
        <is>
          <t>עמלה/העברה פנימית קטנה</t>
        </is>
      </c>
      <c r="G81" s="16" t="inlineStr">
        <is>
          <t>📤 הוצאה</t>
        </is>
      </c>
      <c r="H81" s="26" t="inlineStr">
        <is>
          <t>כן</t>
        </is>
      </c>
    </row>
    <row r="82" ht="14.25" customHeight="1" s="131">
      <c r="A82" s="10" t="inlineStr">
        <is>
          <t>30/09/2026</t>
        </is>
      </c>
      <c r="B82" s="12" t="inlineStr">
        <is>
          <t>ריבית חובה</t>
        </is>
      </c>
      <c r="C82" s="15" t="n"/>
      <c r="D82" s="18" t="n">
        <v>145.49</v>
      </c>
      <c r="E82" s="25">
        <f>E81+N(C82)-N(D82)</f>
        <v/>
      </c>
      <c r="F82" s="21" t="inlineStr">
        <is>
          <t>🏦 בפועל מהבנק</t>
        </is>
      </c>
      <c r="G82" s="16" t="inlineStr">
        <is>
          <t>📤 הוצאה</t>
        </is>
      </c>
      <c r="H82" s="26" t="inlineStr">
        <is>
          <t>כן</t>
        </is>
      </c>
    </row>
    <row r="83" ht="14.25" customHeight="1" s="131">
      <c r="A83" s="58" t="inlineStr">
        <is>
          <t>יתרה בפועל בבנק – 30/09/2026 ✅ מאומת מול דוח בנק לאומי</t>
        </is>
      </c>
      <c r="C83" s="82" t="n"/>
      <c r="D83" s="82" t="n"/>
      <c r="E83" s="84">
        <f>E82</f>
        <v/>
      </c>
    </row>
    <row r="84" ht="30" customHeight="1" s="131">
      <c r="A84" s="141" t="inlineStr">
        <is>
          <t>הערה: הנתונים עד 30/09/2026 מאומתים מול דוח בנק לאומי (117,658.66 ₪ בסוף ספטמבר, דוח 05/10). ב-24/09 ירדו צ׳ק פאנג 5000345 (125,000) ושי-לי (67,944) ונכנס שבט בנימין (47,973.78); ב-25/09 נכנסו 25,000 מאופיר חנון. ביטוח לאומי הצפוי (8,168) לא ירד בספטמבר. נותרו לתשלום: פאנג אוגוסט, BMG אוגוסט, צ׳ק פאנג יוני השני (25/10) - ראה "ממתינים לתשלום".</t>
        </is>
      </c>
    </row>
    <row r="85" ht="14.25" customHeight="1" s="131">
      <c r="C85" s="82" t="n"/>
      <c r="D85" s="82" t="n"/>
      <c r="E85" s="82" t="n"/>
    </row>
    <row r="86" ht="14.25" customHeight="1" s="131">
      <c r="A86" s="142" t="inlineStr">
        <is>
          <t>📊 סיכום לפי עמודה "שייך להוצאות החודש?"</t>
        </is>
      </c>
    </row>
    <row r="87" ht="14.25" customHeight="1" s="131">
      <c r="A87" s="85" t="inlineStr">
        <is>
          <t>סה"כ הוצאות שכן שייכות לחודש (שכירות, משכורות, כרטיסי אשראי, קבועות, תאגידי אוגוסט)</t>
        </is>
      </c>
      <c r="B87" s="85" t="n"/>
      <c r="C87" s="86" t="n"/>
      <c r="D87" s="83">
        <f>SUMIF(H5:H82,"כן",D5:D82)</f>
        <v/>
      </c>
      <c r="E87" s="82" t="n"/>
    </row>
    <row r="88" ht="14.25" customHeight="1" s="131">
      <c r="A88" s="85" t="inlineStr">
        <is>
          <t>סה"כ הוצאות שלא שייכות (חובות תאגידים מחודשים קודמים, העברות בין חברות)</t>
        </is>
      </c>
      <c r="B88" s="85" t="n"/>
      <c r="C88" s="86" t="n"/>
      <c r="D88" s="83">
        <f>SUMIF(H5:H82,"לא",D5:D82)</f>
        <v/>
      </c>
      <c r="E88" s="82" t="n"/>
    </row>
    <row r="89" ht="14.25" customHeight="1" s="131">
      <c r="A89" s="85" t="inlineStr">
        <is>
          <t>סה"כ הכנסות בחודש (ספטמבר)</t>
        </is>
      </c>
      <c r="B89" s="85" t="n"/>
      <c r="C89" s="86" t="n"/>
      <c r="D89" s="83">
        <f>SUM(C5:C82)</f>
        <v/>
      </c>
      <c r="E89" s="82" t="n"/>
    </row>
    <row r="90" ht="14.25" customHeight="1" s="131">
      <c r="C90" s="82" t="n"/>
      <c r="D90" s="82" t="n"/>
      <c r="E90" s="82" t="n"/>
    </row>
    <row r="91" ht="14.25" customHeight="1" s="131"/>
    <row r="92" ht="14.25" customHeight="1" s="131"/>
    <row r="93" ht="14.25" customHeight="1" s="131"/>
    <row r="94" ht="14.25" customHeight="1" s="131"/>
    <row r="95" ht="14.25" customHeight="1" s="131"/>
    <row r="96" ht="14.25" customHeight="1" s="131"/>
    <row r="97" ht="14.25" customHeight="1" s="131"/>
    <row r="98" ht="14.25" customHeight="1" s="131"/>
    <row r="99" ht="14.25" customHeight="1" s="131"/>
    <row r="100" ht="14.25" customHeight="1" s="131"/>
    <row r="101" ht="14.25" customHeight="1" s="131"/>
    <row r="102" ht="14.25" customHeight="1" s="131"/>
    <row r="103" ht="14.25" customHeight="1" s="131"/>
    <row r="104" ht="14.25" customHeight="1" s="131"/>
    <row r="105" ht="14.25" customHeight="1" s="131"/>
    <row r="106" ht="14.25" customHeight="1" s="131"/>
    <row r="107" ht="14.25" customHeight="1" s="131"/>
    <row r="108" ht="14.25" customHeight="1" s="131"/>
    <row r="109" ht="14.25" customHeight="1" s="131"/>
    <row r="110" ht="14.25" customHeight="1" s="131"/>
    <row r="111" ht="14.25" customHeight="1" s="131"/>
    <row r="112" ht="14.25" customHeight="1" s="131"/>
    <row r="113" ht="14.25" customHeight="1" s="131"/>
    <row r="114" ht="14.25" customHeight="1" s="131"/>
    <row r="115" ht="14.25" customHeight="1" s="131"/>
    <row r="116" ht="14.25" customHeight="1" s="131"/>
    <row r="117" ht="14.25" customHeight="1" s="131"/>
    <row r="118" ht="14.25" customHeight="1" s="131"/>
    <row r="119" ht="14.25" customHeight="1" s="131"/>
    <row r="120" ht="14.25" customHeight="1" s="131"/>
    <row r="121" ht="14.25" customHeight="1" s="131"/>
    <row r="122" ht="14.25" customHeight="1" s="131"/>
    <row r="123" ht="14.25" customHeight="1" s="131"/>
    <row r="124" ht="14.25" customHeight="1" s="131"/>
    <row r="125" ht="14.25" customHeight="1" s="131"/>
    <row r="126" ht="14.25" customHeight="1" s="131"/>
    <row r="127" ht="14.25" customHeight="1" s="131"/>
    <row r="128" ht="14.25" customHeight="1" s="131"/>
    <row r="129" ht="14.25" customHeight="1" s="131"/>
    <row r="130" ht="14.25" customHeight="1" s="131"/>
    <row r="131" ht="14.25" customHeight="1" s="131"/>
    <row r="132" ht="14.25" customHeight="1" s="131"/>
    <row r="133" ht="14.25" customHeight="1" s="131"/>
    <row r="134" ht="14.25" customHeight="1" s="131"/>
    <row r="135" ht="14.25" customHeight="1" s="131"/>
    <row r="136" ht="14.25" customHeight="1" s="131"/>
    <row r="137" ht="14.25" customHeight="1" s="131"/>
    <row r="138" ht="14.25" customHeight="1" s="131"/>
    <row r="139" ht="14.25" customHeight="1" s="131"/>
    <row r="140" ht="14.25" customHeight="1" s="131"/>
    <row r="141" ht="14.25" customHeight="1" s="131"/>
    <row r="142" ht="14.25" customHeight="1" s="131"/>
    <row r="143" ht="14.25" customHeight="1" s="131"/>
    <row r="144" ht="14.25" customHeight="1" s="131"/>
    <row r="145" ht="14.25" customHeight="1" s="131"/>
    <row r="146" ht="14.25" customHeight="1" s="131"/>
    <row r="147" ht="14.25" customHeight="1" s="131"/>
    <row r="148" ht="14.25" customHeight="1" s="131"/>
    <row r="149" ht="14.25" customHeight="1" s="131"/>
    <row r="150" ht="14.25" customHeight="1" s="131"/>
    <row r="151" ht="14.25" customHeight="1" s="131"/>
    <row r="152" ht="14.25" customHeight="1" s="131"/>
    <row r="153" ht="14.25" customHeight="1" s="131"/>
    <row r="154" ht="14.25" customHeight="1" s="131"/>
    <row r="155" ht="14.25" customHeight="1" s="131"/>
    <row r="156" ht="14.25" customHeight="1" s="131"/>
    <row r="157" ht="14.25" customHeight="1" s="131"/>
    <row r="158" ht="14.25" customHeight="1" s="131"/>
    <row r="159" ht="14.25" customHeight="1" s="131"/>
    <row r="160" ht="14.25" customHeight="1" s="131"/>
    <row r="161" ht="14.25" customHeight="1" s="131"/>
    <row r="162" ht="14.25" customHeight="1" s="131"/>
    <row r="163" ht="14.25" customHeight="1" s="131"/>
    <row r="164" ht="14.25" customHeight="1" s="131"/>
    <row r="165" ht="14.25" customHeight="1" s="131"/>
    <row r="166" ht="14.25" customHeight="1" s="131"/>
    <row r="167" ht="14.25" customHeight="1" s="131"/>
    <row r="168" ht="14.25" customHeight="1" s="131"/>
    <row r="169" ht="14.25" customHeight="1" s="131"/>
    <row r="170" ht="14.25" customHeight="1" s="131"/>
    <row r="171" ht="14.25" customHeight="1" s="131"/>
    <row r="172" ht="14.25" customHeight="1" s="131"/>
    <row r="173" ht="14.25" customHeight="1" s="131"/>
    <row r="174" ht="14.25" customHeight="1" s="131"/>
    <row r="175" ht="14.25" customHeight="1" s="131"/>
    <row r="176" ht="14.25" customHeight="1" s="131"/>
    <row r="177" ht="14.25" customHeight="1" s="131"/>
    <row r="178" ht="14.25" customHeight="1" s="131"/>
    <row r="179" ht="14.25" customHeight="1" s="131"/>
    <row r="180" ht="14.25" customHeight="1" s="131"/>
    <row r="181" ht="14.25" customHeight="1" s="131"/>
    <row r="182" ht="14.25" customHeight="1" s="131"/>
    <row r="183" ht="14.25" customHeight="1" s="131"/>
    <row r="184" ht="14.25" customHeight="1" s="131"/>
    <row r="185" ht="14.25" customHeight="1" s="131"/>
    <row r="186" ht="14.25" customHeight="1" s="131"/>
    <row r="187" ht="14.25" customHeight="1" s="131"/>
    <row r="188" ht="14.25" customHeight="1" s="131"/>
    <row r="189" ht="14.25" customHeight="1" s="131"/>
    <row r="190" ht="14.25" customHeight="1" s="131"/>
    <row r="191" ht="14.25" customHeight="1" s="131"/>
    <row r="192" ht="14.25" customHeight="1" s="131"/>
    <row r="193" ht="14.25" customHeight="1" s="131"/>
    <row r="194" ht="14.25" customHeight="1" s="131"/>
    <row r="195" ht="14.25" customHeight="1" s="131"/>
    <row r="196" ht="14.25" customHeight="1" s="131"/>
    <row r="197" ht="14.25" customHeight="1" s="131"/>
    <row r="198" ht="14.25" customHeight="1" s="131"/>
    <row r="199" ht="14.25" customHeight="1" s="131"/>
    <row r="200" ht="14.25" customHeight="1" s="131"/>
    <row r="201" ht="14.25" customHeight="1" s="131"/>
    <row r="202" ht="14.25" customHeight="1" s="131"/>
    <row r="203" ht="14.25" customHeight="1" s="131"/>
    <row r="204" ht="14.25" customHeight="1" s="131"/>
    <row r="205" ht="14.25" customHeight="1" s="131"/>
    <row r="206" ht="14.25" customHeight="1" s="131"/>
    <row r="207" ht="14.25" customHeight="1" s="131"/>
    <row r="208" ht="14.25" customHeight="1" s="131"/>
    <row r="209" ht="14.25" customHeight="1" s="131"/>
    <row r="210" ht="14.25" customHeight="1" s="131"/>
    <row r="211" ht="14.25" customHeight="1" s="131"/>
    <row r="212" ht="14.25" customHeight="1" s="131"/>
    <row r="213" ht="14.25" customHeight="1" s="131"/>
    <row r="214" ht="14.25" customHeight="1" s="131"/>
    <row r="215" ht="14.25" customHeight="1" s="131"/>
    <row r="216" ht="14.25" customHeight="1" s="131"/>
    <row r="217" ht="14.25" customHeight="1" s="131"/>
    <row r="218" ht="14.25" customHeight="1" s="131"/>
    <row r="219" ht="14.25" customHeight="1" s="131"/>
    <row r="220" ht="14.25" customHeight="1" s="131"/>
    <row r="221" ht="14.25" customHeight="1" s="131"/>
    <row r="222" ht="14.25" customHeight="1" s="131"/>
    <row r="223" ht="14.25" customHeight="1" s="131"/>
    <row r="224" ht="14.25" customHeight="1" s="131"/>
    <row r="225" ht="14.25" customHeight="1" s="131"/>
    <row r="226" ht="14.25" customHeight="1" s="131"/>
    <row r="227" ht="14.25" customHeight="1" s="131"/>
    <row r="228" ht="14.25" customHeight="1" s="131"/>
    <row r="229" ht="14.25" customHeight="1" s="131"/>
    <row r="230" ht="14.25" customHeight="1" s="131"/>
    <row r="231" ht="14.25" customHeight="1" s="131"/>
    <row r="232" ht="14.25" customHeight="1" s="131"/>
    <row r="233" ht="14.25" customHeight="1" s="131"/>
    <row r="234" ht="14.25" customHeight="1" s="131"/>
    <row r="235" ht="14.25" customHeight="1" s="131"/>
    <row r="236" ht="14.25" customHeight="1" s="131"/>
    <row r="237" ht="14.25" customHeight="1" s="131"/>
    <row r="238" ht="14.25" customHeight="1" s="131"/>
    <row r="239" ht="14.25" customHeight="1" s="131"/>
    <row r="240" ht="14.25" customHeight="1" s="131"/>
    <row r="241" ht="14.25" customHeight="1" s="131"/>
    <row r="242" ht="14.25" customHeight="1" s="131"/>
    <row r="243" ht="14.25" customHeight="1" s="131"/>
    <row r="244" ht="14.25" customHeight="1" s="131"/>
    <row r="245" ht="14.25" customHeight="1" s="131"/>
    <row r="246" ht="14.25" customHeight="1" s="131"/>
    <row r="247" ht="14.25" customHeight="1" s="131"/>
    <row r="248" ht="14.25" customHeight="1" s="131"/>
    <row r="249" ht="14.25" customHeight="1" s="131"/>
    <row r="250" ht="14.25" customHeight="1" s="131"/>
    <row r="251" ht="14.25" customHeight="1" s="131"/>
    <row r="252" ht="14.25" customHeight="1" s="131"/>
    <row r="253" ht="14.25" customHeight="1" s="131"/>
    <row r="254" ht="14.25" customHeight="1" s="131"/>
    <row r="255" ht="14.25" customHeight="1" s="131"/>
    <row r="256" ht="14.25" customHeight="1" s="131"/>
    <row r="257" ht="14.25" customHeight="1" s="131"/>
    <row r="258" ht="14.25" customHeight="1" s="131"/>
    <row r="259" ht="14.25" customHeight="1" s="131"/>
    <row r="260" ht="14.25" customHeight="1" s="131"/>
    <row r="261" ht="14.25" customHeight="1" s="131"/>
    <row r="262" ht="14.25" customHeight="1" s="131"/>
    <row r="263" ht="14.25" customHeight="1" s="131"/>
    <row r="264" ht="14.25" customHeight="1" s="131"/>
    <row r="265" ht="14.25" customHeight="1" s="131"/>
    <row r="266" ht="14.25" customHeight="1" s="131"/>
    <row r="267" ht="14.25" customHeight="1" s="131"/>
    <row r="268" ht="14.25" customHeight="1" s="131"/>
    <row r="269" ht="14.25" customHeight="1" s="131"/>
    <row r="270" ht="14.25" customHeight="1" s="131"/>
    <row r="271" ht="14.25" customHeight="1" s="131"/>
    <row r="272" ht="14.25" customHeight="1" s="131"/>
    <row r="273" ht="14.25" customHeight="1" s="131"/>
    <row r="274" ht="14.25" customHeight="1" s="131"/>
    <row r="275" ht="14.25" customHeight="1" s="131"/>
    <row r="276" ht="14.25" customHeight="1" s="131"/>
    <row r="277" ht="14.25" customHeight="1" s="131"/>
    <row r="278" ht="14.25" customHeight="1" s="131"/>
    <row r="279" ht="14.25" customHeight="1" s="131"/>
    <row r="280" ht="14.25" customHeight="1" s="131"/>
    <row r="281" ht="14.25" customHeight="1" s="131"/>
    <row r="282" ht="14.25" customHeight="1" s="131"/>
    <row r="283" ht="14.25" customHeight="1" s="131"/>
    <row r="284" ht="14.25" customHeight="1" s="131"/>
    <row r="285" ht="14.25" customHeight="1" s="131"/>
    <row r="286" ht="14.25" customHeight="1" s="131"/>
    <row r="287" ht="14.25" customHeight="1" s="131"/>
    <row r="288" ht="14.25" customHeight="1" s="131"/>
    <row r="289" ht="14.25" customHeight="1" s="131"/>
    <row r="290" ht="14.25" customHeight="1" s="131"/>
    <row r="291" ht="14.25" customHeight="1" s="131"/>
    <row r="292" ht="14.25" customHeight="1" s="131"/>
    <row r="293" ht="14.25" customHeight="1" s="131"/>
    <row r="294" ht="14.25" customHeight="1" s="131"/>
    <row r="295" ht="14.25" customHeight="1" s="131"/>
    <row r="296" ht="14.25" customHeight="1" s="131"/>
    <row r="297" ht="14.25" customHeight="1" s="131"/>
    <row r="298" ht="14.25" customHeight="1" s="131"/>
    <row r="299" ht="14.25" customHeight="1" s="131"/>
    <row r="300" ht="14.25" customHeight="1" s="131"/>
    <row r="301" ht="14.25" customHeight="1" s="131"/>
    <row r="302" ht="14.25" customHeight="1" s="131"/>
    <row r="303" ht="14.25" customHeight="1" s="131"/>
    <row r="304" ht="14.25" customHeight="1" s="131"/>
    <row r="305" ht="14.25" customHeight="1" s="131"/>
    <row r="306" ht="14.25" customHeight="1" s="131"/>
    <row r="307" ht="14.25" customHeight="1" s="131"/>
    <row r="308" ht="14.25" customHeight="1" s="131"/>
    <row r="309" ht="14.25" customHeight="1" s="131"/>
    <row r="310" ht="14.25" customHeight="1" s="131"/>
    <row r="311" ht="14.25" customHeight="1" s="131"/>
    <row r="312" ht="14.25" customHeight="1" s="131"/>
    <row r="313" ht="14.25" customHeight="1" s="131"/>
    <row r="314" ht="14.25" customHeight="1" s="131"/>
    <row r="315" ht="14.25" customHeight="1" s="131"/>
    <row r="316" ht="14.25" customHeight="1" s="131"/>
    <row r="317" ht="14.25" customHeight="1" s="131"/>
    <row r="318" ht="14.25" customHeight="1" s="131"/>
    <row r="319" ht="14.25" customHeight="1" s="131"/>
    <row r="320" ht="14.25" customHeight="1" s="131"/>
    <row r="321" ht="14.25" customHeight="1" s="131"/>
    <row r="322" ht="14.25" customHeight="1" s="131"/>
    <row r="323" ht="14.25" customHeight="1" s="131"/>
    <row r="324" ht="14.25" customHeight="1" s="131"/>
    <row r="325" ht="14.25" customHeight="1" s="131"/>
    <row r="326" ht="14.25" customHeight="1" s="131"/>
    <row r="327" ht="14.25" customHeight="1" s="131"/>
    <row r="328" ht="14.25" customHeight="1" s="131"/>
    <row r="329" ht="14.25" customHeight="1" s="131"/>
    <row r="330" ht="14.25" customHeight="1" s="131"/>
    <row r="331" ht="14.25" customHeight="1" s="131"/>
    <row r="332" ht="14.25" customHeight="1" s="131"/>
    <row r="333" ht="14.25" customHeight="1" s="131"/>
    <row r="334" ht="14.25" customHeight="1" s="131"/>
    <row r="335" ht="14.25" customHeight="1" s="131"/>
    <row r="336" ht="14.25" customHeight="1" s="131"/>
    <row r="337" ht="14.25" customHeight="1" s="131"/>
    <row r="338" ht="14.25" customHeight="1" s="131"/>
    <row r="339" ht="14.25" customHeight="1" s="131"/>
    <row r="340" ht="14.25" customHeight="1" s="131"/>
    <row r="341" ht="14.25" customHeight="1" s="131"/>
    <row r="342" ht="14.25" customHeight="1" s="131"/>
    <row r="343" ht="14.25" customHeight="1" s="131"/>
    <row r="344" ht="14.25" customHeight="1" s="131"/>
    <row r="345" ht="14.25" customHeight="1" s="131"/>
    <row r="346" ht="15.75" customHeight="1" s="131"/>
    <row r="347" ht="15.75" customHeight="1" s="131"/>
    <row r="348" ht="15.75" customHeight="1" s="131"/>
    <row r="349" ht="15.75" customHeight="1" s="131"/>
    <row r="350" ht="15.75" customHeight="1" s="131"/>
    <row r="351" ht="15.75" customHeight="1" s="131"/>
    <row r="352" ht="15.75" customHeight="1" s="131"/>
    <row r="353" ht="15.75" customHeight="1" s="131"/>
    <row r="354" ht="15.75" customHeight="1" s="131"/>
    <row r="355" ht="15.75" customHeight="1" s="131"/>
    <row r="356" ht="15.75" customHeight="1" s="131"/>
    <row r="357" ht="15.75" customHeight="1" s="131"/>
    <row r="358" ht="15.75" customHeight="1" s="131"/>
    <row r="359" ht="15.75" customHeight="1" s="131"/>
    <row r="360" ht="15.75" customHeight="1" s="131"/>
    <row r="361" ht="15.75" customHeight="1" s="131"/>
    <row r="362" ht="15.75" customHeight="1" s="131"/>
    <row r="363" ht="15.75" customHeight="1" s="131"/>
    <row r="364" ht="15.75" customHeight="1" s="131"/>
    <row r="365" ht="15.75" customHeight="1" s="131"/>
    <row r="366" ht="15.75" customHeight="1" s="131"/>
    <row r="367" ht="15.75" customHeight="1" s="131"/>
    <row r="368" ht="15.75" customHeight="1" s="131"/>
    <row r="369" ht="15.75" customHeight="1" s="131"/>
    <row r="370" ht="15.75" customHeight="1" s="131"/>
    <row r="371" ht="15.75" customHeight="1" s="131"/>
    <row r="372" ht="15.75" customHeight="1" s="131"/>
    <row r="373" ht="15.75" customHeight="1" s="131"/>
    <row r="374" ht="15.75" customHeight="1" s="131"/>
    <row r="375" ht="15.75" customHeight="1" s="131"/>
    <row r="376" ht="15.75" customHeight="1" s="131"/>
    <row r="377" ht="15.75" customHeight="1" s="131"/>
    <row r="378" ht="15.75" customHeight="1" s="131"/>
    <row r="379" ht="15.75" customHeight="1" s="131"/>
    <row r="380" ht="15.75" customHeight="1" s="131"/>
    <row r="381" ht="15.75" customHeight="1" s="131"/>
    <row r="382" ht="15.75" customHeight="1" s="131"/>
    <row r="383" ht="15.75" customHeight="1" s="131"/>
    <row r="384" ht="15.75" customHeight="1" s="131"/>
    <row r="385" ht="15.75" customHeight="1" s="131"/>
    <row r="386" ht="15.75" customHeight="1" s="131"/>
    <row r="387" ht="15.75" customHeight="1" s="131"/>
    <row r="388" ht="15.75" customHeight="1" s="131"/>
    <row r="389" ht="15.75" customHeight="1" s="131"/>
    <row r="390" ht="15.75" customHeight="1" s="131"/>
    <row r="391" ht="15.75" customHeight="1" s="131"/>
    <row r="392" ht="15.75" customHeight="1" s="131"/>
    <row r="393" ht="15.75" customHeight="1" s="131"/>
    <row r="394" ht="15.75" customHeight="1" s="131"/>
    <row r="395" ht="15.75" customHeight="1" s="131"/>
    <row r="396" ht="15.75" customHeight="1" s="131"/>
    <row r="397" ht="15.75" customHeight="1" s="131"/>
    <row r="398" ht="15.75" customHeight="1" s="131"/>
    <row r="399" ht="15.75" customHeight="1" s="131"/>
    <row r="400" ht="15.75" customHeight="1" s="131"/>
    <row r="401" ht="15.75" customHeight="1" s="131"/>
    <row r="402" ht="15.75" customHeight="1" s="131"/>
    <row r="403" ht="15.75" customHeight="1" s="131"/>
    <row r="404" ht="15.75" customHeight="1" s="131"/>
    <row r="405" ht="15.75" customHeight="1" s="131"/>
    <row r="406" ht="15.75" customHeight="1" s="131"/>
    <row r="407" ht="15.75" customHeight="1" s="131"/>
    <row r="408" ht="15.75" customHeight="1" s="131"/>
    <row r="409" ht="15.75" customHeight="1" s="131"/>
    <row r="410" ht="15.75" customHeight="1" s="131"/>
    <row r="411" ht="15.75" customHeight="1" s="131"/>
    <row r="412" ht="15.75" customHeight="1" s="131"/>
    <row r="413" ht="15.75" customHeight="1" s="131"/>
    <row r="414" ht="15.75" customHeight="1" s="131"/>
    <row r="415" ht="15.75" customHeight="1" s="131"/>
    <row r="416" ht="15.75" customHeight="1" s="131"/>
    <row r="417" ht="15.75" customHeight="1" s="131"/>
    <row r="418" ht="15.75" customHeight="1" s="131"/>
    <row r="419" ht="15.75" customHeight="1" s="131"/>
    <row r="420" ht="15.75" customHeight="1" s="131"/>
    <row r="421" ht="15.75" customHeight="1" s="131"/>
    <row r="422" ht="15.75" customHeight="1" s="131"/>
    <row r="423" ht="15.75" customHeight="1" s="131"/>
    <row r="424" ht="15.75" customHeight="1" s="131"/>
    <row r="425" ht="15.75" customHeight="1" s="131"/>
    <row r="426" ht="15.75" customHeight="1" s="131"/>
    <row r="427" ht="15.75" customHeight="1" s="131"/>
    <row r="428" ht="15.75" customHeight="1" s="131"/>
    <row r="429" ht="15.75" customHeight="1" s="131"/>
    <row r="430" ht="15.75" customHeight="1" s="131"/>
    <row r="431" ht="15.75" customHeight="1" s="131"/>
    <row r="432" ht="15.75" customHeight="1" s="131"/>
    <row r="433" ht="15.75" customHeight="1" s="131"/>
    <row r="434" ht="15.75" customHeight="1" s="131"/>
    <row r="435" ht="15.75" customHeight="1" s="131"/>
    <row r="436" ht="15.75" customHeight="1" s="131"/>
    <row r="437" ht="15.75" customHeight="1" s="131"/>
    <row r="438" ht="15.75" customHeight="1" s="131"/>
    <row r="439" ht="15.75" customHeight="1" s="131"/>
    <row r="440" ht="15.75" customHeight="1" s="131"/>
    <row r="441" ht="15.75" customHeight="1" s="131"/>
    <row r="442" ht="15.75" customHeight="1" s="131"/>
    <row r="443" ht="15.75" customHeight="1" s="131"/>
    <row r="444" ht="15.75" customHeight="1" s="131"/>
    <row r="445" ht="15.75" customHeight="1" s="131"/>
    <row r="446" ht="15.75" customHeight="1" s="131"/>
    <row r="447" ht="15.75" customHeight="1" s="131"/>
    <row r="448" ht="15.75" customHeight="1" s="131"/>
    <row r="449" ht="15.75" customHeight="1" s="131"/>
    <row r="450" ht="15.75" customHeight="1" s="131"/>
    <row r="451" ht="15.75" customHeight="1" s="131"/>
    <row r="452" ht="15.75" customHeight="1" s="131"/>
    <row r="453" ht="15.75" customHeight="1" s="131"/>
    <row r="454" ht="15.75" customHeight="1" s="131"/>
    <row r="455" ht="15.75" customHeight="1" s="131"/>
    <row r="456" ht="15.75" customHeight="1" s="131"/>
    <row r="457" ht="15.75" customHeight="1" s="131"/>
    <row r="458" ht="15.75" customHeight="1" s="131"/>
    <row r="459" ht="15.75" customHeight="1" s="131"/>
    <row r="460" ht="15.75" customHeight="1" s="131"/>
    <row r="461" ht="15.75" customHeight="1" s="131"/>
    <row r="462" ht="15.75" customHeight="1" s="131"/>
    <row r="463" ht="15.75" customHeight="1" s="131"/>
    <row r="464" ht="15.75" customHeight="1" s="131"/>
    <row r="465" ht="15.75" customHeight="1" s="131"/>
    <row r="466" ht="15.75" customHeight="1" s="131"/>
    <row r="467" ht="15.75" customHeight="1" s="131"/>
    <row r="468" ht="15.75" customHeight="1" s="131"/>
    <row r="469" ht="15.75" customHeight="1" s="131"/>
    <row r="470" ht="15.75" customHeight="1" s="131"/>
    <row r="471" ht="15.75" customHeight="1" s="131"/>
    <row r="472" ht="15.75" customHeight="1" s="131"/>
    <row r="473" ht="15.75" customHeight="1" s="131"/>
    <row r="474" ht="15.75" customHeight="1" s="131"/>
    <row r="475" ht="15.75" customHeight="1" s="131"/>
    <row r="476" ht="15.75" customHeight="1" s="131"/>
    <row r="477" ht="15.75" customHeight="1" s="131"/>
    <row r="478" ht="15.75" customHeight="1" s="131"/>
    <row r="479" ht="15.75" customHeight="1" s="131"/>
    <row r="480" ht="15.75" customHeight="1" s="131"/>
    <row r="481" ht="15.75" customHeight="1" s="131"/>
    <row r="482" ht="15.75" customHeight="1" s="131"/>
    <row r="483" ht="15.75" customHeight="1" s="131"/>
    <row r="484" ht="15.75" customHeight="1" s="131"/>
    <row r="485" ht="15.75" customHeight="1" s="131"/>
    <row r="486" ht="15.75" customHeight="1" s="131"/>
    <row r="487" ht="15.75" customHeight="1" s="131"/>
    <row r="488" ht="15.75" customHeight="1" s="131"/>
    <row r="489" ht="15.75" customHeight="1" s="131"/>
    <row r="490" ht="15.75" customHeight="1" s="131"/>
    <row r="491" ht="15.75" customHeight="1" s="131"/>
    <row r="492" ht="15.75" customHeight="1" s="131"/>
    <row r="493" ht="15.75" customHeight="1" s="131"/>
    <row r="494" ht="15.75" customHeight="1" s="131"/>
    <row r="495" ht="15.75" customHeight="1" s="131"/>
    <row r="496" ht="15.75" customHeight="1" s="131"/>
    <row r="497" ht="15.75" customHeight="1" s="131"/>
    <row r="498" ht="15.75" customHeight="1" s="131"/>
    <row r="499" ht="15.75" customHeight="1" s="131"/>
    <row r="500" ht="15.75" customHeight="1" s="131"/>
    <row r="501" ht="15.75" customHeight="1" s="131"/>
    <row r="502" ht="15.75" customHeight="1" s="131"/>
    <row r="503" ht="15.75" customHeight="1" s="131"/>
    <row r="504" ht="15.75" customHeight="1" s="131"/>
    <row r="505" ht="15.75" customHeight="1" s="131"/>
    <row r="506" ht="15.75" customHeight="1" s="131"/>
    <row r="507" ht="15.75" customHeight="1" s="131"/>
    <row r="508" ht="15.75" customHeight="1" s="131"/>
    <row r="509" ht="15.75" customHeight="1" s="131"/>
    <row r="510" ht="15.75" customHeight="1" s="131"/>
    <row r="511" ht="15.75" customHeight="1" s="131"/>
    <row r="512" ht="15.75" customHeight="1" s="131"/>
    <row r="513" ht="15.75" customHeight="1" s="131"/>
    <row r="514" ht="15.75" customHeight="1" s="131"/>
    <row r="515" ht="15.75" customHeight="1" s="131"/>
    <row r="516" ht="15.75" customHeight="1" s="131"/>
    <row r="517" ht="15.75" customHeight="1" s="131"/>
    <row r="518" ht="15.75" customHeight="1" s="131"/>
    <row r="519" ht="15.75" customHeight="1" s="131"/>
    <row r="520" ht="15.75" customHeight="1" s="131"/>
    <row r="521" ht="15.75" customHeight="1" s="131"/>
    <row r="522" ht="15.75" customHeight="1" s="131"/>
    <row r="523" ht="15.75" customHeight="1" s="131"/>
    <row r="524" ht="15.75" customHeight="1" s="131"/>
    <row r="525" ht="15.75" customHeight="1" s="131"/>
    <row r="526" ht="15.75" customHeight="1" s="131"/>
    <row r="527" ht="15.75" customHeight="1" s="131"/>
    <row r="528" ht="15.75" customHeight="1" s="131"/>
    <row r="529" ht="15.75" customHeight="1" s="131"/>
    <row r="530" ht="15.75" customHeight="1" s="131"/>
    <row r="531" ht="15.75" customHeight="1" s="131"/>
    <row r="532" ht="15.75" customHeight="1" s="131"/>
    <row r="533" ht="15.75" customHeight="1" s="131"/>
    <row r="534" ht="15.75" customHeight="1" s="131"/>
    <row r="535" ht="15.75" customHeight="1" s="131"/>
    <row r="536" ht="15.75" customHeight="1" s="131"/>
    <row r="537" ht="15.75" customHeight="1" s="131"/>
    <row r="538" ht="15.75" customHeight="1" s="131"/>
    <row r="539" ht="15.75" customHeight="1" s="131"/>
    <row r="540" ht="15.75" customHeight="1" s="131"/>
    <row r="541" ht="15.75" customHeight="1" s="131"/>
    <row r="542" ht="15.75" customHeight="1" s="131"/>
    <row r="543" ht="15.75" customHeight="1" s="131"/>
    <row r="544" ht="15.75" customHeight="1" s="131"/>
    <row r="545" ht="15.75" customHeight="1" s="131"/>
    <row r="546" ht="15.75" customHeight="1" s="131"/>
    <row r="547" ht="15.75" customHeight="1" s="131"/>
    <row r="548" ht="15.75" customHeight="1" s="131"/>
    <row r="549" ht="15.75" customHeight="1" s="131"/>
    <row r="550" ht="15.75" customHeight="1" s="131"/>
    <row r="551" ht="15.75" customHeight="1" s="131"/>
    <row r="552" ht="15.75" customHeight="1" s="131"/>
    <row r="553" ht="15.75" customHeight="1" s="131"/>
    <row r="554" ht="15.75" customHeight="1" s="131"/>
    <row r="555" ht="15.75" customHeight="1" s="131"/>
    <row r="556" ht="15.75" customHeight="1" s="131"/>
    <row r="557" ht="15.75" customHeight="1" s="131"/>
    <row r="558" ht="15.75" customHeight="1" s="131"/>
    <row r="559" ht="15.75" customHeight="1" s="131"/>
    <row r="560" ht="15.75" customHeight="1" s="131"/>
    <row r="561" ht="15.75" customHeight="1" s="131"/>
    <row r="562" ht="15.75" customHeight="1" s="131"/>
    <row r="563" ht="15.75" customHeight="1" s="131"/>
    <row r="564" ht="15.75" customHeight="1" s="131"/>
    <row r="565" ht="15.75" customHeight="1" s="131"/>
    <row r="566" ht="15.75" customHeight="1" s="131"/>
    <row r="567" ht="15.75" customHeight="1" s="131"/>
    <row r="568" ht="15.75" customHeight="1" s="131"/>
    <row r="569" ht="15.75" customHeight="1" s="131"/>
    <row r="570" ht="15.75" customHeight="1" s="131"/>
    <row r="571" ht="15.75" customHeight="1" s="131"/>
    <row r="572" ht="15.75" customHeight="1" s="131"/>
    <row r="573" ht="15.75" customHeight="1" s="131"/>
    <row r="574" ht="15.75" customHeight="1" s="131"/>
    <row r="575" ht="15.75" customHeight="1" s="131"/>
    <row r="576" ht="15.75" customHeight="1" s="131"/>
    <row r="577" ht="15.75" customHeight="1" s="131"/>
    <row r="578" ht="15.75" customHeight="1" s="131"/>
    <row r="579" ht="15.75" customHeight="1" s="131"/>
    <row r="580" ht="15.75" customHeight="1" s="131"/>
    <row r="581" ht="15.75" customHeight="1" s="131"/>
    <row r="582" ht="15.75" customHeight="1" s="131"/>
    <row r="583" ht="15.75" customHeight="1" s="131"/>
    <row r="584" ht="15.75" customHeight="1" s="131"/>
    <row r="585" ht="15.75" customHeight="1" s="131"/>
    <row r="586" ht="15.75" customHeight="1" s="131"/>
    <row r="587" ht="15.75" customHeight="1" s="131"/>
    <row r="588" ht="15.75" customHeight="1" s="131"/>
    <row r="589" ht="15.75" customHeight="1" s="131"/>
    <row r="590" ht="15.75" customHeight="1" s="131"/>
    <row r="591" ht="15.75" customHeight="1" s="131"/>
    <row r="592" ht="15.75" customHeight="1" s="131"/>
    <row r="593" ht="15.75" customHeight="1" s="131"/>
    <row r="594" ht="15.75" customHeight="1" s="131"/>
    <row r="595" ht="15.75" customHeight="1" s="131"/>
    <row r="596" ht="15.75" customHeight="1" s="131"/>
    <row r="597" ht="15.75" customHeight="1" s="131"/>
    <row r="598" ht="15.75" customHeight="1" s="131"/>
    <row r="599" ht="15.75" customHeight="1" s="131"/>
    <row r="600" ht="15.75" customHeight="1" s="131"/>
    <row r="601" ht="15.75" customHeight="1" s="131"/>
    <row r="602" ht="15.75" customHeight="1" s="131"/>
    <row r="603" ht="15.75" customHeight="1" s="131"/>
    <row r="604" ht="15.75" customHeight="1" s="131"/>
    <row r="605" ht="15.75" customHeight="1" s="131"/>
    <row r="606" ht="15.75" customHeight="1" s="131"/>
    <row r="607" ht="15.75" customHeight="1" s="131"/>
    <row r="608" ht="15.75" customHeight="1" s="131"/>
    <row r="609" ht="15.75" customHeight="1" s="131"/>
    <row r="610" ht="15.75" customHeight="1" s="131"/>
    <row r="611" ht="15.75" customHeight="1" s="131"/>
    <row r="612" ht="15.75" customHeight="1" s="131"/>
    <row r="613" ht="15.75" customHeight="1" s="131"/>
    <row r="614" ht="15.75" customHeight="1" s="131"/>
    <row r="615" ht="15.75" customHeight="1" s="131"/>
    <row r="616" ht="15.75" customHeight="1" s="131"/>
    <row r="617" ht="15.75" customHeight="1" s="131"/>
    <row r="618" ht="15.75" customHeight="1" s="131"/>
    <row r="619" ht="15.75" customHeight="1" s="131"/>
    <row r="620" ht="15.75" customHeight="1" s="131"/>
    <row r="621" ht="15.75" customHeight="1" s="131"/>
    <row r="622" ht="15.75" customHeight="1" s="131"/>
    <row r="623" ht="15.75" customHeight="1" s="131"/>
    <row r="624" ht="15.75" customHeight="1" s="131"/>
    <row r="625" ht="15.75" customHeight="1" s="131"/>
    <row r="626" ht="15.75" customHeight="1" s="131"/>
    <row r="627" ht="15.75" customHeight="1" s="131"/>
    <row r="628" ht="15.75" customHeight="1" s="131"/>
    <row r="629" ht="15.75" customHeight="1" s="131"/>
    <row r="630" ht="15.75" customHeight="1" s="131"/>
    <row r="631" ht="15.75" customHeight="1" s="131"/>
    <row r="632" ht="15.75" customHeight="1" s="131"/>
    <row r="633" ht="15.75" customHeight="1" s="131"/>
    <row r="634" ht="15.75" customHeight="1" s="131"/>
    <row r="635" ht="15.75" customHeight="1" s="131"/>
    <row r="636" ht="15.75" customHeight="1" s="131"/>
    <row r="637" ht="15.75" customHeight="1" s="131"/>
    <row r="638" ht="15.75" customHeight="1" s="131"/>
    <row r="639" ht="15.75" customHeight="1" s="131"/>
    <row r="640" ht="15.75" customHeight="1" s="131"/>
    <row r="641" ht="15.75" customHeight="1" s="131"/>
    <row r="642" ht="15.75" customHeight="1" s="131"/>
    <row r="643" ht="15.75" customHeight="1" s="131"/>
    <row r="644" ht="15.75" customHeight="1" s="131"/>
    <row r="645" ht="15.75" customHeight="1" s="131"/>
    <row r="646" ht="15.75" customHeight="1" s="131"/>
    <row r="647" ht="15.75" customHeight="1" s="131"/>
    <row r="648" ht="15.75" customHeight="1" s="131"/>
    <row r="649" ht="15.75" customHeight="1" s="131"/>
    <row r="650" ht="15.75" customHeight="1" s="131"/>
    <row r="651" ht="15.75" customHeight="1" s="131"/>
    <row r="652" ht="15.75" customHeight="1" s="131"/>
    <row r="653" ht="15.75" customHeight="1" s="131"/>
    <row r="654" ht="15.75" customHeight="1" s="131"/>
    <row r="655" ht="15.75" customHeight="1" s="131"/>
    <row r="656" ht="15.75" customHeight="1" s="131"/>
    <row r="657" ht="15.75" customHeight="1" s="131"/>
    <row r="658" ht="15.75" customHeight="1" s="131"/>
    <row r="659" ht="15.75" customHeight="1" s="131"/>
    <row r="660" ht="15.75" customHeight="1" s="131"/>
    <row r="661" ht="15.75" customHeight="1" s="131"/>
    <row r="662" ht="15.75" customHeight="1" s="131"/>
    <row r="663" ht="15.75" customHeight="1" s="131"/>
    <row r="664" ht="15.75" customHeight="1" s="131"/>
    <row r="665" ht="15.75" customHeight="1" s="131"/>
    <row r="666" ht="15.75" customHeight="1" s="131"/>
    <row r="667" ht="15.75" customHeight="1" s="131"/>
    <row r="668" ht="15.75" customHeight="1" s="131"/>
    <row r="669" ht="15.75" customHeight="1" s="131"/>
    <row r="670" ht="15.75" customHeight="1" s="131"/>
    <row r="671" ht="15.75" customHeight="1" s="131"/>
    <row r="672" ht="15.75" customHeight="1" s="131"/>
    <row r="673" ht="15.75" customHeight="1" s="131"/>
    <row r="674" ht="15.75" customHeight="1" s="131"/>
    <row r="675" ht="15.75" customHeight="1" s="131"/>
    <row r="676" ht="15.75" customHeight="1" s="131"/>
    <row r="677" ht="15.75" customHeight="1" s="131"/>
    <row r="678" ht="15.75" customHeight="1" s="131"/>
    <row r="679" ht="15.75" customHeight="1" s="131"/>
    <row r="680" ht="15.75" customHeight="1" s="131"/>
    <row r="681" ht="15.75" customHeight="1" s="131"/>
    <row r="682" ht="15.75" customHeight="1" s="131"/>
    <row r="683" ht="15.75" customHeight="1" s="131"/>
    <row r="684" ht="15.75" customHeight="1" s="131"/>
    <row r="685" ht="15.75" customHeight="1" s="131"/>
    <row r="686" ht="15.75" customHeight="1" s="131"/>
    <row r="687" ht="15.75" customHeight="1" s="131"/>
    <row r="688" ht="15.75" customHeight="1" s="131"/>
    <row r="689" ht="15.75" customHeight="1" s="131"/>
    <row r="690" ht="15.75" customHeight="1" s="131"/>
    <row r="691" ht="15.75" customHeight="1" s="131"/>
    <row r="692" ht="15.75" customHeight="1" s="131"/>
    <row r="693" ht="15.75" customHeight="1" s="131"/>
    <row r="694" ht="15.75" customHeight="1" s="131"/>
    <row r="695" ht="15.75" customHeight="1" s="131"/>
    <row r="696" ht="15.75" customHeight="1" s="131"/>
    <row r="697" ht="15.75" customHeight="1" s="131"/>
    <row r="698" ht="15.75" customHeight="1" s="131"/>
    <row r="699" ht="15.75" customHeight="1" s="131"/>
    <row r="700" ht="15.75" customHeight="1" s="131"/>
    <row r="701" ht="15.75" customHeight="1" s="131"/>
    <row r="702" ht="15.75" customHeight="1" s="131"/>
    <row r="703" ht="15.75" customHeight="1" s="131"/>
    <row r="704" ht="15.75" customHeight="1" s="131"/>
    <row r="705" ht="15.75" customHeight="1" s="131"/>
    <row r="706" ht="15.75" customHeight="1" s="131"/>
    <row r="707" ht="15.75" customHeight="1" s="131"/>
    <row r="708" ht="15.75" customHeight="1" s="131"/>
    <row r="709" ht="15.75" customHeight="1" s="131"/>
    <row r="710" ht="15.75" customHeight="1" s="131"/>
    <row r="711" ht="15.75" customHeight="1" s="131"/>
    <row r="712" ht="15.75" customHeight="1" s="131"/>
    <row r="713" ht="15.75" customHeight="1" s="131"/>
    <row r="714" ht="15.75" customHeight="1" s="131"/>
    <row r="715" ht="15.75" customHeight="1" s="131"/>
    <row r="716" ht="15.75" customHeight="1" s="131"/>
    <row r="717" ht="15.75" customHeight="1" s="131"/>
    <row r="718" ht="15.75" customHeight="1" s="131"/>
    <row r="719" ht="15.75" customHeight="1" s="131"/>
    <row r="720" ht="15.75" customHeight="1" s="131"/>
    <row r="721" ht="15.75" customHeight="1" s="131"/>
    <row r="722" ht="15.75" customHeight="1" s="131"/>
    <row r="723" ht="15.75" customHeight="1" s="131"/>
    <row r="724" ht="15.75" customHeight="1" s="131"/>
    <row r="725" ht="15.75" customHeight="1" s="131"/>
    <row r="726" ht="15.75" customHeight="1" s="131"/>
    <row r="727" ht="15.75" customHeight="1" s="131"/>
    <row r="728" ht="15.75" customHeight="1" s="131"/>
    <row r="729" ht="15.75" customHeight="1" s="131"/>
    <row r="730" ht="15.75" customHeight="1" s="131"/>
    <row r="731" ht="15.75" customHeight="1" s="131"/>
    <row r="732" ht="15.75" customHeight="1" s="131"/>
    <row r="733" ht="15.75" customHeight="1" s="131"/>
    <row r="734" ht="15.75" customHeight="1" s="131"/>
    <row r="735" ht="15.75" customHeight="1" s="131"/>
    <row r="736" ht="15.75" customHeight="1" s="131"/>
    <row r="737" ht="15.75" customHeight="1" s="131"/>
    <row r="738" ht="15.75" customHeight="1" s="131"/>
    <row r="739" ht="15.75" customHeight="1" s="131"/>
    <row r="740" ht="15.75" customHeight="1" s="131"/>
    <row r="741" ht="15.75" customHeight="1" s="131"/>
    <row r="742" ht="15.75" customHeight="1" s="131"/>
    <row r="743" ht="15.75" customHeight="1" s="131"/>
    <row r="744" ht="15.75" customHeight="1" s="131"/>
    <row r="745" ht="15.75" customHeight="1" s="131"/>
    <row r="746" ht="15.75" customHeight="1" s="131"/>
    <row r="747" ht="15.75" customHeight="1" s="131"/>
    <row r="748" ht="15.75" customHeight="1" s="131"/>
    <row r="749" ht="15.75" customHeight="1" s="131"/>
    <row r="750" ht="15.75" customHeight="1" s="131"/>
    <row r="751" ht="15.75" customHeight="1" s="131"/>
    <row r="752" ht="15.75" customHeight="1" s="131"/>
    <row r="753" ht="15.75" customHeight="1" s="131"/>
    <row r="754" ht="15.75" customHeight="1" s="131"/>
    <row r="755" ht="15.75" customHeight="1" s="131"/>
    <row r="756" ht="15.75" customHeight="1" s="131"/>
    <row r="757" ht="15.75" customHeight="1" s="131"/>
    <row r="758" ht="15.75" customHeight="1" s="131"/>
    <row r="759" ht="15.75" customHeight="1" s="131"/>
    <row r="760" ht="15.75" customHeight="1" s="131"/>
    <row r="761" ht="15.75" customHeight="1" s="131"/>
    <row r="762" ht="15.75" customHeight="1" s="131"/>
    <row r="763" ht="15.75" customHeight="1" s="131"/>
    <row r="764" ht="15.75" customHeight="1" s="131"/>
    <row r="765" ht="15.75" customHeight="1" s="131"/>
    <row r="766" ht="15.75" customHeight="1" s="131"/>
    <row r="767" ht="15.75" customHeight="1" s="131"/>
    <row r="768" ht="15.75" customHeight="1" s="131"/>
    <row r="769" ht="15.75" customHeight="1" s="131"/>
    <row r="770" ht="15.75" customHeight="1" s="131"/>
    <row r="771" ht="15.75" customHeight="1" s="131"/>
    <row r="772" ht="15.75" customHeight="1" s="131"/>
    <row r="773" ht="15.75" customHeight="1" s="131"/>
    <row r="774" ht="15.75" customHeight="1" s="131"/>
    <row r="775" ht="15.75" customHeight="1" s="131"/>
    <row r="776" ht="15.75" customHeight="1" s="131"/>
    <row r="777" ht="15.75" customHeight="1" s="131"/>
    <row r="778" ht="15.75" customHeight="1" s="131"/>
    <row r="779" ht="15.75" customHeight="1" s="131"/>
    <row r="780" ht="15.75" customHeight="1" s="131"/>
    <row r="781" ht="15.75" customHeight="1" s="131"/>
    <row r="782" ht="15.75" customHeight="1" s="131"/>
    <row r="783" ht="15.75" customHeight="1" s="131"/>
    <row r="784" ht="15.75" customHeight="1" s="131"/>
    <row r="785" ht="15.75" customHeight="1" s="131"/>
    <row r="786" ht="15.75" customHeight="1" s="131"/>
    <row r="787" ht="15.75" customHeight="1" s="131"/>
    <row r="788" ht="15.75" customHeight="1" s="131"/>
    <row r="789" ht="15.75" customHeight="1" s="131"/>
    <row r="790" ht="15.75" customHeight="1" s="131"/>
    <row r="791" ht="15.75" customHeight="1" s="131"/>
    <row r="792" ht="15.75" customHeight="1" s="131"/>
    <row r="793" ht="15.75" customHeight="1" s="131"/>
    <row r="794" ht="15.75" customHeight="1" s="131"/>
    <row r="795" ht="15.75" customHeight="1" s="131"/>
    <row r="796" ht="15.75" customHeight="1" s="131"/>
    <row r="797" ht="15.75" customHeight="1" s="131"/>
    <row r="798" ht="15.75" customHeight="1" s="131"/>
    <row r="799" ht="15.75" customHeight="1" s="131"/>
    <row r="800" ht="15.75" customHeight="1" s="131"/>
    <row r="801" ht="15.75" customHeight="1" s="131"/>
    <row r="802" ht="15.75" customHeight="1" s="131"/>
    <row r="803" ht="15.75" customHeight="1" s="131"/>
    <row r="804" ht="15.75" customHeight="1" s="131"/>
    <row r="805" ht="15.75" customHeight="1" s="131"/>
    <row r="806" ht="15.75" customHeight="1" s="131"/>
    <row r="807" ht="15.75" customHeight="1" s="131"/>
    <row r="808" ht="15.75" customHeight="1" s="131"/>
    <row r="809" ht="15.75" customHeight="1" s="131"/>
    <row r="810" ht="15.75" customHeight="1" s="131"/>
    <row r="811" ht="15.75" customHeight="1" s="131"/>
    <row r="812" ht="15.75" customHeight="1" s="131"/>
    <row r="813" ht="15.75" customHeight="1" s="131"/>
    <row r="814" ht="15.75" customHeight="1" s="131"/>
    <row r="815" ht="15.75" customHeight="1" s="131"/>
    <row r="816" ht="15.75" customHeight="1" s="131"/>
    <row r="817" ht="15.75" customHeight="1" s="131"/>
    <row r="818" ht="15.75" customHeight="1" s="131"/>
    <row r="819" ht="15.75" customHeight="1" s="131"/>
    <row r="820" ht="15.75" customHeight="1" s="131"/>
    <row r="821" ht="15.75" customHeight="1" s="131"/>
    <row r="822" ht="15.75" customHeight="1" s="131"/>
    <row r="823" ht="15.75" customHeight="1" s="131"/>
    <row r="824" ht="15.75" customHeight="1" s="131"/>
    <row r="825" ht="15.75" customHeight="1" s="131"/>
    <row r="826" ht="15.75" customHeight="1" s="131"/>
    <row r="827" ht="15.75" customHeight="1" s="131"/>
    <row r="828" ht="15.75" customHeight="1" s="131"/>
    <row r="829" ht="15.75" customHeight="1" s="131"/>
    <row r="830" ht="15.75" customHeight="1" s="131"/>
    <row r="831" ht="15.75" customHeight="1" s="131"/>
    <row r="832" ht="15.75" customHeight="1" s="131"/>
    <row r="833" ht="15.75" customHeight="1" s="131"/>
    <row r="834" ht="15.75" customHeight="1" s="131"/>
    <row r="835" ht="15.75" customHeight="1" s="131"/>
    <row r="836" ht="15.75" customHeight="1" s="131"/>
    <row r="837" ht="15.75" customHeight="1" s="131"/>
    <row r="838" ht="15.75" customHeight="1" s="131"/>
    <row r="839" ht="15.75" customHeight="1" s="131"/>
    <row r="840" ht="15.75" customHeight="1" s="131"/>
    <row r="841" ht="15.75" customHeight="1" s="131"/>
    <row r="842" ht="15.75" customHeight="1" s="131"/>
    <row r="843" ht="15.75" customHeight="1" s="131"/>
    <row r="844" ht="15.75" customHeight="1" s="131"/>
    <row r="845" ht="15.75" customHeight="1" s="131"/>
    <row r="846" ht="15.75" customHeight="1" s="131"/>
    <row r="847" ht="15.75" customHeight="1" s="131"/>
    <row r="848" ht="15.75" customHeight="1" s="131"/>
    <row r="849" ht="15.75" customHeight="1" s="131"/>
    <row r="850" ht="15.75" customHeight="1" s="131"/>
    <row r="851" ht="15.75" customHeight="1" s="131"/>
    <row r="852" ht="15.75" customHeight="1" s="131"/>
    <row r="853" ht="15.75" customHeight="1" s="131"/>
    <row r="854" ht="15.75" customHeight="1" s="131"/>
    <row r="855" ht="15.75" customHeight="1" s="131"/>
    <row r="856" ht="15.75" customHeight="1" s="131"/>
    <row r="857" ht="15.75" customHeight="1" s="131"/>
    <row r="858" ht="15.75" customHeight="1" s="131"/>
    <row r="859" ht="15.75" customHeight="1" s="131"/>
    <row r="860" ht="15.75" customHeight="1" s="131"/>
    <row r="861" ht="15.75" customHeight="1" s="131"/>
    <row r="862" ht="15.75" customHeight="1" s="131"/>
    <row r="863" ht="15.75" customHeight="1" s="131"/>
    <row r="864" ht="15.75" customHeight="1" s="131"/>
    <row r="865" ht="15.75" customHeight="1" s="131"/>
    <row r="866" ht="15.75" customHeight="1" s="131"/>
    <row r="867" ht="15.75" customHeight="1" s="131"/>
    <row r="868" ht="15.75" customHeight="1" s="131"/>
    <row r="869" ht="15.75" customHeight="1" s="131"/>
    <row r="870" ht="15.75" customHeight="1" s="131"/>
    <row r="871" ht="15.75" customHeight="1" s="131"/>
    <row r="872" ht="15.75" customHeight="1" s="131"/>
    <row r="873" ht="15.75" customHeight="1" s="131"/>
    <row r="874" ht="15.75" customHeight="1" s="131"/>
    <row r="875" ht="15.75" customHeight="1" s="131"/>
    <row r="876" ht="15.75" customHeight="1" s="131"/>
    <row r="877" ht="15.75" customHeight="1" s="131"/>
    <row r="878" ht="15.75" customHeight="1" s="131"/>
    <row r="879" ht="15.75" customHeight="1" s="131"/>
    <row r="880" ht="15.75" customHeight="1" s="131"/>
    <row r="881" ht="15.75" customHeight="1" s="131"/>
    <row r="882" ht="15.75" customHeight="1" s="131"/>
    <row r="883" ht="15.75" customHeight="1" s="131"/>
    <row r="884" ht="15.75" customHeight="1" s="131"/>
    <row r="885" ht="15.75" customHeight="1" s="131"/>
    <row r="886" ht="15.75" customHeight="1" s="131"/>
    <row r="887" ht="15.75" customHeight="1" s="131"/>
    <row r="888" ht="15.75" customHeight="1" s="131"/>
    <row r="889" ht="15.75" customHeight="1" s="131"/>
    <row r="890" ht="15.75" customHeight="1" s="131"/>
    <row r="891" ht="15.75" customHeight="1" s="131"/>
    <row r="892" ht="15.75" customHeight="1" s="131"/>
    <row r="893" ht="15.75" customHeight="1" s="131"/>
    <row r="894" ht="15.75" customHeight="1" s="131"/>
    <row r="895" ht="15.75" customHeight="1" s="131"/>
    <row r="896" ht="15.75" customHeight="1" s="131"/>
    <row r="897" ht="15.75" customHeight="1" s="131"/>
    <row r="898" ht="15.75" customHeight="1" s="131"/>
    <row r="899" ht="15.75" customHeight="1" s="131"/>
    <row r="900" ht="15.75" customHeight="1" s="131"/>
    <row r="901" ht="15.75" customHeight="1" s="131"/>
    <row r="902" ht="15.75" customHeight="1" s="131"/>
    <row r="903" ht="15.75" customHeight="1" s="131"/>
    <row r="904" ht="15.75" customHeight="1" s="131"/>
    <row r="905" ht="15.75" customHeight="1" s="131"/>
    <row r="906" ht="15.75" customHeight="1" s="131"/>
    <row r="907" ht="15.75" customHeight="1" s="131"/>
    <row r="908" ht="15.75" customHeight="1" s="131"/>
    <row r="909" ht="15.75" customHeight="1" s="131"/>
    <row r="910" ht="15.75" customHeight="1" s="131"/>
    <row r="911" ht="15.75" customHeight="1" s="131"/>
    <row r="912" ht="15.75" customHeight="1" s="131"/>
    <row r="913" ht="15.75" customHeight="1" s="131"/>
    <row r="914" ht="15.75" customHeight="1" s="131"/>
    <row r="915" ht="15.75" customHeight="1" s="131"/>
    <row r="916" ht="15.75" customHeight="1" s="131"/>
    <row r="917" ht="15.75" customHeight="1" s="131"/>
    <row r="918" ht="15.75" customHeight="1" s="131"/>
    <row r="919" ht="15.75" customHeight="1" s="131"/>
    <row r="920" ht="15.75" customHeight="1" s="131"/>
    <row r="921" ht="15.75" customHeight="1" s="131"/>
    <row r="922" ht="15.75" customHeight="1" s="131"/>
    <row r="923" ht="15.75" customHeight="1" s="131"/>
    <row r="924" ht="15.75" customHeight="1" s="131"/>
    <row r="925" ht="15.75" customHeight="1" s="131"/>
    <row r="926" ht="15.75" customHeight="1" s="131"/>
    <row r="927" ht="15.75" customHeight="1" s="131"/>
    <row r="928" ht="15.75" customHeight="1" s="131"/>
    <row r="929" ht="15.75" customHeight="1" s="131"/>
    <row r="930" ht="15.75" customHeight="1" s="131"/>
    <row r="931" ht="15.75" customHeight="1" s="131"/>
    <row r="932" ht="15.75" customHeight="1" s="131"/>
    <row r="933" ht="15.75" customHeight="1" s="131"/>
    <row r="934" ht="15.75" customHeight="1" s="131"/>
    <row r="935" ht="15.75" customHeight="1" s="131"/>
    <row r="936" ht="15.75" customHeight="1" s="131"/>
    <row r="937" ht="15.75" customHeight="1" s="131"/>
    <row r="938" ht="15.75" customHeight="1" s="131"/>
    <row r="939" ht="15.75" customHeight="1" s="131"/>
    <row r="940" ht="15.75" customHeight="1" s="131"/>
    <row r="941" ht="15.75" customHeight="1" s="131"/>
    <row r="942" ht="15.75" customHeight="1" s="131"/>
    <row r="943" ht="15.75" customHeight="1" s="131"/>
    <row r="944" ht="15.75" customHeight="1" s="131"/>
    <row r="945" ht="15.75" customHeight="1" s="131"/>
    <row r="946" ht="15.75" customHeight="1" s="131"/>
    <row r="947" ht="15.75" customHeight="1" s="131"/>
    <row r="948" ht="15.75" customHeight="1" s="131"/>
    <row r="949" ht="15.75" customHeight="1" s="131"/>
    <row r="950" ht="15.75" customHeight="1" s="131"/>
    <row r="951" ht="15.75" customHeight="1" s="131"/>
    <row r="952" ht="15.75" customHeight="1" s="131"/>
    <row r="953" ht="15.75" customHeight="1" s="131"/>
    <row r="954" ht="15.75" customHeight="1" s="131"/>
    <row r="955" ht="15.75" customHeight="1" s="131"/>
    <row r="956" ht="15.75" customHeight="1" s="131"/>
    <row r="957" ht="15.75" customHeight="1" s="131"/>
    <row r="958" ht="15.75" customHeight="1" s="131"/>
    <row r="959" ht="15.75" customHeight="1" s="131"/>
    <row r="960" ht="15.75" customHeight="1" s="131"/>
    <row r="961" ht="15.75" customHeight="1" s="131"/>
    <row r="962" ht="15.75" customHeight="1" s="131"/>
    <row r="963" ht="15.75" customHeight="1" s="131"/>
    <row r="964" ht="15.75" customHeight="1" s="131"/>
    <row r="965" ht="15.75" customHeight="1" s="131"/>
    <row r="966" ht="15.75" customHeight="1" s="131"/>
    <row r="967" ht="15.75" customHeight="1" s="131"/>
    <row r="968" ht="15.75" customHeight="1" s="131"/>
    <row r="969" ht="15.75" customHeight="1" s="131"/>
    <row r="970" ht="15.75" customHeight="1" s="131"/>
    <row r="971" ht="15.75" customHeight="1" s="131"/>
    <row r="972" ht="15.75" customHeight="1" s="131"/>
    <row r="973" ht="15.75" customHeight="1" s="131"/>
    <row r="974" ht="15.75" customHeight="1" s="131"/>
    <row r="975" ht="15.75" customHeight="1" s="131"/>
    <row r="976" ht="15.75" customHeight="1" s="131"/>
    <row r="977" ht="15.75" customHeight="1" s="131"/>
    <row r="978" ht="15.75" customHeight="1" s="131"/>
    <row r="979" ht="15.75" customHeight="1" s="131"/>
    <row r="980" ht="15.75" customHeight="1" s="131"/>
    <row r="981" ht="15.75" customHeight="1" s="131"/>
    <row r="982" ht="15.75" customHeight="1" s="131"/>
    <row r="983" ht="15.75" customHeight="1" s="131"/>
    <row r="984" ht="15.75" customHeight="1" s="131"/>
    <row r="985" ht="15.75" customHeight="1" s="131"/>
    <row r="986" ht="15.75" customHeight="1" s="131"/>
    <row r="987" ht="15.75" customHeight="1" s="131"/>
    <row r="988" ht="15.75" customHeight="1" s="131"/>
    <row r="989" ht="15.75" customHeight="1" s="131"/>
    <row r="990" ht="15.75" customHeight="1" s="131"/>
    <row r="991" ht="15.75" customHeight="1" s="131"/>
    <row r="992" ht="15.75" customHeight="1" s="131"/>
    <row r="993" ht="15.75" customHeight="1" s="131"/>
    <row r="994" ht="15.75" customHeight="1" s="131"/>
    <row r="995" ht="15.75" customHeight="1" s="131"/>
    <row r="996" ht="15.75" customHeight="1" s="131"/>
    <row r="997" ht="15.75" customHeight="1" s="131"/>
    <row r="998" ht="15.75" customHeight="1" s="131"/>
    <row r="999" ht="15.75" customHeight="1" s="131"/>
    <row r="1000" ht="15.75" customHeight="1" s="131"/>
    <row r="1001" ht="15.75" customHeight="1" s="131"/>
    <row r="1002" ht="15.75" customHeight="1" s="131"/>
    <row r="1003" ht="15.75" customHeight="1" s="131"/>
    <row r="1004" ht="15.75" customHeight="1" s="131"/>
    <row r="1005" ht="15.75" customHeight="1" s="131"/>
    <row r="1006" ht="15.75" customHeight="1" s="131"/>
    <row r="1007" ht="15.75" customHeight="1" s="131"/>
    <row r="1008" ht="15.75" customHeight="1" s="131"/>
    <row r="1009" ht="15.75" customHeight="1" s="131"/>
    <row r="1010" ht="15.75" customHeight="1" s="131"/>
    <row r="1011" ht="15.75" customHeight="1" s="131"/>
    <row r="1012" ht="15.75" customHeight="1" s="131"/>
    <row r="1013" ht="15.75" customHeight="1" s="131"/>
    <row r="1014" ht="15.75" customHeight="1" s="131"/>
    <row r="1015" ht="15.75" customHeight="1" s="131"/>
    <row r="1016" ht="15.75" customHeight="1" s="131"/>
    <row r="1017" ht="15.75" customHeight="1" s="131"/>
    <row r="1018" ht="15.75" customHeight="1" s="131"/>
    <row r="1019" ht="15.75" customHeight="1" s="131"/>
    <row r="1020" ht="15.75" customHeight="1" s="131"/>
    <row r="1021" ht="15.75" customHeight="1" s="131"/>
    <row r="1022" ht="15.75" customHeight="1" s="131"/>
    <row r="1023" ht="15.75" customHeight="1" s="131"/>
    <row r="1024" ht="15.75" customHeight="1" s="131"/>
    <row r="1025" ht="15.75" customHeight="1" s="131"/>
    <row r="1026" ht="15.75" customHeight="1" s="131"/>
    <row r="1027" ht="15.75" customHeight="1" s="131"/>
    <row r="1028" ht="15.75" customHeight="1" s="131"/>
    <row r="1029" ht="15.75" customHeight="1" s="131"/>
    <row r="1030" ht="15.75" customHeight="1" s="131"/>
    <row r="1031" ht="15.75" customHeight="1" s="131"/>
    <row r="1032" ht="15.75" customHeight="1" s="131"/>
    <row r="1033" ht="15.75" customHeight="1" s="131"/>
    <row r="1034" ht="15.75" customHeight="1" s="131"/>
    <row r="1035" ht="15.75" customHeight="1" s="131"/>
    <row r="1036" ht="15.75" customHeight="1" s="131"/>
    <row r="1037" ht="15.75" customHeight="1" s="131"/>
    <row r="1038" ht="15.75" customHeight="1" s="131"/>
    <row r="1039" ht="15.75" customHeight="1" s="131"/>
    <row r="1040" ht="15.75" customHeight="1" s="131"/>
    <row r="1041" ht="15.75" customHeight="1" s="131"/>
    <row r="1042" ht="15.75" customHeight="1" s="131"/>
    <row r="1043" ht="15.75" customHeight="1" s="131"/>
  </sheetData>
  <mergeCells count="4">
    <mergeCell ref="A84:H84"/>
    <mergeCell ref="A2:D2"/>
    <mergeCell ref="A1:G1"/>
    <mergeCell ref="A86:H86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rightToLeft="1" workbookViewId="0">
      <pane ySplit="50" topLeftCell="A51" activePane="bottomLeft" state="frozen"/>
      <selection pane="bottomLeft" activeCell="A58" sqref="A58:XFD58"/>
    </sheetView>
  </sheetViews>
  <sheetFormatPr baseColWidth="8" defaultColWidth="12.625" defaultRowHeight="15" customHeight="1"/>
  <cols>
    <col width="12" customWidth="1" style="131" min="1" max="1"/>
    <col width="38" customWidth="1" style="131" min="2" max="2"/>
    <col width="17.375" customWidth="1" style="131" min="3" max="3"/>
    <col width="13.5" customWidth="1" style="131" min="4" max="4"/>
    <col width="14.5" customWidth="1" style="131" min="5" max="5"/>
    <col width="42" customWidth="1" style="131" min="6" max="6"/>
    <col width="12" customWidth="1" style="131" min="7" max="7"/>
    <col width="17.75" customWidth="1" style="131" min="8" max="8"/>
  </cols>
  <sheetData>
    <row r="1" ht="24" customHeight="1" s="131">
      <c r="A1" s="137" t="inlineStr">
        <is>
          <t>תזרים מזומנים – אוקטובר 2026  |  ישר שירותי קרקע לקבלן ולפועל בע"מ</t>
        </is>
      </c>
    </row>
    <row r="2" ht="14.25" customHeight="1" s="131">
      <c r="A2" s="140" t="inlineStr">
        <is>
          <t>יתרת פתיחה – 01/10/2026</t>
        </is>
      </c>
      <c r="E2" s="1">
        <f>'תזרים ספטמבר 2026'!E83</f>
        <v/>
      </c>
      <c r="F2" s="2" t="n"/>
      <c r="G2" s="2" t="n"/>
    </row>
    <row r="3" ht="14.25" customHeight="1" s="131"/>
    <row r="4" ht="14.25" customHeight="1" s="131">
      <c r="A4" s="3" t="inlineStr">
        <is>
          <t>תאריך</t>
        </is>
      </c>
      <c r="B4" s="3" t="inlineStr">
        <is>
          <t>תיאור</t>
        </is>
      </c>
      <c r="C4" s="3" t="inlineStr">
        <is>
          <t>הכנסה (₪)</t>
        </is>
      </c>
      <c r="D4" s="3" t="inlineStr">
        <is>
          <t>הוצאה (₪)</t>
        </is>
      </c>
      <c r="E4" s="4" t="inlineStr">
        <is>
          <t>יתרה (₪)</t>
        </is>
      </c>
      <c r="F4" s="3" t="inlineStr">
        <is>
          <t>הערות</t>
        </is>
      </c>
      <c r="G4" s="3" t="inlineStr">
        <is>
          <t>סוג</t>
        </is>
      </c>
      <c r="H4" s="7" t="inlineStr">
        <is>
          <t>שייך להוצאות החודש?</t>
        </is>
      </c>
    </row>
    <row r="5" ht="14.25" customHeight="1" s="131">
      <c r="A5" s="10" t="inlineStr">
        <is>
          <t>01/10/2026</t>
        </is>
      </c>
      <c r="B5" s="12" t="inlineStr">
        <is>
          <t>עמלת הקצאת אשראי</t>
        </is>
      </c>
      <c r="C5" s="15" t="n"/>
      <c r="D5" s="18" t="n">
        <v>90</v>
      </c>
      <c r="E5" s="25">
        <f>E2+N(C5)-N(D5)</f>
        <v/>
      </c>
      <c r="F5" s="21" t="inlineStr">
        <is>
          <t>עמלה</t>
        </is>
      </c>
      <c r="G5" s="16" t="inlineStr">
        <is>
          <t>📤 הוצאה</t>
        </is>
      </c>
      <c r="H5" s="26" t="inlineStr">
        <is>
          <t>כן</t>
        </is>
      </c>
    </row>
    <row r="6" ht="14.25" customHeight="1" s="131">
      <c r="A6" s="10" t="inlineStr">
        <is>
          <t>01/10/2026</t>
        </is>
      </c>
      <c r="B6" s="12" t="inlineStr">
        <is>
          <t>שהנאז ייזום</t>
        </is>
      </c>
      <c r="C6" s="15" t="n"/>
      <c r="D6" s="18" t="n">
        <v>9149</v>
      </c>
      <c r="E6" s="25">
        <f>E5+N(C6)-N(D6)</f>
        <v/>
      </c>
      <c r="F6" s="21" t="inlineStr">
        <is>
          <t>שכירות משרד (ספטמבר: 9,209)</t>
        </is>
      </c>
      <c r="G6" s="16" t="inlineStr">
        <is>
          <t>🔁 קבוע</t>
        </is>
      </c>
      <c r="H6" s="26" t="inlineStr">
        <is>
          <t>כן</t>
        </is>
      </c>
    </row>
    <row r="7" ht="14.25" customHeight="1" s="131">
      <c r="A7" s="10" t="inlineStr">
        <is>
          <t>01/10/2026</t>
        </is>
      </c>
      <c r="B7" s="12" t="inlineStr">
        <is>
          <t>עמלת ערוץ ישיר</t>
        </is>
      </c>
      <c r="C7" s="15" t="n"/>
      <c r="D7" s="18" t="n">
        <v>100.65</v>
      </c>
      <c r="E7" s="25">
        <f>E6+N(C7)-N(D7)</f>
        <v/>
      </c>
      <c r="F7" s="21" t="inlineStr">
        <is>
          <t>קבועה</t>
        </is>
      </c>
      <c r="G7" s="16" t="inlineStr">
        <is>
          <t>🔁 קבוע</t>
        </is>
      </c>
      <c r="H7" s="26" t="inlineStr">
        <is>
          <t>כן</t>
        </is>
      </c>
    </row>
    <row r="8" ht="14.25" customHeight="1" s="131">
      <c r="A8" s="10" t="inlineStr">
        <is>
          <t>01/10/2026</t>
        </is>
      </c>
      <c r="B8" s="12" t="inlineStr">
        <is>
          <t>עמלות פקיד</t>
        </is>
      </c>
      <c r="C8" s="15" t="n"/>
      <c r="D8" s="18" t="n">
        <v>11</v>
      </c>
      <c r="E8" s="25">
        <f>E7+N(C8)-N(D8)</f>
        <v/>
      </c>
      <c r="F8" s="21" t="inlineStr">
        <is>
          <t>עמלה</t>
        </is>
      </c>
      <c r="G8" s="16" t="inlineStr">
        <is>
          <t>📤 הוצאה</t>
        </is>
      </c>
      <c r="H8" s="26" t="inlineStr">
        <is>
          <t>כן</t>
        </is>
      </c>
    </row>
    <row r="9" ht="14.25" customHeight="1" s="131">
      <c r="A9" s="10" t="inlineStr">
        <is>
          <t>02/10/2026</t>
        </is>
      </c>
      <c r="B9" s="12" t="inlineStr">
        <is>
          <t>מקס איט פיננסים</t>
        </is>
      </c>
      <c r="C9" s="15" t="n"/>
      <c r="D9" s="18" t="n">
        <v>3154.19</v>
      </c>
      <c r="E9" s="25">
        <f>E8+N(C9)-N(D9)</f>
        <v/>
      </c>
      <c r="F9" s="21" t="inlineStr">
        <is>
          <t>קבועה</t>
        </is>
      </c>
      <c r="G9" s="16" t="inlineStr">
        <is>
          <t>🔁 קבוע</t>
        </is>
      </c>
      <c r="H9" s="26" t="inlineStr">
        <is>
          <t>כן</t>
        </is>
      </c>
    </row>
    <row r="10" ht="14.25" customHeight="1" s="131">
      <c r="A10" s="10" t="inlineStr">
        <is>
          <t>02/10/2026</t>
        </is>
      </c>
      <c r="B10" s="12" t="inlineStr">
        <is>
          <t>ביטוח לאומי</t>
        </is>
      </c>
      <c r="C10" s="15" t="n"/>
      <c r="D10" s="18" t="n">
        <v>3956</v>
      </c>
      <c r="E10" s="25">
        <f>E9+N(C10)-N(D10)</f>
        <v/>
      </c>
      <c r="F10" s="21" t="inlineStr">
        <is>
          <t>קבועה</t>
        </is>
      </c>
      <c r="G10" s="16" t="inlineStr">
        <is>
          <t>🔁 קבוע</t>
        </is>
      </c>
      <c r="H10" s="26" t="inlineStr">
        <is>
          <t>כן</t>
        </is>
      </c>
    </row>
    <row r="11" ht="14.25" customHeight="1" s="131">
      <c r="A11" s="38" t="inlineStr">
        <is>
          <t>02/10/2026</t>
        </is>
      </c>
      <c r="B11" s="14" t="inlineStr">
        <is>
          <t>לאומי ויזה</t>
        </is>
      </c>
      <c r="C11" s="24" t="n"/>
      <c r="D11" s="27" t="n">
        <v>191.5</v>
      </c>
      <c r="E11" s="36">
        <f>E10+N(C11)-N(D11)</f>
        <v/>
      </c>
      <c r="F11" s="30" t="inlineStr">
        <is>
          <t>קבועה</t>
        </is>
      </c>
      <c r="G11" s="20" t="inlineStr">
        <is>
          <t>🔁 קבוע</t>
        </is>
      </c>
      <c r="H11" s="33" t="inlineStr">
        <is>
          <t>כן</t>
        </is>
      </c>
    </row>
    <row r="12" ht="14.25" customHeight="1" s="131">
      <c r="A12" s="38" t="inlineStr">
        <is>
          <t>02/10/2026</t>
        </is>
      </c>
      <c r="B12" s="14" t="inlineStr">
        <is>
          <t>דיינרס קלאב</t>
        </is>
      </c>
      <c r="C12" s="24" t="n"/>
      <c r="D12" s="27" t="n">
        <v>3028.4</v>
      </c>
      <c r="E12" s="36">
        <f>E11+N(C12)-N(D12)</f>
        <v/>
      </c>
      <c r="F12" s="30" t="inlineStr">
        <is>
          <t>קבועה</t>
        </is>
      </c>
      <c r="G12" s="20" t="inlineStr">
        <is>
          <t>🔁 קבוע</t>
        </is>
      </c>
      <c r="H12" s="33" t="inlineStr">
        <is>
          <t>כן</t>
        </is>
      </c>
    </row>
    <row r="13" ht="14.25" customHeight="1" s="131">
      <c r="A13" s="38" t="inlineStr">
        <is>
          <t>04/10/2026</t>
        </is>
      </c>
      <c r="B13" s="14" t="inlineStr">
        <is>
          <t>מס הכנסה - ניכויים</t>
        </is>
      </c>
      <c r="C13" s="24" t="n"/>
      <c r="D13" s="27" t="n">
        <v>6789</v>
      </c>
      <c r="E13" s="36">
        <f>E12+N(C13)-N(D13)</f>
        <v/>
      </c>
      <c r="F13" s="30" t="inlineStr">
        <is>
          <t>🏦 בפועל מהבנק</t>
        </is>
      </c>
      <c r="G13" s="20" t="inlineStr">
        <is>
          <t>🔁 קבוע</t>
        </is>
      </c>
      <c r="H13" s="33" t="inlineStr">
        <is>
          <t>כן</t>
        </is>
      </c>
    </row>
    <row r="14" ht="14.25" customHeight="1" s="131">
      <c r="A14" s="59" t="n">
        <v>46300</v>
      </c>
      <c r="B14" s="14" t="inlineStr">
        <is>
          <t>ביטוח לאומי</t>
        </is>
      </c>
      <c r="C14" s="24" t="n"/>
      <c r="D14" s="27" t="n">
        <v>453</v>
      </c>
      <c r="E14" s="36">
        <f>E13+N(C14)-N(D14)</f>
        <v/>
      </c>
      <c r="F14" s="30" t="inlineStr">
        <is>
          <t>קבועה</t>
        </is>
      </c>
      <c r="G14" s="20" t="inlineStr">
        <is>
          <t>🔁 קבוע</t>
        </is>
      </c>
      <c r="H14" s="33" t="inlineStr">
        <is>
          <t>כן</t>
        </is>
      </c>
    </row>
    <row r="15" ht="14.25" customHeight="1" s="131">
      <c r="A15" s="59" t="n">
        <v>46300</v>
      </c>
      <c r="B15" s="14" t="inlineStr">
        <is>
          <t>ביטוח לאומי</t>
        </is>
      </c>
      <c r="C15" s="24" t="n"/>
      <c r="D15" s="27" t="n">
        <v>6469</v>
      </c>
      <c r="E15" s="36">
        <f>E14+N(C15)-N(D15)</f>
        <v/>
      </c>
      <c r="F15" s="30" t="inlineStr">
        <is>
          <t>קבועה</t>
        </is>
      </c>
      <c r="G15" s="20" t="inlineStr">
        <is>
          <t>🔁 קבוע</t>
        </is>
      </c>
      <c r="H15" s="33" t="inlineStr">
        <is>
          <t>כן</t>
        </is>
      </c>
    </row>
    <row r="16" ht="14.25" customHeight="1" s="131">
      <c r="A16" s="59" t="n">
        <v>46300</v>
      </c>
      <c r="B16" s="14" t="inlineStr">
        <is>
          <t>אליעזר הקר אלומיניום - תקבול לקוח</t>
        </is>
      </c>
      <c r="C16" s="24" t="n">
        <v>83515</v>
      </c>
      <c r="D16" s="27" t="n"/>
      <c r="E16" s="36">
        <f>E15+N(C16)-N(D16)</f>
        <v/>
      </c>
      <c r="F16" s="30" t="inlineStr">
        <is>
          <t>חשבון עסקה 40114 - עובדים ספטמבר. ✅ שולם במלואו</t>
        </is>
      </c>
      <c r="G16" s="20" t="inlineStr">
        <is>
          <t>✅ הכנסה</t>
        </is>
      </c>
      <c r="H16" s="33" t="n"/>
    </row>
    <row r="17" ht="14.25" customHeight="1" s="131">
      <c r="A17" s="59" t="n">
        <v>46300</v>
      </c>
      <c r="B17" s="14" t="inlineStr">
        <is>
          <t>אלגרסי תפעול - תקבול לקוח</t>
        </is>
      </c>
      <c r="C17" s="24" t="n">
        <v>25772</v>
      </c>
      <c r="D17" s="27" t="n"/>
      <c r="E17" s="36">
        <f>E16+N(C17)-N(D17)</f>
        <v/>
      </c>
      <c r="F17" s="30" t="inlineStr">
        <is>
          <t>חשבונית מס 50372</t>
        </is>
      </c>
      <c r="G17" s="20" t="inlineStr">
        <is>
          <t>✅ הכנסה</t>
        </is>
      </c>
      <c r="H17" s="33" t="n"/>
    </row>
    <row r="18" ht="14.25" customHeight="1" s="131">
      <c r="A18" s="59" t="n">
        <v>46300</v>
      </c>
      <c r="B18" s="14" t="inlineStr">
        <is>
          <t>BMG כוח אדם - חשבונית אוגוסט 4076</t>
        </is>
      </c>
      <c r="C18" s="24" t="n"/>
      <c r="D18" s="27" t="n">
        <v>69702.00999999999</v>
      </c>
      <c r="E18" s="36">
        <f>E17+N(C18)-N(D18)</f>
        <v/>
      </c>
      <c r="F18" s="30" t="inlineStr">
        <is>
          <t>✅ שולם במלואו (חן 4076)</t>
        </is>
      </c>
      <c r="G18" s="20" t="inlineStr">
        <is>
          <t>📤 הוצאה</t>
        </is>
      </c>
      <c r="H18" s="33" t="inlineStr">
        <is>
          <t>לא</t>
        </is>
      </c>
    </row>
    <row r="19" ht="14.25" customHeight="1" s="131">
      <c r="A19" s="59" t="n">
        <v>46300</v>
      </c>
      <c r="B19" s="14" t="inlineStr">
        <is>
          <t>האחים ישראל - שכירות דירת רבי חייא</t>
        </is>
      </c>
      <c r="C19" s="24" t="n"/>
      <c r="D19" s="27" t="n">
        <v>18920</v>
      </c>
      <c r="E19" s="36">
        <f>E18+N(C19)-N(D19)</f>
        <v/>
      </c>
      <c r="F19" s="30" t="inlineStr">
        <is>
          <t>שכירות דירת עובדים רבי חייא (בעל הבית: האחים ישראל)</t>
        </is>
      </c>
      <c r="G19" s="20" t="inlineStr">
        <is>
          <t>🔁 קבוע</t>
        </is>
      </c>
      <c r="H19" s="33" t="inlineStr">
        <is>
          <t>כן</t>
        </is>
      </c>
    </row>
    <row r="20" ht="14.25" customHeight="1" s="131">
      <c r="A20" s="59" t="n">
        <v>46301</v>
      </c>
      <c r="B20" s="14" t="inlineStr">
        <is>
          <t>מ. רוטנברג ובניו - תקבול לקוח</t>
        </is>
      </c>
      <c r="C20" s="24" t="n">
        <v>34618</v>
      </c>
      <c r="D20" s="27" t="n"/>
      <c r="E20" s="36">
        <f>E19+N(C20)-N(D20)</f>
        <v/>
      </c>
      <c r="F20" s="30" t="inlineStr">
        <is>
          <t>חשבון עסקה 40115 - עובדים ספטמבר. ✅ שולם במלואו</t>
        </is>
      </c>
      <c r="G20" s="20" t="inlineStr">
        <is>
          <t>✅ הכנסה</t>
        </is>
      </c>
      <c r="H20" s="33" t="n"/>
    </row>
    <row r="21" ht="14.25" customHeight="1" s="131">
      <c r="A21" s="59" t="n">
        <v>46301</v>
      </c>
      <c r="B21" s="14" t="inlineStr">
        <is>
          <t>מקס איט פיננסים</t>
        </is>
      </c>
      <c r="C21" s="24" t="n"/>
      <c r="D21" s="27" t="n">
        <v>54.9</v>
      </c>
      <c r="E21" s="36">
        <f>E20+N(C21)-N(D21)</f>
        <v/>
      </c>
      <c r="F21" s="30" t="inlineStr">
        <is>
          <t>קבועה</t>
        </is>
      </c>
      <c r="G21" s="20" t="inlineStr">
        <is>
          <t>🔁 קבוע</t>
        </is>
      </c>
      <c r="H21" s="33" t="inlineStr">
        <is>
          <t>כן</t>
        </is>
      </c>
    </row>
    <row r="22" ht="14.25" customHeight="1" s="131">
      <c r="A22" s="59" t="n">
        <v>46301</v>
      </c>
      <c r="B22" s="14" t="inlineStr">
        <is>
          <t>אופיר חנון בניה ופיקוח - תקבול לקוח</t>
        </is>
      </c>
      <c r="C22" s="24" t="n">
        <v>80000</v>
      </c>
      <c r="D22" s="27" t="n"/>
      <c r="E22" s="36">
        <f>E21+N(C22)-N(D22)</f>
        <v/>
      </c>
      <c r="F22" s="30" t="inlineStr">
        <is>
          <t>על חשבון חשבון עסקה 40094 (יתרה 88,425) - נותרו 8,425 ₪. חשבון עסקה 40120 (66,573) עדיין פתוח</t>
        </is>
      </c>
      <c r="G22" s="20" t="inlineStr">
        <is>
          <t>✅ הכנסה</t>
        </is>
      </c>
      <c r="H22" s="33" t="n"/>
    </row>
    <row r="23" ht="14.25" customHeight="1" s="131">
      <c r="A23" s="59" t="n">
        <v>46301</v>
      </c>
      <c r="B23" s="14" t="inlineStr">
        <is>
          <t>גרייטדור תעש - תקבול לקוח</t>
        </is>
      </c>
      <c r="C23" s="24" t="n">
        <v>13541</v>
      </c>
      <c r="D23" s="27" t="n"/>
      <c r="E23" s="36">
        <f>E22+N(C23)-N(D23)</f>
        <v/>
      </c>
      <c r="F23" s="30" t="inlineStr">
        <is>
          <t>חשבון עסקה 40111 - עובדי פסגת ליאם. ✅ שולם במלואו</t>
        </is>
      </c>
      <c r="G23" s="20" t="inlineStr">
        <is>
          <t>✅ הכנסה</t>
        </is>
      </c>
      <c r="H23" s="33" t="n"/>
    </row>
    <row r="24" ht="14.25" customHeight="1" s="131">
      <c r="A24" s="59" t="n">
        <v>46301</v>
      </c>
      <c r="B24" s="14" t="inlineStr">
        <is>
          <t>פסגת ליאם כ"א - חשבונית ספטמבר 50156</t>
        </is>
      </c>
      <c r="C24" s="24" t="n"/>
      <c r="D24" s="27" t="n">
        <v>12685.71</v>
      </c>
      <c r="E24" s="36">
        <f>E23+N(C24)-N(D24)</f>
        <v/>
      </c>
      <c r="F24" s="30" t="inlineStr">
        <is>
          <t>✅ שולם במלואו (חן 50156)</t>
        </is>
      </c>
      <c r="G24" s="20" t="inlineStr">
        <is>
          <t>📤 הוצאה</t>
        </is>
      </c>
      <c r="H24" s="33" t="inlineStr">
        <is>
          <t>לא</t>
        </is>
      </c>
    </row>
    <row r="25" ht="14.25" customHeight="1" s="131">
      <c r="A25" s="59" t="n">
        <v>46302</v>
      </c>
      <c r="B25" s="14" t="inlineStr">
        <is>
          <t>החזרי מע"מ לעוסקים</t>
        </is>
      </c>
      <c r="C25" s="24" t="n">
        <v>5063</v>
      </c>
      <c r="D25" s="27" t="n"/>
      <c r="E25" s="36">
        <f>E24+N(C25)-N(D25)</f>
        <v/>
      </c>
      <c r="F25" s="30" t="inlineStr">
        <is>
          <t>החזר מע"מ</t>
        </is>
      </c>
      <c r="G25" s="20" t="inlineStr">
        <is>
          <t>✅ הכנסה</t>
        </is>
      </c>
      <c r="H25" s="33" t="n"/>
    </row>
    <row r="26" ht="14.25" customHeight="1" s="131">
      <c r="A26" s="59" t="n">
        <v>46302</v>
      </c>
      <c r="B26" s="14" t="inlineStr">
        <is>
          <t>פאנג שירותי כח אדם - תשלום חלקי חשבונית אוגוסט 01/002721</t>
        </is>
      </c>
      <c r="C26" s="24" t="n"/>
      <c r="D26" s="27" t="n">
        <v>230000</v>
      </c>
      <c r="E26" s="36">
        <f>E25+N(C26)-N(D26)</f>
        <v/>
      </c>
      <c r="F26" s="30" t="inlineStr">
        <is>
          <t>תשלום חלקי (מתוך 438,316.30) - נותרו 208,316.30 (3 צ׳קים דחויים). ✅ מאומת בבנק 07/10 (חן 2721)</t>
        </is>
      </c>
      <c r="G26" s="20" t="inlineStr">
        <is>
          <t>📤 הוצאה</t>
        </is>
      </c>
      <c r="H26" s="33" t="inlineStr">
        <is>
          <t>לא</t>
        </is>
      </c>
    </row>
    <row r="27" ht="14.25" customHeight="1" s="131">
      <c r="A27" s="59" t="n">
        <v>46303</v>
      </c>
      <c r="B27" s="14" t="inlineStr">
        <is>
          <t>מטה ופתילים - העברה בין חברות</t>
        </is>
      </c>
      <c r="C27" s="24" t="n">
        <v>20000</v>
      </c>
      <c r="D27" s="27" t="n"/>
      <c r="E27" s="36">
        <f>E26+N(C27)-N(D27)</f>
        <v/>
      </c>
      <c r="F27" s="30" t="inlineStr">
        <is>
          <t>כיסוי יתרת חובה - החשבון ירד ל-9,896.70- אחרי פאנג ואייל גולן, מטה העבירה 20,000 לסגירת המינוס</t>
        </is>
      </c>
      <c r="G27" s="20" t="inlineStr">
        <is>
          <t>✅ הכנסה</t>
        </is>
      </c>
      <c r="H27" s="33" t="n"/>
    </row>
    <row r="28" ht="14.25" customHeight="1" s="131">
      <c r="A28" s="59" t="n">
        <v>46303</v>
      </c>
      <c r="B28" s="14" t="inlineStr">
        <is>
          <t>ש.ח.ן כרמלי עבוד - תקבול לקוח</t>
        </is>
      </c>
      <c r="C28" s="24" t="n">
        <v>77278</v>
      </c>
      <c r="D28" s="27" t="n"/>
      <c r="E28" s="36">
        <f>E27+N(C28)-N(D28)</f>
        <v/>
      </c>
      <c r="F28" s="30" t="inlineStr">
        <is>
          <t>חשבונית מס 50377 (חשבון עסקה 40121) - עובדים ספטמבר. ✅ שולם במלואו</t>
        </is>
      </c>
      <c r="G28" s="20" t="inlineStr">
        <is>
          <t>✅ הכנסה</t>
        </is>
      </c>
      <c r="H28" s="33" t="n"/>
    </row>
    <row r="29" ht="14.25" customHeight="1" s="131">
      <c r="A29" s="59" t="n">
        <v>46303</v>
      </c>
      <c r="B29" s="14" t="inlineStr">
        <is>
          <t>אייל גולן עו"ד - ריטיינר חודשי + דיון בבית משפט תיק סבן</t>
        </is>
      </c>
      <c r="C29" s="24" t="n"/>
      <c r="D29" s="27" t="n">
        <v>5310</v>
      </c>
      <c r="E29" s="36">
        <f>E28+N(C29)-N(D29)</f>
        <v/>
      </c>
      <c r="F29" s="30" t="inlineStr">
        <is>
          <t>ריטיינר 3,540 + דיון תיק סבן 1,500 + מע"מ 270 = 5,310 · ✅ הועבר 08/10</t>
        </is>
      </c>
      <c r="G29" s="20" t="inlineStr">
        <is>
          <t>🔁 קבוע</t>
        </is>
      </c>
      <c r="H29" s="33" t="inlineStr">
        <is>
          <t>כן</t>
        </is>
      </c>
    </row>
    <row r="30" ht="14.25" customHeight="1" s="131">
      <c r="A30" s="59" t="n">
        <v>46304</v>
      </c>
      <c r="B30" s="14" t="inlineStr">
        <is>
          <t>שי-רם חברה לבניה - תקבול לקוח</t>
        </is>
      </c>
      <c r="C30" s="24" t="n">
        <v>16400</v>
      </c>
      <c r="D30" s="27" t="n"/>
      <c r="E30" s="36">
        <f>E29+N(C30)-N(D30)</f>
        <v/>
      </c>
      <c r="F30" s="30" t="inlineStr">
        <is>
          <t>חשבון עסקה 40116 - עובדים ספטמבר. ✅ שולם במלואו</t>
        </is>
      </c>
      <c r="G30" s="20" t="inlineStr">
        <is>
          <t>✅ הכנסה</t>
        </is>
      </c>
      <c r="H30" s="33" t="n"/>
    </row>
    <row r="31" ht="14.25" customHeight="1" s="131">
      <c r="A31" s="59" t="n">
        <v>46306</v>
      </c>
      <c r="B31" s="14" t="inlineStr">
        <is>
          <t>ארנונה – עיריית ירושלים</t>
        </is>
      </c>
      <c r="C31" s="24" t="n"/>
      <c r="D31" s="27" t="n">
        <v>6974.85</v>
      </c>
      <c r="E31" s="36">
        <f>E30+N(C31)-N(D31)</f>
        <v/>
      </c>
      <c r="F31" s="30" t="inlineStr">
        <is>
          <t>קבועה | 6 חיובים נפרדים: 2,824.95 / 1,311.54 / 1,121.55 / 848.61 / 515.86 / 352.34</t>
        </is>
      </c>
      <c r="G31" s="20" t="inlineStr">
        <is>
          <t>🔁 קבוע</t>
        </is>
      </c>
      <c r="H31" s="33" t="inlineStr">
        <is>
          <t>כן</t>
        </is>
      </c>
    </row>
    <row r="32" ht="14.25" customHeight="1" s="131">
      <c r="A32" s="59" t="n">
        <v>46306</v>
      </c>
      <c r="B32" s="14" t="inlineStr">
        <is>
          <t>איבריקה אינטרנשיונל - שכירות דירות אוקטובר</t>
        </is>
      </c>
      <c r="C32" s="24" t="n">
        <v>13570</v>
      </c>
      <c r="D32" s="27" t="n"/>
      <c r="E32" s="36">
        <f>E31+N(C32)-N(D32)</f>
        <v/>
      </c>
      <c r="F32" s="30" t="inlineStr">
        <is>
          <t>אשקלון, אסירי ציון, מיטות קארו 7 - כולל מע"מ (העברה מבנק הפועלים). ✅ שולם במלואו</t>
        </is>
      </c>
      <c r="G32" s="20" t="inlineStr">
        <is>
          <t>✅ הכנסה</t>
        </is>
      </c>
      <c r="H32" s="33" t="n"/>
    </row>
    <row r="33" ht="14.25" customHeight="1" s="131">
      <c r="A33" s="59" t="n">
        <v>46306</v>
      </c>
      <c r="B33" s="14" t="inlineStr">
        <is>
          <t>אחים לימור - שכירות בית צפאפא</t>
        </is>
      </c>
      <c r="C33" s="24" t="n">
        <v>15340</v>
      </c>
      <c r="D33" s="27" t="n"/>
      <c r="E33" s="36">
        <f>E32+N(C33)-N(D33)</f>
        <v/>
      </c>
      <c r="F33" s="30" t="inlineStr">
        <is>
          <t>הכנסת דירה - בית צפאפא (העברה מבנק מזרחי)</t>
        </is>
      </c>
      <c r="G33" s="20" t="inlineStr">
        <is>
          <t>✅ הכנסה</t>
        </is>
      </c>
      <c r="H33" s="33" t="n"/>
    </row>
    <row r="34" ht="14.25" customHeight="1" s="131">
      <c r="A34" s="59" t="n">
        <v>46306</v>
      </c>
      <c r="B34" s="14" t="inlineStr">
        <is>
          <t>אחים לימור - שכירות קורצאק</t>
        </is>
      </c>
      <c r="C34" s="24" t="n">
        <v>29500</v>
      </c>
      <c r="D34" s="27" t="n"/>
      <c r="E34" s="36">
        <f>E33+N(C34)-N(D34)</f>
        <v/>
      </c>
      <c r="F34" s="30" t="inlineStr">
        <is>
          <t>הכנסת דירה - קורצאק (העברה מבנק מזרחי)</t>
        </is>
      </c>
      <c r="G34" s="20" t="inlineStr">
        <is>
          <t>✅ הכנסה</t>
        </is>
      </c>
      <c r="H34" s="33" t="n"/>
    </row>
    <row r="35" ht="14.25" customHeight="1" s="131">
      <c r="A35" s="59" t="n">
        <v>46306</v>
      </c>
      <c r="B35" s="14" t="inlineStr">
        <is>
          <t>הפקדה לחיסכון - פיקדון 10% להלוואה בערבות מדינה (ישר)</t>
        </is>
      </c>
      <c r="C35" s="24" t="n"/>
      <c r="D35" s="27" t="n">
        <v>20000</v>
      </c>
      <c r="E35" s="36">
        <f>E34+N(C35)-N(D35)</f>
        <v/>
      </c>
      <c r="F35" s="30" t="inlineStr">
        <is>
          <t>פיקדון 10% להלוואה של ישר בערבות מדינה (לאומי). לא הוצאה - הכסף נשאר בבעלות החברה ומשועבד להלוואה. ✅ אושר ע"י שמואל 12/10</t>
        </is>
      </c>
      <c r="G35" s="20" t="inlineStr">
        <is>
          <t>🔄 העברה</t>
        </is>
      </c>
      <c r="H35" s="33" t="inlineStr">
        <is>
          <t>לא</t>
        </is>
      </c>
    </row>
    <row r="36" ht="14.25" customHeight="1" s="131">
      <c r="A36" s="59" t="n">
        <v>46306</v>
      </c>
      <c r="B36" s="14" t="inlineStr">
        <is>
          <t>העברת משכורת – עדינה קארו</t>
        </is>
      </c>
      <c r="C36" s="24" t="n"/>
      <c r="D36" s="27" t="n">
        <v>10814</v>
      </c>
      <c r="E36" s="36">
        <f>E35+N(C36)-N(D36)</f>
        <v/>
      </c>
      <c r="F36" s="30" t="inlineStr">
        <is>
          <t>✅ מזוהה - עדינה קארו (אסמכתא 240363). ספטמבר: 11,755</t>
        </is>
      </c>
      <c r="G36" s="20" t="inlineStr">
        <is>
          <t>🔁 קבוע</t>
        </is>
      </c>
      <c r="H36" s="33" t="inlineStr">
        <is>
          <t>כן</t>
        </is>
      </c>
    </row>
    <row r="37" ht="14.25" customHeight="1" s="131">
      <c r="A37" s="59" t="n">
        <v>46306</v>
      </c>
      <c r="B37" s="14" t="inlineStr">
        <is>
          <t>העברת משכורת – נחשון (יונאייב נחשון חיים)</t>
        </is>
      </c>
      <c r="C37" s="24" t="n"/>
      <c r="D37" s="27" t="n">
        <v>3218</v>
      </c>
      <c r="E37" s="36">
        <f>E36+N(C37)-N(D37)</f>
        <v/>
      </c>
      <c r="F37" s="30" t="inlineStr">
        <is>
          <t>✅ מזוהה - נחשון (אסמכתא 240366). זו המשכורת המלאה לחודש - אין חלק נוסף (אושר ע"י שמואל 12/10). ספטמבר: 12,514</t>
        </is>
      </c>
      <c r="G37" s="20" t="inlineStr">
        <is>
          <t>🔁 קבוע</t>
        </is>
      </c>
      <c r="H37" s="33" t="inlineStr">
        <is>
          <t>כן</t>
        </is>
      </c>
    </row>
    <row r="38" ht="14.25" customHeight="1" s="131">
      <c r="A38" s="59" t="n">
        <v>46306</v>
      </c>
      <c r="B38" s="14" t="inlineStr">
        <is>
          <t>העברת משכורת – שלמה מינסקי</t>
        </is>
      </c>
      <c r="C38" s="24" t="n"/>
      <c r="D38" s="27" t="n">
        <v>10483</v>
      </c>
      <c r="E38" s="36">
        <f>E37+N(C38)-N(D38)</f>
        <v/>
      </c>
      <c r="F38" s="30" t="inlineStr">
        <is>
          <t>✅ מזוהה - שלמה מינסקי (אסמכתא 240367). ספטמבר: תגמולי מילואים 12,635</t>
        </is>
      </c>
      <c r="G38" s="20" t="inlineStr">
        <is>
          <t>🔁 קבוע</t>
        </is>
      </c>
      <c r="H38" s="33" t="inlineStr">
        <is>
          <t>כן</t>
        </is>
      </c>
    </row>
    <row r="39" ht="14.25" customHeight="1" s="131">
      <c r="A39" s="59" t="n">
        <v>46306</v>
      </c>
      <c r="B39" s="14" t="inlineStr">
        <is>
          <t>מטה ופתילים - העברה בין חברות (החזר)</t>
        </is>
      </c>
      <c r="C39" s="24" t="n"/>
      <c r="D39" s="27" t="n">
        <v>20000</v>
      </c>
      <c r="E39" s="36">
        <f>E38+N(C39)-N(D39)</f>
        <v/>
      </c>
      <c r="F39" s="30" t="inlineStr">
        <is>
          <t>החזר למטה של ה-20,000 שהעבירה ב-08/10 לכיסוי המינוס. ✅ אושר ע"י שמואל 12/10</t>
        </is>
      </c>
      <c r="G39" s="20" t="inlineStr">
        <is>
          <t>🔄 העברה</t>
        </is>
      </c>
      <c r="H39" s="33" t="inlineStr">
        <is>
          <t>לא</t>
        </is>
      </c>
    </row>
    <row r="40" ht="14.25" customHeight="1" s="131">
      <c r="A40" s="59" t="n">
        <v>46307</v>
      </c>
      <c r="B40" s="14" t="inlineStr">
        <is>
          <t>י. צדיק נכסים - שכירות בית צפאפא</t>
        </is>
      </c>
      <c r="C40" s="24" t="n"/>
      <c r="D40" s="27" t="n">
        <v>8850</v>
      </c>
      <c r="E40" s="36">
        <f>E39+N(C40)-N(D40)</f>
        <v/>
      </c>
      <c r="F40" s="30" t="inlineStr">
        <is>
          <t>קבועה</t>
        </is>
      </c>
      <c r="G40" s="20" t="inlineStr">
        <is>
          <t>🔁 קבוע</t>
        </is>
      </c>
      <c r="H40" s="33" t="inlineStr">
        <is>
          <t>כן</t>
        </is>
      </c>
    </row>
    <row r="41" ht="14.25" customHeight="1" s="131">
      <c r="A41" s="59" t="n">
        <v>46307</v>
      </c>
      <c r="B41" s="14" t="inlineStr">
        <is>
          <t>י. צדיק נכסים - שכירות קורצאק</t>
        </is>
      </c>
      <c r="C41" s="24" t="n"/>
      <c r="D41" s="27" t="n">
        <v>12980</v>
      </c>
      <c r="E41" s="36">
        <f>E40+N(C41)-N(D41)</f>
        <v/>
      </c>
      <c r="F41" s="30" t="inlineStr">
        <is>
          <t>קבועה</t>
        </is>
      </c>
      <c r="G41" s="20" t="inlineStr">
        <is>
          <t>🔁 קבוע</t>
        </is>
      </c>
      <c r="H41" s="33" t="inlineStr">
        <is>
          <t>כן</t>
        </is>
      </c>
    </row>
    <row r="42" ht="14.25" customHeight="1" s="131">
      <c r="A42" s="59" t="n">
        <v>46307</v>
      </c>
      <c r="B42" s="14" t="inlineStr">
        <is>
          <t>אביאלי אלומיניום (אלי שי בן-חיים) - תקבול לקוח</t>
        </is>
      </c>
      <c r="C42" s="24" t="n">
        <v>15741</v>
      </c>
      <c r="D42" s="27" t="n"/>
      <c r="E42" s="36">
        <f>E41+N(C42)-N(D42)</f>
        <v/>
      </c>
      <c r="F42" s="30" t="inlineStr">
        <is>
          <t>חשבון עסקה 40117 - עובדים ספטמבר. ✅ שולם במלואו (הסכום הנכון לפי שמואל 14/10)</t>
        </is>
      </c>
      <c r="G42" s="20" t="inlineStr">
        <is>
          <t>✅ הכנסה</t>
        </is>
      </c>
      <c r="H42" s="33" t="n"/>
    </row>
    <row r="43" ht="14.25" customHeight="1" s="131">
      <c r="A43" s="59" t="n">
        <v>46307</v>
      </c>
      <c r="B43" s="14" t="inlineStr">
        <is>
          <t>גרייטדור תעש - תקבול לקוח</t>
        </is>
      </c>
      <c r="C43" s="24" t="n">
        <v>20000</v>
      </c>
      <c r="D43" s="27" t="n"/>
      <c r="E43" s="36">
        <f>E42+N(C43)-N(D43)</f>
        <v/>
      </c>
      <c r="F43" s="30" t="inlineStr">
        <is>
          <t>על חשבון חשבון עסקה 40113 (146,910) - תשלום חלקי</t>
        </is>
      </c>
      <c r="G43" s="20" t="inlineStr">
        <is>
          <t>✅ הכנסה</t>
        </is>
      </c>
      <c r="H43" s="33" t="n"/>
    </row>
    <row r="44" ht="14.25" customHeight="1" s="131">
      <c r="A44" s="59" t="n">
        <v>46308</v>
      </c>
      <c r="B44" s="14" t="inlineStr">
        <is>
          <t>ברגשטיין (ב.ש ברגשטיין) - תקבול לקוח</t>
        </is>
      </c>
      <c r="C44" s="24" t="n">
        <v>156403</v>
      </c>
      <c r="D44" s="27" t="n"/>
      <c r="E44" s="36">
        <f>E43+N(C44)-N(D44)</f>
        <v/>
      </c>
      <c r="F44" s="30" t="inlineStr">
        <is>
          <t>חשבון עסקה 40119 - עובדים ספטמבר (העברה מבנק מזרחי). ✅ שולם במלואו</t>
        </is>
      </c>
      <c r="G44" s="20" t="inlineStr">
        <is>
          <t>✅ הכנסה</t>
        </is>
      </c>
      <c r="H44" s="33" t="n"/>
    </row>
    <row r="45" ht="14.25" customHeight="1" s="131">
      <c r="A45" s="59" t="n">
        <v>46308</v>
      </c>
      <c r="B45" s="14" t="inlineStr">
        <is>
          <t>ש. מינסקי יזמות - צ׳ק 5000289</t>
        </is>
      </c>
      <c r="C45" s="24" t="n"/>
      <c r="D45" s="27" t="n">
        <v>16520</v>
      </c>
      <c r="E45" s="36">
        <f>E44+N(C45)-N(D45)</f>
        <v/>
      </c>
      <c r="F45" s="30" t="inlineStr">
        <is>
          <t>תשלום עבור חשבונית (כמו 13/07 ו-16/08 - 16,520 כל אחד; ברשימת הממתינים נרשם 16,250). משותפת - חצי מטה · ✅ אושר ע"י שמואל 14/10</t>
        </is>
      </c>
      <c r="G45" s="20" t="inlineStr">
        <is>
          <t>📤 הוצאה</t>
        </is>
      </c>
      <c r="H45" s="33" t="inlineStr">
        <is>
          <t>לא</t>
        </is>
      </c>
    </row>
    <row r="46" ht="14.25" customHeight="1" s="131">
      <c r="A46" s="59" t="n">
        <v>46308</v>
      </c>
      <c r="B46" s="14" t="inlineStr">
        <is>
          <t>גרייטדור תעש - תקבול לקוח</t>
        </is>
      </c>
      <c r="C46" s="24" t="n">
        <v>6513</v>
      </c>
      <c r="D46" s="27" t="n"/>
      <c r="E46" s="36">
        <f>E45+N(C46)-N(D46)</f>
        <v/>
      </c>
      <c r="F46" s="30" t="inlineStr">
        <is>
          <t>על חשבון חשבון עסקה 40113 - סה"כ התקבלו 26,513, נותרו 120,397</t>
        </is>
      </c>
      <c r="G46" s="20" t="inlineStr">
        <is>
          <t>✅ הכנסה</t>
        </is>
      </c>
      <c r="H46" s="33" t="n"/>
    </row>
    <row r="47" ht="14.25" customHeight="1" s="131">
      <c r="A47" s="59" t="n">
        <v>46309</v>
      </c>
      <c r="B47" s="14" t="inlineStr">
        <is>
          <t>פרעון פקדון + ריבית (פקדון 66884)</t>
        </is>
      </c>
      <c r="C47" s="24" t="n">
        <v>45605.38</v>
      </c>
      <c r="D47" s="27" t="n"/>
      <c r="E47" s="36">
        <f>E46+N(C47)-N(D47)</f>
        <v/>
      </c>
      <c r="F47" s="30" t="inlineStr">
        <is>
          <t>קרן 45,602.49 + ריבית 2.89</t>
        </is>
      </c>
      <c r="G47" s="20" t="inlineStr">
        <is>
          <t>🔄 העברה</t>
        </is>
      </c>
      <c r="H47" s="33" t="n"/>
    </row>
    <row r="48" ht="14.25" customHeight="1" s="131">
      <c r="A48" s="59" t="n">
        <v>46309</v>
      </c>
      <c r="B48" s="14" t="inlineStr">
        <is>
          <t>פדיום מקוזז</t>
        </is>
      </c>
      <c r="C48" s="24" t="n"/>
      <c r="D48" s="27" t="n">
        <v>45605.38</v>
      </c>
      <c r="E48" s="36">
        <f>E47+N(C48)-N(D48)</f>
        <v/>
      </c>
      <c r="F48" s="30" t="inlineStr">
        <is>
          <t>קיזוז הפקדון באותו יום (תנועות היום - טרם סופי לפי הבנק). נטו 0</t>
        </is>
      </c>
      <c r="G48" s="20" t="inlineStr">
        <is>
          <t>🔄 העברה</t>
        </is>
      </c>
      <c r="H48" s="33" t="inlineStr">
        <is>
          <t>לא</t>
        </is>
      </c>
    </row>
    <row r="49" ht="14.25" customHeight="1" s="131">
      <c r="A49" s="58" t="inlineStr">
        <is>
          <t>יתרה – 14/10/2026 (מאומת מול הבנק: 251,008.45 ₪)</t>
        </is>
      </c>
      <c r="C49" s="82" t="n"/>
      <c r="D49" s="82" t="n"/>
      <c r="E49" s="84">
        <f>E48</f>
        <v/>
      </c>
    </row>
    <row r="50" ht="60" customHeight="1" s="131">
      <c r="A50" s="141" t="inlineStr">
        <is>
          <t>הערה: הנתונים עד 14/10/2026 מאומתים מול דוח בנק לאומי (251,008.45 ₪, דוח 14/10/2026). ב-11/10 נכנסו איבריקה 13,570 (שכירות אוקטובר) ואחים לימור 15,340 + 29,500 (שכירות בית צפאפא + קורצאק); יצאו ארנונה 6,974.85 (6 חיובים), 3 משכורות 24,515, הפקדה לחיסכון 20,000 והעברה עצמית 20,000. ב-12/10 יצאו שכירויות בית צפאפא 8,850 וקורצאק 12,980. ✅ פאנג אוגוסט: 230,000 ירדו 07/10 - נותרו 208,316.30 ב-3 צ׳קים. ⏳ ISRAEL CARGO LOG 19,770 ₪ (תשלום 1 מתוך 8) - ההעברה ממתינה לחתימות, טרם ירדה בבנק נכון ל-14/10. ב-12/10 נכנסו גם אביאלי (אלי שי בן-חיים) 15,741 וגרייטדור 20,000. ב-13/10 נכנסו ברגשטיין 156,403 (40119 במלואו) וגרייטדור 6,513; ירד צ׳ק 5000289 לש. מינסקי יזמות 16,520. ב-14/10 פרעון פקדון 45,605.38 קוזז באותו יום (נטו 0, תנועות היום טרם סופיות).</t>
        </is>
      </c>
    </row>
    <row r="51" ht="14.25" customHeight="1" s="131">
      <c r="C51" s="82" t="n"/>
      <c r="D51" s="82" t="n"/>
      <c r="E51" s="82" t="n"/>
    </row>
    <row r="52" ht="14.25" customHeight="1" s="131">
      <c r="A52" s="142" t="inlineStr">
        <is>
          <t>📊 סיכום לפי עמודה "שייך להוצאות החודש?"</t>
        </is>
      </c>
    </row>
    <row r="53" ht="14.25" customHeight="1" s="131">
      <c r="A53" s="85" t="inlineStr">
        <is>
          <t>סה"כ הוצאות שכן שייכות לחודש (שכירות, קבועות, כרטיסי אשראי, מסים)</t>
        </is>
      </c>
      <c r="B53" s="85" t="n"/>
      <c r="C53" s="86" t="n"/>
      <c r="D53" s="83">
        <f>SUMIF(H5:H48,"כן",D5:D48)</f>
        <v/>
      </c>
      <c r="E53" s="82" t="n"/>
    </row>
    <row r="54" ht="14.25" customHeight="1" s="131">
      <c r="A54" s="85" t="inlineStr">
        <is>
          <t>סה"כ הוצאות שלא שייכות (חובות תאגידים מחודשים קודמים, העברות בין חברות)</t>
        </is>
      </c>
      <c r="B54" s="85" t="n"/>
      <c r="C54" s="86" t="n"/>
      <c r="D54" s="83">
        <f>SUMIF(H5:H48,"לא",D5:D48)</f>
        <v/>
      </c>
      <c r="E54" s="82" t="n"/>
    </row>
    <row r="55" ht="14.25" customHeight="1" s="131">
      <c r="A55" s="85" t="inlineStr">
        <is>
          <t>סה"כ הכנסות בחודש (עד 14/10)</t>
        </is>
      </c>
      <c r="B55" s="85" t="n"/>
      <c r="C55" s="86" t="n"/>
      <c r="D55" s="83">
        <f>SUM(C5:C48)</f>
        <v/>
      </c>
      <c r="E55" s="82" t="n"/>
    </row>
    <row r="56" ht="14.25" customHeight="1" s="131">
      <c r="C56" s="82" t="n"/>
      <c r="D56" s="82" t="n"/>
      <c r="E56" s="82" t="n"/>
    </row>
    <row r="57" ht="14.25" customHeight="1" s="131">
      <c r="A57" s="142" t="inlineStr">
        <is>
          <t>🔮 תנועות צפויות עד סוף אוקטובר (טרם ירדו מהבנק)</t>
        </is>
      </c>
    </row>
    <row r="58" ht="14.25" customHeight="1" s="131">
      <c r="A58" s="3" t="inlineStr">
        <is>
          <t>תאריך</t>
        </is>
      </c>
      <c r="B58" s="3" t="inlineStr">
        <is>
          <t>תיאור</t>
        </is>
      </c>
      <c r="C58" s="81" t="inlineStr">
        <is>
          <t>הכנסה (₪)</t>
        </is>
      </c>
      <c r="D58" s="81" t="inlineStr">
        <is>
          <t>הוצאה (₪)</t>
        </is>
      </c>
      <c r="E58" s="94" t="inlineStr">
        <is>
          <t>יתרה (₪)</t>
        </is>
      </c>
      <c r="F58" s="3" t="inlineStr">
        <is>
          <t>הערות</t>
        </is>
      </c>
      <c r="G58" s="3" t="inlineStr">
        <is>
          <t>סוג</t>
        </is>
      </c>
      <c r="H58" s="7" t="inlineStr">
        <is>
          <t>שייך להוצאות החודש?</t>
        </is>
      </c>
    </row>
    <row r="59" ht="14.25" customHeight="1" s="131">
      <c r="A59" s="95" t="n">
        <v>46305</v>
      </c>
      <c r="B59" s="96" t="inlineStr">
        <is>
          <t>ISRAEL CARGO LOG - תשלום חודשי קבוע</t>
        </is>
      </c>
      <c r="C59" s="97" t="n"/>
      <c r="D59" s="98" t="n">
        <v>19770</v>
      </c>
      <c r="E59" s="100">
        <f>E49+N(C59)-N(D59)</f>
        <v/>
      </c>
      <c r="F59" s="101" t="inlineStr">
        <is>
          <t>📌 תשלום 1 מתוך 8 שנותרו (אוקטובר 2026 עד מאי 2027) - להעביר ב-10 לחודש · ⏳ ההעברה ממתינה לחתימות (לפי שמואל, 12/10) · טרם ירד בבנק נכון ל-14/10</t>
        </is>
      </c>
      <c r="G59" s="102" t="inlineStr">
        <is>
          <t>🔁 קבוע</t>
        </is>
      </c>
      <c r="H59" s="104" t="inlineStr">
        <is>
          <t>כן</t>
        </is>
      </c>
    </row>
    <row r="60" ht="14.25" customHeight="1" s="131">
      <c r="A60" s="95" t="n">
        <v>46310</v>
      </c>
      <c r="B60" s="96" t="inlineStr">
        <is>
          <t>לאומי מאסטרקרד</t>
        </is>
      </c>
      <c r="C60" s="97" t="n"/>
      <c r="D60" s="98" t="n">
        <v>5694.18</v>
      </c>
      <c r="E60" s="100">
        <f>E59+N(C60)-N(D60)</f>
        <v/>
      </c>
      <c r="F60" s="101" t="inlineStr">
        <is>
          <t>חיוב כרטיס (לפי הבנק)</t>
        </is>
      </c>
      <c r="G60" s="102" t="inlineStr">
        <is>
          <t>🔁 קבוע</t>
        </is>
      </c>
      <c r="H60" s="104" t="inlineStr">
        <is>
          <t>כן</t>
        </is>
      </c>
    </row>
    <row r="61" ht="14.25" customHeight="1" s="131">
      <c r="A61" s="95" t="n">
        <v>46310</v>
      </c>
      <c r="B61" s="96" t="inlineStr">
        <is>
          <t>דיינרס</t>
        </is>
      </c>
      <c r="C61" s="97" t="n"/>
      <c r="D61" s="98" t="n">
        <v>171</v>
      </c>
      <c r="E61" s="100">
        <f>E60+N(C61)-N(D61)</f>
        <v/>
      </c>
      <c r="F61" s="101" t="inlineStr">
        <is>
          <t>חיוב כרטיס (לפי הבנק)</t>
        </is>
      </c>
      <c r="G61" s="102" t="inlineStr">
        <is>
          <t>🔁 קבוע</t>
        </is>
      </c>
      <c r="H61" s="104" t="inlineStr">
        <is>
          <t>כן</t>
        </is>
      </c>
    </row>
    <row r="62" ht="14.25" customHeight="1" s="131">
      <c r="A62" s="95" t="n">
        <v>46315</v>
      </c>
      <c r="B62" s="96" t="inlineStr">
        <is>
          <t>פרעון הלוואה</t>
        </is>
      </c>
      <c r="C62" s="97" t="n"/>
      <c r="D62" s="98" t="n">
        <v>4044.58</v>
      </c>
      <c r="E62" s="100">
        <f>E61+N(C62)-N(D62)</f>
        <v/>
      </c>
      <c r="F62" s="101" t="inlineStr">
        <is>
          <t>לפי הבנק</t>
        </is>
      </c>
      <c r="G62" s="102" t="inlineStr">
        <is>
          <t>🔁 קבוע</t>
        </is>
      </c>
      <c r="H62" s="104" t="inlineStr">
        <is>
          <t>כן</t>
        </is>
      </c>
    </row>
    <row r="63" ht="14.25" customHeight="1" s="131">
      <c r="A63" s="95" t="n">
        <v>46315</v>
      </c>
      <c r="B63" s="96" t="inlineStr">
        <is>
          <t>פרעון שיק</t>
        </is>
      </c>
      <c r="C63" s="97" t="n"/>
      <c r="D63" s="98" t="n">
        <v>1825</v>
      </c>
      <c r="E63" s="100">
        <f>E62+N(C63)-N(D63)</f>
        <v/>
      </c>
      <c r="F63" s="101" t="inlineStr">
        <is>
          <t>לפי הבנק</t>
        </is>
      </c>
      <c r="G63" s="102" t="inlineStr">
        <is>
          <t>🔁 קבוע</t>
        </is>
      </c>
      <c r="H63" s="104" t="inlineStr">
        <is>
          <t>כן</t>
        </is>
      </c>
    </row>
    <row r="64" ht="14.25" customHeight="1" s="131">
      <c r="A64" s="95" t="n">
        <v>46315</v>
      </c>
      <c r="B64" s="96" t="inlineStr">
        <is>
          <t>ד.יוחאי - חשבונית ספטמבר IN264000117</t>
        </is>
      </c>
      <c r="C64" s="97" t="n"/>
      <c r="D64" s="98" t="n">
        <v>35432.57</v>
      </c>
      <c r="E64" s="100">
        <f>E63+N(C64)-N(D64)</f>
        <v/>
      </c>
      <c r="F64" s="101" t="inlineStr">
        <is>
          <t>עובדים זרים ספטמבר · 417.05 שעות × 72 ₪ + מע"מ · מועד תשלום יוחאי: ה-20 לחודש</t>
        </is>
      </c>
      <c r="G64" s="102" t="inlineStr">
        <is>
          <t>📤 הוצאה</t>
        </is>
      </c>
      <c r="H64" s="104" t="inlineStr">
        <is>
          <t>לא</t>
        </is>
      </c>
    </row>
    <row r="65" ht="14.25" customHeight="1" s="131">
      <c r="A65" s="95" t="n">
        <v>46320</v>
      </c>
      <c r="B65" s="96" t="inlineStr">
        <is>
          <t>פוגין אינטרנשיונל - חשבונית ספטמבר 01/000938</t>
        </is>
      </c>
      <c r="C65" s="97" t="n"/>
      <c r="D65" s="98" t="n">
        <v>18262.9</v>
      </c>
      <c r="E65" s="100">
        <f>E64+N(C65)-N(D65)</f>
        <v/>
      </c>
      <c r="F65" s="101" t="inlineStr">
        <is>
          <t>עובדים אוזביקים ספטמבר · 15,477 + מע"מ · מועד תשלום פוגין: ה-25 לחודש</t>
        </is>
      </c>
      <c r="G65" s="102" t="inlineStr">
        <is>
          <t>📤 הוצאה</t>
        </is>
      </c>
      <c r="H65" s="104" t="inlineStr">
        <is>
          <t>לא</t>
        </is>
      </c>
    </row>
    <row r="66" ht="14.25" customHeight="1" s="131">
      <c r="A66" s="95" t="n">
        <v>46320</v>
      </c>
      <c r="B66" s="96" t="inlineStr">
        <is>
          <t>שי-לי כח אדם - חשבונית ספטמבר 230747</t>
        </is>
      </c>
      <c r="C66" s="97" t="n"/>
      <c r="D66" s="98" t="n">
        <v>44571</v>
      </c>
      <c r="E66" s="100">
        <f>E65+N(C66)-N(D66)</f>
        <v/>
      </c>
      <c r="F66" s="101" t="inlineStr">
        <is>
          <t>532 שעות × 71 ₪ + מע"מ · אתר הקליר, ירושלים · מועד תשלום שי-לי: ה-25 לחודש</t>
        </is>
      </c>
      <c r="G66" s="102" t="inlineStr">
        <is>
          <t>📤 הוצאה</t>
        </is>
      </c>
      <c r="H66" s="104" t="inlineStr">
        <is>
          <t>לא</t>
        </is>
      </c>
    </row>
    <row r="67" ht="14.25" customHeight="1" s="131">
      <c r="A67" s="95" t="n">
        <v>46320</v>
      </c>
      <c r="B67" s="96" t="inlineStr">
        <is>
          <t>פאנג שירותי כח אדם - צ׳ק 5000346 (חשבונית יוני 01/002663)</t>
        </is>
      </c>
      <c r="C67" s="97" t="n"/>
      <c r="D67" s="98" t="n">
        <v>125000</v>
      </c>
      <c r="E67" s="100">
        <f>E66+N(C67)-N(D67)</f>
        <v/>
      </c>
      <c r="F67" s="101" t="inlineStr">
        <is>
          <t>צ׳ק דחוי שני ואחרון לחשבונית יוני</t>
        </is>
      </c>
      <c r="G67" s="102" t="inlineStr">
        <is>
          <t>📤 הוצאה</t>
        </is>
      </c>
      <c r="H67" s="104" t="inlineStr">
        <is>
          <t>לא</t>
        </is>
      </c>
    </row>
    <row r="68" ht="14.25" customHeight="1" s="131">
      <c r="A68" s="58" t="inlineStr">
        <is>
          <t>יתרה צפויה בסוף אוקטובר (אחרי 230,000 לפאנג אוגוסט, ללא שכירויות/משכורות שטרם נרשמו וללא תקבולי לקוחות - ראה "ממתינים לתשלום")</t>
        </is>
      </c>
      <c r="C68" s="82" t="n"/>
      <c r="D68" s="82" t="n"/>
      <c r="E68" s="84">
        <f>E67</f>
        <v/>
      </c>
    </row>
    <row r="69" ht="14.25" customHeight="1" s="131"/>
    <row r="70" ht="14.25" customHeight="1" s="131"/>
    <row r="71" ht="14.25" customHeight="1" s="131"/>
    <row r="72" ht="14.25" customHeight="1" s="131"/>
    <row r="73" ht="14.25" customHeight="1" s="131"/>
    <row r="74" ht="14.25" customHeight="1" s="131"/>
    <row r="75" ht="14.25" customHeight="1" s="131"/>
    <row r="76" ht="14.25" customHeight="1" s="131"/>
    <row r="77" ht="14.25" customHeight="1" s="131"/>
    <row r="78" ht="14.25" customHeight="1" s="131"/>
    <row r="79" ht="14.25" customHeight="1" s="131"/>
    <row r="80" ht="14.25" customHeight="1" s="131"/>
    <row r="81" ht="14.25" customHeight="1" s="131"/>
    <row r="82" ht="14.25" customHeight="1" s="131"/>
    <row r="83" ht="14.25" customHeight="1" s="131"/>
    <row r="84" ht="14.25" customHeight="1" s="131"/>
    <row r="85" ht="14.25" customHeight="1" s="131"/>
    <row r="86" ht="14.25" customHeight="1" s="131"/>
    <row r="87" ht="14.25" customHeight="1" s="131"/>
    <row r="88" ht="14.25" customHeight="1" s="131"/>
    <row r="89" ht="14.25" customHeight="1" s="131"/>
    <row r="90" ht="14.25" customHeight="1" s="131"/>
    <row r="91" ht="14.25" customHeight="1" s="131"/>
    <row r="92" ht="14.25" customHeight="1" s="131"/>
    <row r="93" ht="14.25" customHeight="1" s="131"/>
    <row r="94" ht="14.25" customHeight="1" s="131"/>
    <row r="95" ht="14.25" customHeight="1" s="131"/>
    <row r="96" ht="14.25" customHeight="1" s="131"/>
    <row r="97" ht="14.25" customHeight="1" s="131"/>
    <row r="98" ht="14.25" customHeight="1" s="131"/>
    <row r="99" ht="14.25" customHeight="1" s="131"/>
    <row r="100" ht="14.25" customHeight="1" s="131"/>
    <row r="101" ht="14.25" customHeight="1" s="131"/>
    <row r="102" ht="14.25" customHeight="1" s="131"/>
    <row r="103" ht="14.25" customHeight="1" s="131"/>
    <row r="104" ht="14.25" customHeight="1" s="131"/>
    <row r="105" ht="14.25" customHeight="1" s="131"/>
    <row r="106" ht="14.25" customHeight="1" s="131"/>
    <row r="107" ht="14.25" customHeight="1" s="131"/>
    <row r="108" ht="14.25" customHeight="1" s="131"/>
    <row r="109" ht="14.25" customHeight="1" s="131"/>
    <row r="110" ht="14.25" customHeight="1" s="131"/>
    <row r="111" ht="14.25" customHeight="1" s="131"/>
    <row r="112" ht="14.25" customHeight="1" s="131"/>
    <row r="113" ht="14.25" customHeight="1" s="131"/>
    <row r="114" ht="14.25" customHeight="1" s="131"/>
    <row r="115" ht="14.25" customHeight="1" s="131"/>
    <row r="116" ht="14.25" customHeight="1" s="131"/>
    <row r="117" ht="14.25" customHeight="1" s="131"/>
    <row r="118" ht="14.25" customHeight="1" s="131"/>
    <row r="119" ht="14.25" customHeight="1" s="131"/>
    <row r="120" ht="14.25" customHeight="1" s="131"/>
    <row r="121" ht="14.25" customHeight="1" s="131"/>
    <row r="122" ht="14.25" customHeight="1" s="131"/>
    <row r="123" ht="14.25" customHeight="1" s="131"/>
    <row r="124" ht="14.25" customHeight="1" s="131"/>
    <row r="125" ht="14.25" customHeight="1" s="131"/>
    <row r="126" ht="14.25" customHeight="1" s="131"/>
    <row r="127" ht="14.25" customHeight="1" s="131"/>
    <row r="128" ht="14.25" customHeight="1" s="131"/>
    <row r="129" ht="14.25" customHeight="1" s="131"/>
    <row r="130" ht="14.25" customHeight="1" s="131"/>
    <row r="131" ht="14.25" customHeight="1" s="131"/>
    <row r="132" ht="14.25" customHeight="1" s="131"/>
    <row r="133" ht="14.25" customHeight="1" s="131"/>
    <row r="134" ht="14.25" customHeight="1" s="131"/>
    <row r="135" ht="14.25" customHeight="1" s="131"/>
    <row r="136" ht="14.25" customHeight="1" s="131"/>
    <row r="137" ht="14.25" customHeight="1" s="131"/>
    <row r="138" ht="14.25" customHeight="1" s="131"/>
    <row r="139" ht="14.25" customHeight="1" s="131"/>
    <row r="140" ht="14.25" customHeight="1" s="131"/>
    <row r="141" ht="14.25" customHeight="1" s="131"/>
    <row r="142" ht="14.25" customHeight="1" s="131"/>
    <row r="143" ht="14.25" customHeight="1" s="131"/>
    <row r="144" ht="14.25" customHeight="1" s="131"/>
    <row r="145" ht="14.25" customHeight="1" s="131"/>
    <row r="146" ht="14.25" customHeight="1" s="131"/>
    <row r="147" ht="14.25" customHeight="1" s="131"/>
    <row r="148" ht="14.25" customHeight="1" s="131"/>
    <row r="149" ht="14.25" customHeight="1" s="131"/>
    <row r="150" ht="14.25" customHeight="1" s="131"/>
    <row r="151" ht="14.25" customHeight="1" s="131"/>
    <row r="152" ht="14.25" customHeight="1" s="131"/>
    <row r="153" ht="14.25" customHeight="1" s="131"/>
    <row r="154" ht="14.25" customHeight="1" s="131"/>
    <row r="155" ht="14.25" customHeight="1" s="131"/>
    <row r="156" ht="14.25" customHeight="1" s="131"/>
    <row r="157" ht="14.25" customHeight="1" s="131"/>
    <row r="158" ht="14.25" customHeight="1" s="131"/>
    <row r="159" ht="14.25" customHeight="1" s="131"/>
    <row r="160" ht="14.25" customHeight="1" s="131"/>
    <row r="161" ht="14.25" customHeight="1" s="131"/>
    <row r="162" ht="14.25" customHeight="1" s="131"/>
    <row r="163" ht="14.25" customHeight="1" s="131"/>
    <row r="164" ht="14.25" customHeight="1" s="131"/>
    <row r="165" ht="14.25" customHeight="1" s="131"/>
    <row r="166" ht="14.25" customHeight="1" s="131"/>
    <row r="167" ht="14.25" customHeight="1" s="131"/>
    <row r="168" ht="14.25" customHeight="1" s="131"/>
    <row r="169" ht="14.25" customHeight="1" s="131"/>
    <row r="170" ht="14.25" customHeight="1" s="131"/>
    <row r="171" ht="14.25" customHeight="1" s="131"/>
    <row r="172" ht="14.25" customHeight="1" s="131"/>
    <row r="173" ht="14.25" customHeight="1" s="131"/>
    <row r="174" ht="14.25" customHeight="1" s="131"/>
    <row r="175" ht="14.25" customHeight="1" s="131"/>
    <row r="176" ht="14.25" customHeight="1" s="131"/>
    <row r="177" ht="14.25" customHeight="1" s="131"/>
    <row r="178" ht="14.25" customHeight="1" s="131"/>
    <row r="179" ht="14.25" customHeight="1" s="131"/>
    <row r="180" ht="14.25" customHeight="1" s="131"/>
    <row r="181" ht="14.25" customHeight="1" s="131"/>
    <row r="182" ht="14.25" customHeight="1" s="131"/>
    <row r="183" ht="14.25" customHeight="1" s="131"/>
    <row r="184" ht="14.25" customHeight="1" s="131"/>
    <row r="185" ht="14.25" customHeight="1" s="131"/>
    <row r="186" ht="14.25" customHeight="1" s="131"/>
    <row r="187" ht="14.25" customHeight="1" s="131"/>
    <row r="188" ht="14.25" customHeight="1" s="131"/>
    <row r="189" ht="14.25" customHeight="1" s="131"/>
    <row r="190" ht="14.25" customHeight="1" s="131"/>
    <row r="191" ht="14.25" customHeight="1" s="131"/>
    <row r="192" ht="14.25" customHeight="1" s="131"/>
    <row r="193" ht="14.25" customHeight="1" s="131"/>
    <row r="194" ht="14.25" customHeight="1" s="131"/>
    <row r="195" ht="14.25" customHeight="1" s="131"/>
    <row r="196" ht="14.25" customHeight="1" s="131"/>
    <row r="197" ht="14.25" customHeight="1" s="131"/>
    <row r="198" ht="14.25" customHeight="1" s="131"/>
    <row r="199" ht="14.25" customHeight="1" s="131"/>
    <row r="200" ht="14.25" customHeight="1" s="131"/>
    <row r="201" ht="14.25" customHeight="1" s="131"/>
    <row r="202" ht="14.25" customHeight="1" s="131"/>
    <row r="203" ht="14.25" customHeight="1" s="131"/>
    <row r="204" ht="14.25" customHeight="1" s="131"/>
    <row r="205" ht="14.25" customHeight="1" s="131"/>
    <row r="206" ht="14.25" customHeight="1" s="131"/>
    <row r="207" ht="14.25" customHeight="1" s="131"/>
    <row r="208" ht="14.25" customHeight="1" s="131"/>
    <row r="209" ht="14.25" customHeight="1" s="131"/>
    <row r="210" ht="14.25" customHeight="1" s="131"/>
    <row r="211" ht="14.25" customHeight="1" s="131"/>
    <row r="212" ht="14.25" customHeight="1" s="131"/>
    <row r="213" ht="14.25" customHeight="1" s="131"/>
    <row r="214" ht="14.25" customHeight="1" s="131"/>
    <row r="215" ht="14.25" customHeight="1" s="131"/>
    <row r="216" ht="14.25" customHeight="1" s="131"/>
    <row r="217" ht="14.25" customHeight="1" s="131"/>
    <row r="218" ht="14.25" customHeight="1" s="131"/>
    <row r="219" ht="14.25" customHeight="1" s="131"/>
    <row r="220" ht="14.25" customHeight="1" s="131"/>
    <row r="221" ht="14.25" customHeight="1" s="131"/>
    <row r="222" ht="14.25" customHeight="1" s="131"/>
    <row r="223" ht="14.25" customHeight="1" s="131"/>
    <row r="224" ht="14.25" customHeight="1" s="131"/>
    <row r="225" ht="14.25" customHeight="1" s="131"/>
    <row r="226" ht="14.25" customHeight="1" s="131"/>
    <row r="227" ht="14.25" customHeight="1" s="131"/>
    <row r="228" ht="14.25" customHeight="1" s="131"/>
    <row r="229" ht="14.25" customHeight="1" s="131"/>
    <row r="230" ht="14.25" customHeight="1" s="131"/>
    <row r="231" ht="14.25" customHeight="1" s="131"/>
    <row r="232" ht="14.25" customHeight="1" s="131"/>
    <row r="233" ht="14.25" customHeight="1" s="131"/>
    <row r="234" ht="14.25" customHeight="1" s="131"/>
    <row r="235" ht="14.25" customHeight="1" s="131"/>
    <row r="236" ht="14.25" customHeight="1" s="131"/>
    <row r="237" ht="14.25" customHeight="1" s="131"/>
    <row r="238" ht="14.25" customHeight="1" s="131"/>
    <row r="239" ht="14.25" customHeight="1" s="131"/>
    <row r="240" ht="14.25" customHeight="1" s="131"/>
    <row r="241" ht="14.25" customHeight="1" s="131"/>
    <row r="242" ht="14.25" customHeight="1" s="131"/>
    <row r="243" ht="14.25" customHeight="1" s="131"/>
    <row r="244" ht="14.25" customHeight="1" s="131"/>
    <row r="245" ht="14.25" customHeight="1" s="131"/>
    <row r="246" ht="14.25" customHeight="1" s="131"/>
    <row r="247" ht="14.25" customHeight="1" s="131"/>
    <row r="248" ht="14.25" customHeight="1" s="131"/>
    <row r="249" ht="14.25" customHeight="1" s="131"/>
    <row r="250" ht="14.25" customHeight="1" s="131"/>
    <row r="251" ht="14.25" customHeight="1" s="131"/>
    <row r="252" ht="14.25" customHeight="1" s="131"/>
    <row r="253" ht="14.25" customHeight="1" s="131"/>
    <row r="254" ht="14.25" customHeight="1" s="131"/>
    <row r="255" ht="14.25" customHeight="1" s="131"/>
    <row r="256" ht="14.25" customHeight="1" s="131"/>
    <row r="257" ht="14.25" customHeight="1" s="131"/>
    <row r="258" ht="14.25" customHeight="1" s="131"/>
    <row r="259" ht="14.25" customHeight="1" s="131"/>
    <row r="260" ht="14.25" customHeight="1" s="131"/>
    <row r="261" ht="14.25" customHeight="1" s="131"/>
    <row r="262" ht="14.25" customHeight="1" s="131"/>
    <row r="263" ht="15.75" customHeight="1" s="131"/>
    <row r="264" ht="15.75" customHeight="1" s="131"/>
    <row r="265" ht="15.75" customHeight="1" s="131"/>
    <row r="266" ht="15.75" customHeight="1" s="131"/>
    <row r="267" ht="15.75" customHeight="1" s="131"/>
    <row r="268" ht="15.75" customHeight="1" s="131"/>
    <row r="269" ht="15.75" customHeight="1" s="131"/>
    <row r="270" ht="15.75" customHeight="1" s="131"/>
    <row r="271" ht="15.75" customHeight="1" s="131"/>
    <row r="272" ht="15.75" customHeight="1" s="131"/>
    <row r="273" ht="15.75" customHeight="1" s="131"/>
    <row r="274" ht="15.75" customHeight="1" s="131"/>
    <row r="275" ht="15.75" customHeight="1" s="131"/>
    <row r="276" ht="15.75" customHeight="1" s="131"/>
    <row r="277" ht="15.75" customHeight="1" s="131"/>
    <row r="278" ht="15.75" customHeight="1" s="131"/>
    <row r="279" ht="15.75" customHeight="1" s="131"/>
    <row r="280" ht="15.75" customHeight="1" s="131"/>
    <row r="281" ht="15.75" customHeight="1" s="131"/>
    <row r="282" ht="15.75" customHeight="1" s="131"/>
    <row r="283" ht="15.75" customHeight="1" s="131"/>
    <row r="284" ht="15.75" customHeight="1" s="131"/>
    <row r="285" ht="15.75" customHeight="1" s="131"/>
    <row r="286" ht="15.75" customHeight="1" s="131"/>
    <row r="287" ht="15.75" customHeight="1" s="131"/>
    <row r="288" ht="15.75" customHeight="1" s="131"/>
    <row r="289" ht="15.75" customHeight="1" s="131"/>
    <row r="290" ht="15.75" customHeight="1" s="131"/>
    <row r="291" ht="15.75" customHeight="1" s="131"/>
    <row r="292" ht="15.75" customHeight="1" s="131"/>
    <row r="293" ht="15.75" customHeight="1" s="131"/>
    <row r="294" ht="15.75" customHeight="1" s="131"/>
    <row r="295" ht="15.75" customHeight="1" s="131"/>
    <row r="296" ht="15.75" customHeight="1" s="131"/>
    <row r="297" ht="15.75" customHeight="1" s="131"/>
    <row r="298" ht="15.75" customHeight="1" s="131"/>
    <row r="299" ht="15.75" customHeight="1" s="131"/>
    <row r="300" ht="15.75" customHeight="1" s="131"/>
    <row r="301" ht="15.75" customHeight="1" s="131"/>
    <row r="302" ht="15.75" customHeight="1" s="131"/>
    <row r="303" ht="15.75" customHeight="1" s="131"/>
    <row r="304" ht="15.75" customHeight="1" s="131"/>
    <row r="305" ht="15.75" customHeight="1" s="131"/>
    <row r="306" ht="15.75" customHeight="1" s="131"/>
    <row r="307" ht="15.75" customHeight="1" s="131"/>
    <row r="308" ht="15.75" customHeight="1" s="131"/>
    <row r="309" ht="15.75" customHeight="1" s="131"/>
    <row r="310" ht="15.75" customHeight="1" s="131"/>
    <row r="311" ht="15.75" customHeight="1" s="131"/>
    <row r="312" ht="15.75" customHeight="1" s="131"/>
    <row r="313" ht="15.75" customHeight="1" s="131"/>
    <row r="314" ht="15.75" customHeight="1" s="131"/>
    <row r="315" ht="15.75" customHeight="1" s="131"/>
    <row r="316" ht="15.75" customHeight="1" s="131"/>
    <row r="317" ht="15.75" customHeight="1" s="131"/>
    <row r="318" ht="15.75" customHeight="1" s="131"/>
    <row r="319" ht="15.75" customHeight="1" s="131"/>
    <row r="320" ht="15.75" customHeight="1" s="131"/>
    <row r="321" ht="15.75" customHeight="1" s="131"/>
    <row r="322" ht="15.75" customHeight="1" s="131"/>
    <row r="323" ht="15.75" customHeight="1" s="131"/>
    <row r="324" ht="15.75" customHeight="1" s="131"/>
    <row r="325" ht="15.75" customHeight="1" s="131"/>
    <row r="326" ht="15.75" customHeight="1" s="131"/>
    <row r="327" ht="15.75" customHeight="1" s="131"/>
    <row r="328" ht="15.75" customHeight="1" s="131"/>
    <row r="329" ht="15.75" customHeight="1" s="131"/>
    <row r="330" ht="15.75" customHeight="1" s="131"/>
    <row r="331" ht="15.75" customHeight="1" s="131"/>
    <row r="332" ht="15.75" customHeight="1" s="131"/>
    <row r="333" ht="15.75" customHeight="1" s="131"/>
    <row r="334" ht="15.75" customHeight="1" s="131"/>
    <row r="335" ht="15.75" customHeight="1" s="131"/>
    <row r="336" ht="15.75" customHeight="1" s="131"/>
    <row r="337" ht="15.75" customHeight="1" s="131"/>
    <row r="338" ht="15.75" customHeight="1" s="131"/>
    <row r="339" ht="15.75" customHeight="1" s="131"/>
    <row r="340" ht="15.75" customHeight="1" s="131"/>
    <row r="341" ht="15.75" customHeight="1" s="131"/>
    <row r="342" ht="15.75" customHeight="1" s="131"/>
    <row r="343" ht="15.75" customHeight="1" s="131"/>
    <row r="344" ht="15.75" customHeight="1" s="131"/>
    <row r="345" ht="15.75" customHeight="1" s="131"/>
    <row r="346" ht="15.75" customHeight="1" s="131"/>
    <row r="347" ht="15.75" customHeight="1" s="131"/>
    <row r="348" ht="15.75" customHeight="1" s="131"/>
    <row r="349" ht="15.75" customHeight="1" s="131"/>
    <row r="350" ht="15.75" customHeight="1" s="131"/>
    <row r="351" ht="15.75" customHeight="1" s="131"/>
    <row r="352" ht="15.75" customHeight="1" s="131"/>
    <row r="353" ht="15.75" customHeight="1" s="131"/>
    <row r="354" ht="15.75" customHeight="1" s="131"/>
    <row r="355" ht="15.75" customHeight="1" s="131"/>
    <row r="356" ht="15.75" customHeight="1" s="131"/>
    <row r="357" ht="15.75" customHeight="1" s="131"/>
    <row r="358" ht="15.75" customHeight="1" s="131"/>
    <row r="359" ht="15.75" customHeight="1" s="131"/>
    <row r="360" ht="15.75" customHeight="1" s="131"/>
    <row r="361" ht="15.75" customHeight="1" s="131"/>
    <row r="362" ht="15.75" customHeight="1" s="131"/>
    <row r="363" ht="15.75" customHeight="1" s="131"/>
    <row r="364" ht="15.75" customHeight="1" s="131"/>
    <row r="365" ht="15.75" customHeight="1" s="131"/>
    <row r="366" ht="15.75" customHeight="1" s="131"/>
    <row r="367" ht="15.75" customHeight="1" s="131"/>
    <row r="368" ht="15.75" customHeight="1" s="131"/>
    <row r="369" ht="15.75" customHeight="1" s="131"/>
    <row r="370" ht="15.75" customHeight="1" s="131"/>
    <row r="371" ht="15.75" customHeight="1" s="131"/>
    <row r="372" ht="15.75" customHeight="1" s="131"/>
    <row r="373" ht="15.75" customHeight="1" s="131"/>
    <row r="374" ht="15.75" customHeight="1" s="131"/>
    <row r="375" ht="15.75" customHeight="1" s="131"/>
    <row r="376" ht="15.75" customHeight="1" s="131"/>
    <row r="377" ht="15.75" customHeight="1" s="131"/>
    <row r="378" ht="15.75" customHeight="1" s="131"/>
    <row r="379" ht="15.75" customHeight="1" s="131"/>
    <row r="380" ht="15.75" customHeight="1" s="131"/>
    <row r="381" ht="15.75" customHeight="1" s="131"/>
    <row r="382" ht="15.75" customHeight="1" s="131"/>
    <row r="383" ht="15.75" customHeight="1" s="131"/>
    <row r="384" ht="15.75" customHeight="1" s="131"/>
    <row r="385" ht="15.75" customHeight="1" s="131"/>
    <row r="386" ht="15.75" customHeight="1" s="131"/>
    <row r="387" ht="15.75" customHeight="1" s="131"/>
    <row r="388" ht="15.75" customHeight="1" s="131"/>
    <row r="389" ht="15.75" customHeight="1" s="131"/>
    <row r="390" ht="15.75" customHeight="1" s="131"/>
    <row r="391" ht="15.75" customHeight="1" s="131"/>
    <row r="392" ht="15.75" customHeight="1" s="131"/>
    <row r="393" ht="15.75" customHeight="1" s="131"/>
    <row r="394" ht="15.75" customHeight="1" s="131"/>
    <row r="395" ht="15.75" customHeight="1" s="131"/>
    <row r="396" ht="15.75" customHeight="1" s="131"/>
    <row r="397" ht="15.75" customHeight="1" s="131"/>
    <row r="398" ht="15.75" customHeight="1" s="131"/>
    <row r="399" ht="15.75" customHeight="1" s="131"/>
    <row r="400" ht="15.75" customHeight="1" s="131"/>
    <row r="401" ht="15.75" customHeight="1" s="131"/>
    <row r="402" ht="15.75" customHeight="1" s="131"/>
    <row r="403" ht="15.75" customHeight="1" s="131"/>
    <row r="404" ht="15.75" customHeight="1" s="131"/>
    <row r="405" ht="15.75" customHeight="1" s="131"/>
    <row r="406" ht="15.75" customHeight="1" s="131"/>
    <row r="407" ht="15.75" customHeight="1" s="131"/>
    <row r="408" ht="15.75" customHeight="1" s="131"/>
    <row r="409" ht="15.75" customHeight="1" s="131"/>
    <row r="410" ht="15.75" customHeight="1" s="131"/>
    <row r="411" ht="15.75" customHeight="1" s="131"/>
    <row r="412" ht="15.75" customHeight="1" s="131"/>
    <row r="413" ht="15.75" customHeight="1" s="131"/>
    <row r="414" ht="15.75" customHeight="1" s="131"/>
    <row r="415" ht="15.75" customHeight="1" s="131"/>
    <row r="416" ht="15.75" customHeight="1" s="131"/>
    <row r="417" ht="15.75" customHeight="1" s="131"/>
    <row r="418" ht="15.75" customHeight="1" s="131"/>
    <row r="419" ht="15.75" customHeight="1" s="131"/>
    <row r="420" ht="15.75" customHeight="1" s="131"/>
    <row r="421" ht="15.75" customHeight="1" s="131"/>
    <row r="422" ht="15.75" customHeight="1" s="131"/>
    <row r="423" ht="15.75" customHeight="1" s="131"/>
    <row r="424" ht="15.75" customHeight="1" s="131"/>
    <row r="425" ht="15.75" customHeight="1" s="131"/>
    <row r="426" ht="15.75" customHeight="1" s="131"/>
    <row r="427" ht="15.75" customHeight="1" s="131"/>
    <row r="428" ht="15.75" customHeight="1" s="131"/>
    <row r="429" ht="15.75" customHeight="1" s="131"/>
    <row r="430" ht="15.75" customHeight="1" s="131"/>
    <row r="431" ht="15.75" customHeight="1" s="131"/>
    <row r="432" ht="15.75" customHeight="1" s="131"/>
    <row r="433" ht="15.75" customHeight="1" s="131"/>
    <row r="434" ht="15.75" customHeight="1" s="131"/>
    <row r="435" ht="15.75" customHeight="1" s="131"/>
    <row r="436" ht="15.75" customHeight="1" s="131"/>
    <row r="437" ht="15.75" customHeight="1" s="131"/>
    <row r="438" ht="15.75" customHeight="1" s="131"/>
    <row r="439" ht="15.75" customHeight="1" s="131"/>
    <row r="440" ht="15.75" customHeight="1" s="131"/>
    <row r="441" ht="15.75" customHeight="1" s="131"/>
    <row r="442" ht="15.75" customHeight="1" s="131"/>
    <row r="443" ht="15.75" customHeight="1" s="131"/>
    <row r="444" ht="15.75" customHeight="1" s="131"/>
    <row r="445" ht="15.75" customHeight="1" s="131"/>
    <row r="446" ht="15.75" customHeight="1" s="131"/>
    <row r="447" ht="15.75" customHeight="1" s="131"/>
    <row r="448" ht="15.75" customHeight="1" s="131"/>
    <row r="449" ht="15.75" customHeight="1" s="131"/>
    <row r="450" ht="15.75" customHeight="1" s="131"/>
    <row r="451" ht="15.75" customHeight="1" s="131"/>
    <row r="452" ht="15.75" customHeight="1" s="131"/>
    <row r="453" ht="15.75" customHeight="1" s="131"/>
    <row r="454" ht="15.75" customHeight="1" s="131"/>
    <row r="455" ht="15.75" customHeight="1" s="131"/>
    <row r="456" ht="15.75" customHeight="1" s="131"/>
    <row r="457" ht="15.75" customHeight="1" s="131"/>
    <row r="458" ht="15.75" customHeight="1" s="131"/>
    <row r="459" ht="15.75" customHeight="1" s="131"/>
    <row r="460" ht="15.75" customHeight="1" s="131"/>
    <row r="461" ht="15.75" customHeight="1" s="131"/>
    <row r="462" ht="15.75" customHeight="1" s="131"/>
    <row r="463" ht="15.75" customHeight="1" s="131"/>
    <row r="464" ht="15.75" customHeight="1" s="131"/>
    <row r="465" ht="15.75" customHeight="1" s="131"/>
    <row r="466" ht="15.75" customHeight="1" s="131"/>
    <row r="467" ht="15.75" customHeight="1" s="131"/>
    <row r="468" ht="15.75" customHeight="1" s="131"/>
    <row r="469" ht="15.75" customHeight="1" s="131"/>
    <row r="470" ht="15.75" customHeight="1" s="131"/>
    <row r="471" ht="15.75" customHeight="1" s="131"/>
    <row r="472" ht="15.75" customHeight="1" s="131"/>
    <row r="473" ht="15.75" customHeight="1" s="131"/>
    <row r="474" ht="15.75" customHeight="1" s="131"/>
    <row r="475" ht="15.75" customHeight="1" s="131"/>
    <row r="476" ht="15.75" customHeight="1" s="131"/>
    <row r="477" ht="15.75" customHeight="1" s="131"/>
    <row r="478" ht="15.75" customHeight="1" s="131"/>
    <row r="479" ht="15.75" customHeight="1" s="131"/>
    <row r="480" ht="15.75" customHeight="1" s="131"/>
    <row r="481" ht="15.75" customHeight="1" s="131"/>
    <row r="482" ht="15.75" customHeight="1" s="131"/>
    <row r="483" ht="15.75" customHeight="1" s="131"/>
    <row r="484" ht="15.75" customHeight="1" s="131"/>
    <row r="485" ht="15.75" customHeight="1" s="131"/>
    <row r="486" ht="15.75" customHeight="1" s="131"/>
    <row r="487" ht="15.75" customHeight="1" s="131"/>
    <row r="488" ht="15.75" customHeight="1" s="131"/>
    <row r="489" ht="15.75" customHeight="1" s="131"/>
    <row r="490" ht="15.75" customHeight="1" s="131"/>
    <row r="491" ht="15.75" customHeight="1" s="131"/>
    <row r="492" ht="15.75" customHeight="1" s="131"/>
    <row r="493" ht="15.75" customHeight="1" s="131"/>
    <row r="494" ht="15.75" customHeight="1" s="131"/>
    <row r="495" ht="15.75" customHeight="1" s="131"/>
    <row r="496" ht="15.75" customHeight="1" s="131"/>
    <row r="497" ht="15.75" customHeight="1" s="131"/>
    <row r="498" ht="15.75" customHeight="1" s="131"/>
    <row r="499" ht="15.75" customHeight="1" s="131"/>
    <row r="500" ht="15.75" customHeight="1" s="131"/>
    <row r="501" ht="15.75" customHeight="1" s="131"/>
    <row r="502" ht="15.75" customHeight="1" s="131"/>
    <row r="503" ht="15.75" customHeight="1" s="131"/>
    <row r="504" ht="15.75" customHeight="1" s="131"/>
    <row r="505" ht="15.75" customHeight="1" s="131"/>
    <row r="506" ht="15.75" customHeight="1" s="131"/>
    <row r="507" ht="15.75" customHeight="1" s="131"/>
    <row r="508" ht="15.75" customHeight="1" s="131"/>
    <row r="509" ht="15.75" customHeight="1" s="131"/>
    <row r="510" ht="15.75" customHeight="1" s="131"/>
    <row r="511" ht="15.75" customHeight="1" s="131"/>
    <row r="512" ht="15.75" customHeight="1" s="131"/>
    <row r="513" ht="15.75" customHeight="1" s="131"/>
    <row r="514" ht="15.75" customHeight="1" s="131"/>
    <row r="515" ht="15.75" customHeight="1" s="131"/>
    <row r="516" ht="15.75" customHeight="1" s="131"/>
    <row r="517" ht="15.75" customHeight="1" s="131"/>
    <row r="518" ht="15.75" customHeight="1" s="131"/>
    <row r="519" ht="15.75" customHeight="1" s="131"/>
    <row r="520" ht="15.75" customHeight="1" s="131"/>
    <row r="521" ht="15.75" customHeight="1" s="131"/>
    <row r="522" ht="15.75" customHeight="1" s="131"/>
    <row r="523" ht="15.75" customHeight="1" s="131"/>
    <row r="524" ht="15.75" customHeight="1" s="131"/>
    <row r="525" ht="15.75" customHeight="1" s="131"/>
    <row r="526" ht="15.75" customHeight="1" s="131"/>
    <row r="527" ht="15.75" customHeight="1" s="131"/>
    <row r="528" ht="15.75" customHeight="1" s="131"/>
    <row r="529" ht="15.75" customHeight="1" s="131"/>
    <row r="530" ht="15.75" customHeight="1" s="131"/>
    <row r="531" ht="15.75" customHeight="1" s="131"/>
    <row r="532" ht="15.75" customHeight="1" s="131"/>
    <row r="533" ht="15.75" customHeight="1" s="131"/>
    <row r="534" ht="15.75" customHeight="1" s="131"/>
    <row r="535" ht="15.75" customHeight="1" s="131"/>
    <row r="536" ht="15.75" customHeight="1" s="131"/>
    <row r="537" ht="15.75" customHeight="1" s="131"/>
    <row r="538" ht="15.75" customHeight="1" s="131"/>
    <row r="539" ht="15.75" customHeight="1" s="131"/>
    <row r="540" ht="15.75" customHeight="1" s="131"/>
    <row r="541" ht="15.75" customHeight="1" s="131"/>
    <row r="542" ht="15.75" customHeight="1" s="131"/>
    <row r="543" ht="15.75" customHeight="1" s="131"/>
    <row r="544" ht="15.75" customHeight="1" s="131"/>
    <row r="545" ht="15.75" customHeight="1" s="131"/>
    <row r="546" ht="15.75" customHeight="1" s="131"/>
    <row r="547" ht="15.75" customHeight="1" s="131"/>
    <row r="548" ht="15.75" customHeight="1" s="131"/>
    <row r="549" ht="15.75" customHeight="1" s="131"/>
    <row r="550" ht="15.75" customHeight="1" s="131"/>
    <row r="551" ht="15.75" customHeight="1" s="131"/>
    <row r="552" ht="15.75" customHeight="1" s="131"/>
    <row r="553" ht="15.75" customHeight="1" s="131"/>
    <row r="554" ht="15.75" customHeight="1" s="131"/>
    <row r="555" ht="15.75" customHeight="1" s="131"/>
    <row r="556" ht="15.75" customHeight="1" s="131"/>
    <row r="557" ht="15.75" customHeight="1" s="131"/>
    <row r="558" ht="15.75" customHeight="1" s="131"/>
    <row r="559" ht="15.75" customHeight="1" s="131"/>
    <row r="560" ht="15.75" customHeight="1" s="131"/>
    <row r="561" ht="15.75" customHeight="1" s="131"/>
    <row r="562" ht="15.75" customHeight="1" s="131"/>
    <row r="563" ht="15.75" customHeight="1" s="131"/>
    <row r="564" ht="15.75" customHeight="1" s="131"/>
    <row r="565" ht="15.75" customHeight="1" s="131"/>
    <row r="566" ht="15.75" customHeight="1" s="131"/>
    <row r="567" ht="15.75" customHeight="1" s="131"/>
    <row r="568" ht="15.75" customHeight="1" s="131"/>
    <row r="569" ht="15.75" customHeight="1" s="131"/>
    <row r="570" ht="15.75" customHeight="1" s="131"/>
    <row r="571" ht="15.75" customHeight="1" s="131"/>
    <row r="572" ht="15.75" customHeight="1" s="131"/>
    <row r="573" ht="15.75" customHeight="1" s="131"/>
    <row r="574" ht="15.75" customHeight="1" s="131"/>
    <row r="575" ht="15.75" customHeight="1" s="131"/>
    <row r="576" ht="15.75" customHeight="1" s="131"/>
    <row r="577" ht="15.75" customHeight="1" s="131"/>
    <row r="578" ht="15.75" customHeight="1" s="131"/>
    <row r="579" ht="15.75" customHeight="1" s="131"/>
    <row r="580" ht="15.75" customHeight="1" s="131"/>
    <row r="581" ht="15.75" customHeight="1" s="131"/>
    <row r="582" ht="15.75" customHeight="1" s="131"/>
    <row r="583" ht="15.75" customHeight="1" s="131"/>
    <row r="584" ht="15.75" customHeight="1" s="131"/>
    <row r="585" ht="15.75" customHeight="1" s="131"/>
    <row r="586" ht="15.75" customHeight="1" s="131"/>
    <row r="587" ht="15.75" customHeight="1" s="131"/>
    <row r="588" ht="15.75" customHeight="1" s="131"/>
    <row r="589" ht="15.75" customHeight="1" s="131"/>
    <row r="590" ht="15.75" customHeight="1" s="131"/>
    <row r="591" ht="15.75" customHeight="1" s="131"/>
    <row r="592" ht="15.75" customHeight="1" s="131"/>
    <row r="593" ht="15.75" customHeight="1" s="131"/>
    <row r="594" ht="15.75" customHeight="1" s="131"/>
    <row r="595" ht="15.75" customHeight="1" s="131"/>
    <row r="596" ht="15.75" customHeight="1" s="131"/>
    <row r="597" ht="15.75" customHeight="1" s="131"/>
    <row r="598" ht="15.75" customHeight="1" s="131"/>
    <row r="599" ht="15.75" customHeight="1" s="131"/>
    <row r="600" ht="15.75" customHeight="1" s="131"/>
    <row r="601" ht="15.75" customHeight="1" s="131"/>
    <row r="602" ht="15.75" customHeight="1" s="131"/>
    <row r="603" ht="15.75" customHeight="1" s="131"/>
    <row r="604" ht="15.75" customHeight="1" s="131"/>
    <row r="605" ht="15.75" customHeight="1" s="131"/>
    <row r="606" ht="15.75" customHeight="1" s="131"/>
    <row r="607" ht="15.75" customHeight="1" s="131"/>
    <row r="608" ht="15.75" customHeight="1" s="131"/>
    <row r="609" ht="15.75" customHeight="1" s="131"/>
    <row r="610" ht="15.75" customHeight="1" s="131"/>
    <row r="611" ht="15.75" customHeight="1" s="131"/>
    <row r="612" ht="15.75" customHeight="1" s="131"/>
    <row r="613" ht="15.75" customHeight="1" s="131"/>
    <row r="614" ht="15.75" customHeight="1" s="131"/>
    <row r="615" ht="15.75" customHeight="1" s="131"/>
    <row r="616" ht="15.75" customHeight="1" s="131"/>
    <row r="617" ht="15.75" customHeight="1" s="131"/>
    <row r="618" ht="15.75" customHeight="1" s="131"/>
    <row r="619" ht="15.75" customHeight="1" s="131"/>
    <row r="620" ht="15.75" customHeight="1" s="131"/>
    <row r="621" ht="15.75" customHeight="1" s="131"/>
    <row r="622" ht="15.75" customHeight="1" s="131"/>
    <row r="623" ht="15.75" customHeight="1" s="131"/>
    <row r="624" ht="15.75" customHeight="1" s="131"/>
    <row r="625" ht="15.75" customHeight="1" s="131"/>
    <row r="626" ht="15.75" customHeight="1" s="131"/>
    <row r="627" ht="15.75" customHeight="1" s="131"/>
    <row r="628" ht="15.75" customHeight="1" s="131"/>
    <row r="629" ht="15.75" customHeight="1" s="131"/>
    <row r="630" ht="15.75" customHeight="1" s="131"/>
    <row r="631" ht="15.75" customHeight="1" s="131"/>
    <row r="632" ht="15.75" customHeight="1" s="131"/>
    <row r="633" ht="15.75" customHeight="1" s="131"/>
    <row r="634" ht="15.75" customHeight="1" s="131"/>
    <row r="635" ht="15.75" customHeight="1" s="131"/>
    <row r="636" ht="15.75" customHeight="1" s="131"/>
    <row r="637" ht="15.75" customHeight="1" s="131"/>
    <row r="638" ht="15.75" customHeight="1" s="131"/>
    <row r="639" ht="15.75" customHeight="1" s="131"/>
    <row r="640" ht="15.75" customHeight="1" s="131"/>
    <row r="641" ht="15.75" customHeight="1" s="131"/>
    <row r="642" ht="15.75" customHeight="1" s="131"/>
    <row r="643" ht="15.75" customHeight="1" s="131"/>
    <row r="644" ht="15.75" customHeight="1" s="131"/>
    <row r="645" ht="15.75" customHeight="1" s="131"/>
    <row r="646" ht="15.75" customHeight="1" s="131"/>
    <row r="647" ht="15.75" customHeight="1" s="131"/>
    <row r="648" ht="15.75" customHeight="1" s="131"/>
    <row r="649" ht="15.75" customHeight="1" s="131"/>
    <row r="650" ht="15.75" customHeight="1" s="131"/>
    <row r="651" ht="15.75" customHeight="1" s="131"/>
    <row r="652" ht="15.75" customHeight="1" s="131"/>
    <row r="653" ht="15.75" customHeight="1" s="131"/>
    <row r="654" ht="15.75" customHeight="1" s="131"/>
    <row r="655" ht="15.75" customHeight="1" s="131"/>
    <row r="656" ht="15.75" customHeight="1" s="131"/>
    <row r="657" ht="15.75" customHeight="1" s="131"/>
    <row r="658" ht="15.75" customHeight="1" s="131"/>
    <row r="659" ht="15.75" customHeight="1" s="131"/>
    <row r="660" ht="15.75" customHeight="1" s="131"/>
    <row r="661" ht="15.75" customHeight="1" s="131"/>
    <row r="662" ht="15.75" customHeight="1" s="131"/>
    <row r="663" ht="15.75" customHeight="1" s="131"/>
    <row r="664" ht="15.75" customHeight="1" s="131"/>
    <row r="665" ht="15.75" customHeight="1" s="131"/>
    <row r="666" ht="15.75" customHeight="1" s="131"/>
    <row r="667" ht="15.75" customHeight="1" s="131"/>
    <row r="668" ht="15.75" customHeight="1" s="131"/>
    <row r="669" ht="15.75" customHeight="1" s="131"/>
    <row r="670" ht="15.75" customHeight="1" s="131"/>
    <row r="671" ht="15.75" customHeight="1" s="131"/>
    <row r="672" ht="15.75" customHeight="1" s="131"/>
    <row r="673" ht="15.75" customHeight="1" s="131"/>
    <row r="674" ht="15.75" customHeight="1" s="131"/>
    <row r="675" ht="15.75" customHeight="1" s="131"/>
    <row r="676" ht="15.75" customHeight="1" s="131"/>
    <row r="677" ht="15.75" customHeight="1" s="131"/>
    <row r="678" ht="15.75" customHeight="1" s="131"/>
    <row r="679" ht="15.75" customHeight="1" s="131"/>
    <row r="680" ht="15.75" customHeight="1" s="131"/>
    <row r="681" ht="15.75" customHeight="1" s="131"/>
    <row r="682" ht="15.75" customHeight="1" s="131"/>
    <row r="683" ht="15.75" customHeight="1" s="131"/>
    <row r="684" ht="15.75" customHeight="1" s="131"/>
    <row r="685" ht="15.75" customHeight="1" s="131"/>
    <row r="686" ht="15.75" customHeight="1" s="131"/>
    <row r="687" ht="15.75" customHeight="1" s="131"/>
    <row r="688" ht="15.75" customHeight="1" s="131"/>
    <row r="689" ht="15.75" customHeight="1" s="131"/>
    <row r="690" ht="15.75" customHeight="1" s="131"/>
    <row r="691" ht="15.75" customHeight="1" s="131"/>
    <row r="692" ht="15.75" customHeight="1" s="131"/>
    <row r="693" ht="15.75" customHeight="1" s="131"/>
    <row r="694" ht="15.75" customHeight="1" s="131"/>
    <row r="695" ht="15.75" customHeight="1" s="131"/>
    <row r="696" ht="15.75" customHeight="1" s="131"/>
    <row r="697" ht="15.75" customHeight="1" s="131"/>
    <row r="698" ht="15.75" customHeight="1" s="131"/>
    <row r="699" ht="15.75" customHeight="1" s="131"/>
    <row r="700" ht="15.75" customHeight="1" s="131"/>
    <row r="701" ht="15.75" customHeight="1" s="131"/>
    <row r="702" ht="15.75" customHeight="1" s="131"/>
    <row r="703" ht="15.75" customHeight="1" s="131"/>
    <row r="704" ht="15.75" customHeight="1" s="131"/>
    <row r="705" ht="15.75" customHeight="1" s="131"/>
    <row r="706" ht="15.75" customHeight="1" s="131"/>
    <row r="707" ht="15.75" customHeight="1" s="131"/>
    <row r="708" ht="15.75" customHeight="1" s="131"/>
    <row r="709" ht="15.75" customHeight="1" s="131"/>
    <row r="710" ht="15.75" customHeight="1" s="131"/>
    <row r="711" ht="15.75" customHeight="1" s="131"/>
    <row r="712" ht="15.75" customHeight="1" s="131"/>
    <row r="713" ht="15.75" customHeight="1" s="131"/>
    <row r="714" ht="15.75" customHeight="1" s="131"/>
    <row r="715" ht="15.75" customHeight="1" s="131"/>
    <row r="716" ht="15.75" customHeight="1" s="131"/>
    <row r="717" ht="15.75" customHeight="1" s="131"/>
    <row r="718" ht="15.75" customHeight="1" s="131"/>
    <row r="719" ht="15.75" customHeight="1" s="131"/>
    <row r="720" ht="15.75" customHeight="1" s="131"/>
    <row r="721" ht="15.75" customHeight="1" s="131"/>
    <row r="722" ht="15.75" customHeight="1" s="131"/>
    <row r="723" ht="15.75" customHeight="1" s="131"/>
    <row r="724" ht="15.75" customHeight="1" s="131"/>
    <row r="725" ht="15.75" customHeight="1" s="131"/>
    <row r="726" ht="15.75" customHeight="1" s="131"/>
    <row r="727" ht="15.75" customHeight="1" s="131"/>
    <row r="728" ht="15.75" customHeight="1" s="131"/>
    <row r="729" ht="15.75" customHeight="1" s="131"/>
    <row r="730" ht="15.75" customHeight="1" s="131"/>
    <row r="731" ht="15.75" customHeight="1" s="131"/>
    <row r="732" ht="15.75" customHeight="1" s="131"/>
    <row r="733" ht="15.75" customHeight="1" s="131"/>
    <row r="734" ht="15.75" customHeight="1" s="131"/>
    <row r="735" ht="15.75" customHeight="1" s="131"/>
    <row r="736" ht="15.75" customHeight="1" s="131"/>
    <row r="737" ht="15.75" customHeight="1" s="131"/>
    <row r="738" ht="15.75" customHeight="1" s="131"/>
    <row r="739" ht="15.75" customHeight="1" s="131"/>
    <row r="740" ht="15.75" customHeight="1" s="131"/>
    <row r="741" ht="15.75" customHeight="1" s="131"/>
    <row r="742" ht="15.75" customHeight="1" s="131"/>
    <row r="743" ht="15.75" customHeight="1" s="131"/>
    <row r="744" ht="15.75" customHeight="1" s="131"/>
    <row r="745" ht="15.75" customHeight="1" s="131"/>
    <row r="746" ht="15.75" customHeight="1" s="131"/>
    <row r="747" ht="15.75" customHeight="1" s="131"/>
    <row r="748" ht="15.75" customHeight="1" s="131"/>
    <row r="749" ht="15.75" customHeight="1" s="131"/>
    <row r="750" ht="15.75" customHeight="1" s="131"/>
    <row r="751" ht="15.75" customHeight="1" s="131"/>
    <row r="752" ht="15.75" customHeight="1" s="131"/>
    <row r="753" ht="15.75" customHeight="1" s="131"/>
    <row r="754" ht="15.75" customHeight="1" s="131"/>
    <row r="755" ht="15.75" customHeight="1" s="131"/>
    <row r="756" ht="15.75" customHeight="1" s="131"/>
    <row r="757" ht="15.75" customHeight="1" s="131"/>
    <row r="758" ht="15.75" customHeight="1" s="131"/>
    <row r="759" ht="15.75" customHeight="1" s="131"/>
    <row r="760" ht="15.75" customHeight="1" s="131"/>
    <row r="761" ht="15.75" customHeight="1" s="131"/>
    <row r="762" ht="15.75" customHeight="1" s="131"/>
    <row r="763" ht="15.75" customHeight="1" s="131"/>
    <row r="764" ht="15.75" customHeight="1" s="131"/>
    <row r="765" ht="15.75" customHeight="1" s="131"/>
    <row r="766" ht="15.75" customHeight="1" s="131"/>
    <row r="767" ht="15.75" customHeight="1" s="131"/>
    <row r="768" ht="15.75" customHeight="1" s="131"/>
    <row r="769" ht="15.75" customHeight="1" s="131"/>
    <row r="770" ht="15.75" customHeight="1" s="131"/>
    <row r="771" ht="15.75" customHeight="1" s="131"/>
    <row r="772" ht="15.75" customHeight="1" s="131"/>
    <row r="773" ht="15.75" customHeight="1" s="131"/>
    <row r="774" ht="15.75" customHeight="1" s="131"/>
    <row r="775" ht="15.75" customHeight="1" s="131"/>
    <row r="776" ht="15.75" customHeight="1" s="131"/>
    <row r="777" ht="15.75" customHeight="1" s="131"/>
    <row r="778" ht="15.75" customHeight="1" s="131"/>
    <row r="779" ht="15.75" customHeight="1" s="131"/>
    <row r="780" ht="15.75" customHeight="1" s="131"/>
    <row r="781" ht="15.75" customHeight="1" s="131"/>
    <row r="782" ht="15.75" customHeight="1" s="131"/>
    <row r="783" ht="15.75" customHeight="1" s="131"/>
    <row r="784" ht="15.75" customHeight="1" s="131"/>
    <row r="785" ht="15.75" customHeight="1" s="131"/>
    <row r="786" ht="15.75" customHeight="1" s="131"/>
    <row r="787" ht="15.75" customHeight="1" s="131"/>
    <row r="788" ht="15.75" customHeight="1" s="131"/>
    <row r="789" ht="15.75" customHeight="1" s="131"/>
    <row r="790" ht="15.75" customHeight="1" s="131"/>
    <row r="791" ht="15.75" customHeight="1" s="131"/>
    <row r="792" ht="15.75" customHeight="1" s="131"/>
    <row r="793" ht="15.75" customHeight="1" s="131"/>
    <row r="794" ht="15.75" customHeight="1" s="131"/>
    <row r="795" ht="15.75" customHeight="1" s="131"/>
    <row r="796" ht="15.75" customHeight="1" s="131"/>
    <row r="797" ht="15.75" customHeight="1" s="131"/>
    <row r="798" ht="15.75" customHeight="1" s="131"/>
    <row r="799" ht="15.75" customHeight="1" s="131"/>
    <row r="800" ht="15.75" customHeight="1" s="131"/>
    <row r="801" ht="15.75" customHeight="1" s="131"/>
    <row r="802" ht="15.75" customHeight="1" s="131"/>
    <row r="803" ht="15.75" customHeight="1" s="131"/>
    <row r="804" ht="15.75" customHeight="1" s="131"/>
    <row r="805" ht="15.75" customHeight="1" s="131"/>
    <row r="806" ht="15.75" customHeight="1" s="131"/>
    <row r="807" ht="15.75" customHeight="1" s="131"/>
    <row r="808" ht="15.75" customHeight="1" s="131"/>
    <row r="809" ht="15.75" customHeight="1" s="131"/>
    <row r="810" ht="15.75" customHeight="1" s="131"/>
    <row r="811" ht="15.75" customHeight="1" s="131"/>
    <row r="812" ht="15.75" customHeight="1" s="131"/>
    <row r="813" ht="15.75" customHeight="1" s="131"/>
    <row r="814" ht="15.75" customHeight="1" s="131"/>
    <row r="815" ht="15.75" customHeight="1" s="131"/>
    <row r="816" ht="15.75" customHeight="1" s="131"/>
    <row r="817" ht="15.75" customHeight="1" s="131"/>
    <row r="818" ht="15.75" customHeight="1" s="131"/>
    <row r="819" ht="15.75" customHeight="1" s="131"/>
    <row r="820" ht="15.75" customHeight="1" s="131"/>
    <row r="821" ht="15.75" customHeight="1" s="131"/>
    <row r="822" ht="15.75" customHeight="1" s="131"/>
    <row r="823" ht="15.75" customHeight="1" s="131"/>
    <row r="824" ht="15.75" customHeight="1" s="131"/>
    <row r="825" ht="15.75" customHeight="1" s="131"/>
    <row r="826" ht="15.75" customHeight="1" s="131"/>
    <row r="827" ht="15.75" customHeight="1" s="131"/>
    <row r="828" ht="15.75" customHeight="1" s="131"/>
    <row r="829" ht="15.75" customHeight="1" s="131"/>
    <row r="830" ht="15.75" customHeight="1" s="131"/>
    <row r="831" ht="15.75" customHeight="1" s="131"/>
    <row r="832" ht="15.75" customHeight="1" s="131"/>
    <row r="833" ht="15.75" customHeight="1" s="131"/>
    <row r="834" ht="15.75" customHeight="1" s="131"/>
    <row r="835" ht="15.75" customHeight="1" s="131"/>
    <row r="836" ht="15.75" customHeight="1" s="131"/>
    <row r="837" ht="15.75" customHeight="1" s="131"/>
    <row r="838" ht="15.75" customHeight="1" s="131"/>
    <row r="839" ht="15.75" customHeight="1" s="131"/>
    <row r="840" ht="15.75" customHeight="1" s="131"/>
    <row r="841" ht="15.75" customHeight="1" s="131"/>
    <row r="842" ht="15.75" customHeight="1" s="131"/>
    <row r="843" ht="15.75" customHeight="1" s="131"/>
    <row r="844" ht="15.75" customHeight="1" s="131"/>
    <row r="845" ht="15.75" customHeight="1" s="131"/>
    <row r="846" ht="15.75" customHeight="1" s="131"/>
    <row r="847" ht="15.75" customHeight="1" s="131"/>
    <row r="848" ht="15.75" customHeight="1" s="131"/>
    <row r="849" ht="15.75" customHeight="1" s="131"/>
    <row r="850" ht="15.75" customHeight="1" s="131"/>
    <row r="851" ht="15.75" customHeight="1" s="131"/>
    <row r="852" ht="15.75" customHeight="1" s="131"/>
    <row r="853" ht="15.75" customHeight="1" s="131"/>
    <row r="854" ht="15.75" customHeight="1" s="131"/>
    <row r="855" ht="15.75" customHeight="1" s="131"/>
    <row r="856" ht="15.75" customHeight="1" s="131"/>
    <row r="857" ht="15.75" customHeight="1" s="131"/>
    <row r="858" ht="15.75" customHeight="1" s="131"/>
    <row r="859" ht="15.75" customHeight="1" s="131"/>
    <row r="860" ht="15.75" customHeight="1" s="131"/>
    <row r="861" ht="15.75" customHeight="1" s="131"/>
    <row r="862" ht="15.75" customHeight="1" s="131"/>
    <row r="863" ht="15.75" customHeight="1" s="131"/>
    <row r="864" ht="15.75" customHeight="1" s="131"/>
    <row r="865" ht="15.75" customHeight="1" s="131"/>
    <row r="866" ht="15.75" customHeight="1" s="131"/>
    <row r="867" ht="15.75" customHeight="1" s="131"/>
    <row r="868" ht="15.75" customHeight="1" s="131"/>
    <row r="869" ht="15.75" customHeight="1" s="131"/>
    <row r="870" ht="15.75" customHeight="1" s="131"/>
    <row r="871" ht="15.75" customHeight="1" s="131"/>
    <row r="872" ht="15.75" customHeight="1" s="131"/>
    <row r="873" ht="15.75" customHeight="1" s="131"/>
    <row r="874" ht="15.75" customHeight="1" s="131"/>
    <row r="875" ht="15.75" customHeight="1" s="131"/>
    <row r="876" ht="15.75" customHeight="1" s="131"/>
    <row r="877" ht="15.75" customHeight="1" s="131"/>
    <row r="878" ht="15.75" customHeight="1" s="131"/>
    <row r="879" ht="15.75" customHeight="1" s="131"/>
    <row r="880" ht="15.75" customHeight="1" s="131"/>
    <row r="881" ht="15.75" customHeight="1" s="131"/>
    <row r="882" ht="15.75" customHeight="1" s="131"/>
    <row r="883" ht="15.75" customHeight="1" s="131"/>
    <row r="884" ht="15.75" customHeight="1" s="131"/>
    <row r="885" ht="15.75" customHeight="1" s="131"/>
    <row r="886" ht="15.75" customHeight="1" s="131"/>
    <row r="887" ht="15.75" customHeight="1" s="131"/>
    <row r="888" ht="15.75" customHeight="1" s="131"/>
    <row r="889" ht="15.75" customHeight="1" s="131"/>
    <row r="890" ht="15.75" customHeight="1" s="131"/>
    <row r="891" ht="15.75" customHeight="1" s="131"/>
    <row r="892" ht="15.75" customHeight="1" s="131"/>
    <row r="893" ht="15.75" customHeight="1" s="131"/>
    <row r="894" ht="15.75" customHeight="1" s="131"/>
    <row r="895" ht="15.75" customHeight="1" s="131"/>
    <row r="896" ht="15.75" customHeight="1" s="131"/>
    <row r="897" ht="15.75" customHeight="1" s="131"/>
    <row r="898" ht="15.75" customHeight="1" s="131"/>
    <row r="899" ht="15.75" customHeight="1" s="131"/>
    <row r="900" ht="15.75" customHeight="1" s="131"/>
    <row r="901" ht="15.75" customHeight="1" s="131"/>
    <row r="902" ht="15.75" customHeight="1" s="131"/>
    <row r="903" ht="15.75" customHeight="1" s="131"/>
    <row r="904" ht="15.75" customHeight="1" s="131"/>
    <row r="905" ht="15.75" customHeight="1" s="131"/>
    <row r="906" ht="15.75" customHeight="1" s="131"/>
    <row r="907" ht="15.75" customHeight="1" s="131"/>
    <row r="908" ht="15.75" customHeight="1" s="131"/>
    <row r="909" ht="15.75" customHeight="1" s="131"/>
    <row r="910" ht="15.75" customHeight="1" s="131"/>
    <row r="911" ht="15.75" customHeight="1" s="131"/>
    <row r="912" ht="15.75" customHeight="1" s="131"/>
    <row r="913" ht="15.75" customHeight="1" s="131"/>
    <row r="914" ht="15.75" customHeight="1" s="131"/>
    <row r="915" ht="15.75" customHeight="1" s="131"/>
    <row r="916" ht="15.75" customHeight="1" s="131"/>
    <row r="917" ht="15.75" customHeight="1" s="131"/>
    <row r="918" ht="15.75" customHeight="1" s="131"/>
    <row r="919" ht="15.75" customHeight="1" s="131"/>
    <row r="920" ht="15.75" customHeight="1" s="131"/>
    <row r="921" ht="15.75" customHeight="1" s="131"/>
    <row r="922" ht="15.75" customHeight="1" s="131"/>
    <row r="923" ht="15.75" customHeight="1" s="131"/>
    <row r="924" ht="15.75" customHeight="1" s="131"/>
    <row r="925" ht="15.75" customHeight="1" s="131"/>
    <row r="926" ht="15.75" customHeight="1" s="131"/>
    <row r="927" ht="15.75" customHeight="1" s="131"/>
    <row r="928" ht="15.75" customHeight="1" s="131"/>
    <row r="929" ht="15.75" customHeight="1" s="131"/>
    <row r="930" ht="15.75" customHeight="1" s="131"/>
    <row r="931" ht="15.75" customHeight="1" s="131"/>
    <row r="932" ht="15.75" customHeight="1" s="131"/>
    <row r="933" ht="15.75" customHeight="1" s="131"/>
    <row r="934" ht="15.75" customHeight="1" s="131"/>
    <row r="935" ht="15.75" customHeight="1" s="131"/>
    <row r="936" ht="15.75" customHeight="1" s="131"/>
    <row r="937" ht="15.75" customHeight="1" s="131"/>
    <row r="938" ht="15.75" customHeight="1" s="131"/>
    <row r="939" ht="15.75" customHeight="1" s="131"/>
    <row r="940" ht="15.75" customHeight="1" s="131"/>
    <row r="941" ht="15.75" customHeight="1" s="131"/>
    <row r="942" ht="15.75" customHeight="1" s="131"/>
    <row r="943" ht="15.75" customHeight="1" s="131"/>
    <row r="944" ht="15.75" customHeight="1" s="131"/>
    <row r="945" ht="15.75" customHeight="1" s="131"/>
    <row r="946" ht="15.75" customHeight="1" s="131"/>
    <row r="947" ht="15.75" customHeight="1" s="131"/>
    <row r="948" ht="15.75" customHeight="1" s="131"/>
    <row r="949" ht="15.75" customHeight="1" s="131"/>
    <row r="950" ht="15.75" customHeight="1" s="131"/>
    <row r="951" ht="15.75" customHeight="1" s="131"/>
    <row r="952" ht="15.75" customHeight="1" s="131"/>
    <row r="953" ht="15.75" customHeight="1" s="131"/>
    <row r="954" ht="15.75" customHeight="1" s="131"/>
    <row r="955" ht="15.75" customHeight="1" s="131"/>
    <row r="956" ht="15.75" customHeight="1" s="131"/>
    <row r="957" ht="15.75" customHeight="1" s="131"/>
    <row r="958" ht="15.75" customHeight="1" s="131"/>
    <row r="959" ht="15.75" customHeight="1" s="131"/>
    <row r="960" ht="15.75" customHeight="1" s="131"/>
    <row r="961" ht="15.75" customHeight="1" s="131"/>
    <row r="962" ht="15.75" customHeight="1" s="131"/>
    <row r="963" ht="15.75" customHeight="1" s="131"/>
    <row r="964" ht="15.75" customHeight="1" s="131"/>
    <row r="965" ht="15.75" customHeight="1" s="131"/>
    <row r="966" ht="15.75" customHeight="1" s="131"/>
    <row r="967" ht="15.75" customHeight="1" s="131"/>
    <row r="968" ht="15.75" customHeight="1" s="131"/>
    <row r="969" ht="15.75" customHeight="1" s="131"/>
    <row r="970" ht="15.75" customHeight="1" s="131"/>
    <row r="971" ht="15.75" customHeight="1" s="131"/>
    <row r="972" ht="15.75" customHeight="1" s="131"/>
    <row r="973" ht="15.75" customHeight="1" s="131"/>
    <row r="974" ht="15.75" customHeight="1" s="131"/>
    <row r="975" ht="15.75" customHeight="1" s="131"/>
    <row r="976" ht="15.75" customHeight="1" s="131"/>
    <row r="977" ht="15.75" customHeight="1" s="131"/>
    <row r="978" ht="15.75" customHeight="1" s="131"/>
    <row r="979" ht="15.75" customHeight="1" s="131"/>
    <row r="980" ht="15.75" customHeight="1" s="131"/>
    <row r="981" ht="15.75" customHeight="1" s="131"/>
    <row r="982" ht="15.75" customHeight="1" s="131"/>
    <row r="983" ht="15.75" customHeight="1" s="131"/>
    <row r="984" ht="15.75" customHeight="1" s="131"/>
    <row r="985" ht="15.75" customHeight="1" s="131"/>
    <row r="986" ht="15.75" customHeight="1" s="131"/>
    <row r="987" ht="15.75" customHeight="1" s="131"/>
    <row r="988" ht="15.75" customHeight="1" s="131"/>
    <row r="989" ht="15.75" customHeight="1" s="131"/>
    <row r="990" ht="15.75" customHeight="1" s="131"/>
    <row r="991" ht="15.75" customHeight="1" s="131"/>
    <row r="992" ht="15.75" customHeight="1" s="131"/>
    <row r="993" ht="15.75" customHeight="1" s="131"/>
    <row r="994" ht="15.75" customHeight="1" s="131"/>
    <row r="995" ht="15.75" customHeight="1" s="131"/>
    <row r="996" ht="15.75" customHeight="1" s="131"/>
    <row r="997" ht="15.75" customHeight="1" s="131"/>
    <row r="998" ht="15.75" customHeight="1" s="131"/>
    <row r="999" ht="15.75" customHeight="1" s="131"/>
    <row r="1000" ht="15.75" customHeight="1" s="131"/>
    <row r="1001" ht="15.75" customHeight="1" s="131"/>
    <row r="1002" ht="15.75" customHeight="1" s="131"/>
    <row r="1003" ht="15.75" customHeight="1" s="131"/>
    <row r="1004" ht="15.75" customHeight="1" s="131"/>
    <row r="1005" ht="15.75" customHeight="1" s="131"/>
    <row r="1006" ht="15.75" customHeight="1" s="131"/>
    <row r="1007" ht="15.75" customHeight="1" s="131"/>
    <row r="1008" ht="15.75" customHeight="1" s="131"/>
    <row r="1009" ht="15.75" customHeight="1" s="131"/>
    <row r="1010" ht="15.75" customHeight="1" s="131"/>
    <row r="1011" ht="15.75" customHeight="1" s="131"/>
    <row r="1012" ht="15.75" customHeight="1" s="131"/>
    <row r="1013" ht="15.75" customHeight="1" s="131"/>
    <row r="1014" ht="15.75" customHeight="1" s="131"/>
  </sheetData>
  <mergeCells count="5">
    <mergeCell ref="A50:H50"/>
    <mergeCell ref="A1:G1"/>
    <mergeCell ref="A57:H57"/>
    <mergeCell ref="A52:H52"/>
    <mergeCell ref="A2:D2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rightToLeft="1" workbookViewId="0">
      <selection activeCell="A24" sqref="A24:XFD24"/>
    </sheetView>
  </sheetViews>
  <sheetFormatPr baseColWidth="8" defaultColWidth="12.625" defaultRowHeight="15" customHeight="1"/>
  <cols>
    <col width="41.375" customWidth="1" style="131" min="1" max="1"/>
    <col width="43.25" customWidth="1" style="131" min="2" max="2"/>
    <col width="20.25" customWidth="1" style="131" min="3" max="3"/>
    <col width="23.25" customWidth="1" style="131" min="4" max="4"/>
    <col width="46.75" customWidth="1" style="131" min="5" max="5"/>
    <col width="8.625" customWidth="1" style="131" min="6" max="26"/>
  </cols>
  <sheetData>
    <row r="1" ht="24" customHeight="1" s="131">
      <c r="A1" s="137" t="inlineStr">
        <is>
          <t>דוח ממתינים לתשלום  |  נכון ל-14/10/2026  |  ישר שירותי קרקע לקבלן ולפועל בעמ  |  מוצגות רק יתרות פתוחות</t>
        </is>
      </c>
    </row>
    <row r="2" ht="14.25" customHeight="1" s="131"/>
    <row r="3" ht="14.25" customHeight="1" s="131">
      <c r="A3" s="140" t="inlineStr">
        <is>
          <t>🏢  חוב תאגידים – יתרות פתוחות</t>
        </is>
      </c>
    </row>
    <row r="4" ht="14.25" customHeight="1" s="131">
      <c r="A4" s="3" t="inlineStr">
        <is>
          <t>תאגיד</t>
        </is>
      </c>
      <c r="B4" s="3" t="inlineStr">
        <is>
          <t>חודש</t>
        </is>
      </c>
      <c r="C4" s="3" t="inlineStr">
        <is>
          <t>מס׳ חשבונית</t>
        </is>
      </c>
      <c r="D4" s="3" t="inlineStr">
        <is>
          <t>סכום (₪)</t>
        </is>
      </c>
      <c r="E4" s="3" t="inlineStr">
        <is>
          <t>הערות</t>
        </is>
      </c>
    </row>
    <row r="5" ht="14.25" customHeight="1" s="131">
      <c r="A5" s="90" t="inlineStr">
        <is>
          <t>פאנג</t>
        </is>
      </c>
      <c r="B5" s="91" t="inlineStr">
        <is>
          <t>יוני</t>
        </is>
      </c>
      <c r="C5" s="91" t="inlineStr">
        <is>
          <t>01/002663</t>
        </is>
      </c>
      <c r="D5" s="92" t="n">
        <v>125000</v>
      </c>
      <c r="E5" s="93" t="inlineStr">
        <is>
          <t>צ׳ק 5000345 · 125,000 ₪ ✅ ירד 24/09  |  נותר צ׳ק 5000346 · 125,000 ₪ ב-25/10  |  ⚠️ לא כלול בסה"כ</t>
        </is>
      </c>
    </row>
    <row r="6" ht="14.25" customHeight="1" s="131">
      <c r="A6" s="90" t="inlineStr">
        <is>
          <t>פאנג</t>
        </is>
      </c>
      <c r="B6" s="91" t="inlineStr">
        <is>
          <t>אוגוסט</t>
        </is>
      </c>
      <c r="C6" s="91" t="inlineStr">
        <is>
          <t>01/002721</t>
        </is>
      </c>
      <c r="D6" s="92" t="n">
        <v>208316.3</v>
      </c>
      <c r="E6" s="93" t="inlineStr">
        <is>
          <t>⏳ שולם 230,000 ₪ ב-07/10/2026 - נותרו 208,316.30 ₪ · צ׳קים דחויים: 5000286 · 69,438 ב-26/11/2026 | 5000287 · 69,438 ב-26/12/2026 | 5000288 · 69,438 ב-26/01/2027 (סה"כ 208,314; פער 2.30 ₪ מול היתרה)</t>
        </is>
      </c>
    </row>
    <row r="7" ht="14.25" customHeight="1" s="131">
      <c r="A7" s="90" t="inlineStr">
        <is>
          <t>פוגין</t>
        </is>
      </c>
      <c r="B7" s="91" t="inlineStr">
        <is>
          <t>ספטמבר</t>
        </is>
      </c>
      <c r="C7" s="91" t="inlineStr">
        <is>
          <t>01/000938</t>
        </is>
      </c>
      <c r="D7" s="92" t="n">
        <v>18262.9</v>
      </c>
      <c r="E7" s="93" t="inlineStr">
        <is>
          <t>⏳ לתשלום ב-25/10/2026 (חשבונית מס מ-29/09/2026)</t>
        </is>
      </c>
    </row>
    <row r="8" ht="14.25" customHeight="1" s="131">
      <c r="A8" s="90" t="inlineStr">
        <is>
          <t>שי-לי</t>
        </is>
      </c>
      <c r="B8" s="91" t="inlineStr">
        <is>
          <t>ספטמבר</t>
        </is>
      </c>
      <c r="C8" s="91" t="n">
        <v>230747</v>
      </c>
      <c r="D8" s="92" t="n">
        <v>44571</v>
      </c>
      <c r="E8" s="93" t="inlineStr">
        <is>
          <t>⏳ לתשלום ב-25/10/2026 (חשבונית מס מ-30/09/2026; 532 שעות × 71 ₪ + מע"מ)</t>
        </is>
      </c>
    </row>
    <row r="9" ht="14.25" customHeight="1" s="131">
      <c r="A9" s="90" t="inlineStr">
        <is>
          <t>אחים לימור</t>
        </is>
      </c>
      <c r="B9" s="91" t="inlineStr">
        <is>
          <t>ספטמבר</t>
        </is>
      </c>
      <c r="C9" s="91" t="inlineStr">
        <is>
          <t>חשבון עסקה 8052</t>
        </is>
      </c>
      <c r="D9" s="92" t="n">
        <v>107834.3</v>
      </c>
      <c r="E9" s="93" t="inlineStr">
        <is>
          <t>⏳ ממתין לתשלום (1,305.5 שעות × 70 ₪ + מע"מ; חשבון עסקה מ-30/09/2026)</t>
        </is>
      </c>
    </row>
    <row r="10" ht="14.25" customHeight="1" s="131">
      <c r="A10" s="90" t="inlineStr">
        <is>
          <t>ד.יוחאי</t>
        </is>
      </c>
      <c r="B10" s="91" t="inlineStr">
        <is>
          <t>ספטמבר</t>
        </is>
      </c>
      <c r="C10" s="91" t="inlineStr">
        <is>
          <t>IN264000117</t>
        </is>
      </c>
      <c r="D10" s="92" t="n">
        <v>35432.57</v>
      </c>
      <c r="E10" s="93" t="inlineStr">
        <is>
          <t>⏳ לתשלום ב-20/10/2026 · 321.05 שעות ספטמבר + 96 שעות השלמה לתקן = 417.05 × 72 ₪ = 30,027.60 + מע"מ 5,404.97</t>
        </is>
      </c>
    </row>
    <row r="11" ht="14.25" customHeight="1" s="131">
      <c r="A11" s="43" t="inlineStr">
        <is>
          <t>סה״כ חוב תאגידים - אוגוסט + ספטמבר</t>
        </is>
      </c>
      <c r="D11" s="45">
        <f>SUM(D6:D10)</f>
        <v/>
      </c>
      <c r="E11" s="99" t="n"/>
    </row>
    <row r="12" ht="14.25" customHeight="1" s="131">
      <c r="A12" s="140" t="inlineStr">
        <is>
          <t>👤  חוב אישי - שמואל מינסקי</t>
        </is>
      </c>
    </row>
    <row r="13" ht="14.25" customHeight="1" s="131">
      <c r="A13" s="3" t="inlineStr">
        <is>
          <t>תיאור</t>
        </is>
      </c>
      <c r="B13" s="3" t="n"/>
      <c r="C13" s="3" t="n"/>
      <c r="D13" s="3" t="inlineStr">
        <is>
          <t>סכום (₪)</t>
        </is>
      </c>
      <c r="E13" s="3" t="n"/>
    </row>
    <row r="14" ht="14.25" customHeight="1" s="131">
      <c r="A14" s="90" t="inlineStr">
        <is>
          <t>התחשבנות אישית - הלוואות (ישראכרט+מגדל) + הוצאות מהכיס, טרם הוחזרו. נכון ל-13/10/2026: לפי הבנק עד 11/10 (כולל ישראכרט 02/10 1,309.24 + מגדל 11/10 2,240.25) = 18,739.68 הלוואות + מגדל 10/09 (2,187.32) לפי הלוח, חסר בדף הבנק. מקור: קובץ "התחשבנות שמואל מינסקי" (מתעדכן שם אוטומטית)</t>
        </is>
      </c>
      <c r="B14" s="91" t="n"/>
      <c r="C14" s="91" t="n"/>
      <c r="D14" s="92" t="n">
        <v>23427</v>
      </c>
      <c r="E14" s="93" t="n"/>
    </row>
    <row r="15" ht="14.25" customHeight="1" s="131"/>
    <row r="16" ht="14.25" customHeight="1" s="131">
      <c r="A16" s="103" t="n"/>
      <c r="B16" s="58" t="n"/>
      <c r="C16" s="58" t="n"/>
      <c r="D16" s="58" t="n"/>
      <c r="E16" s="58" t="n"/>
    </row>
    <row r="17" ht="14.25" customHeight="1" s="131">
      <c r="A17" s="3" t="inlineStr">
        <is>
          <t>תאריך</t>
        </is>
      </c>
      <c r="B17" s="3" t="inlineStr">
        <is>
          <t>תיאור</t>
        </is>
      </c>
      <c r="C17" s="3" t="inlineStr">
        <is>
          <t>סכום (₪)</t>
        </is>
      </c>
      <c r="D17" s="3" t="inlineStr">
        <is>
          <t>סטטוס</t>
        </is>
      </c>
      <c r="E17" s="3" t="n"/>
    </row>
    <row r="18" ht="14.25" customHeight="1" s="131">
      <c r="A18" s="91" t="inlineStr">
        <is>
          <t>אוגוסט</t>
        </is>
      </c>
      <c r="B18" s="90" t="inlineStr">
        <is>
          <t>פאנג – חשבונית 01/002721</t>
        </is>
      </c>
      <c r="C18" s="92" t="n">
        <v>208316.3</v>
      </c>
      <c r="D18" s="105" t="inlineStr">
        <is>
          <t>⏳ שולם 230,000 ב-07/10/2026 · היתרה ב-3 צ׳קים של 69,438 (26/11, 26/12, 26/01) · 🏢 כלול גם בחוב תאגידים למעלה</t>
        </is>
      </c>
      <c r="E18" s="106" t="n"/>
    </row>
    <row r="19" ht="14.25" customHeight="1" s="131">
      <c r="A19" s="91" t="inlineStr">
        <is>
          <t>אוקטובר</t>
        </is>
      </c>
      <c r="B19" s="90" t="inlineStr">
        <is>
          <t>שלום קבאסה – הפרשי מים וחשמל, דירת אשקלון</t>
        </is>
      </c>
      <c r="C19" s="92" t="n">
        <v>4078</v>
      </c>
      <c r="D19" s="105" t="inlineStr">
        <is>
          <t>⏳ לתשלום (לפי שמואל, 07/10/2026). רק הפרשי מים וחשמל - ללא שכירות (שכירות אשקלון לא משולמת מספטמבר)</t>
        </is>
      </c>
      <c r="E19" s="106" t="n"/>
    </row>
    <row r="20" ht="14.25" customHeight="1" s="131">
      <c r="A20" s="91" t="inlineStr">
        <is>
          <t>ספטמבר</t>
        </is>
      </c>
      <c r="B20" s="90" t="inlineStr">
        <is>
          <t>פוגין – חשבונית 01/000938</t>
        </is>
      </c>
      <c r="C20" s="92" t="n">
        <v>18262.9</v>
      </c>
      <c r="D20" s="105" t="inlineStr">
        <is>
          <t>⏳ לתשלום 25/10/2026 · 🏢 כלול גם בחוב תאגידים למעלה</t>
        </is>
      </c>
      <c r="E20" s="106" t="n"/>
    </row>
    <row r="21" ht="14.25" customHeight="1" s="131">
      <c r="A21" s="91" t="inlineStr">
        <is>
          <t>ספטמבר</t>
        </is>
      </c>
      <c r="B21" s="90" t="inlineStr">
        <is>
          <t>שי-לי – חשבונית 230747</t>
        </is>
      </c>
      <c r="C21" s="92" t="n">
        <v>44571</v>
      </c>
      <c r="D21" s="105" t="inlineStr">
        <is>
          <t>⏳ לתשלום 25/10/2026 · 🏢 כלול גם בחוב תאגידים למעלה</t>
        </is>
      </c>
      <c r="E21" s="106" t="n"/>
    </row>
    <row r="22" ht="14.25" customHeight="1" s="131">
      <c r="A22" s="91" t="inlineStr">
        <is>
          <t>אוקטובר</t>
        </is>
      </c>
      <c r="B22" s="90" t="inlineStr">
        <is>
          <t>ש. מינסקי יזמות</t>
        </is>
      </c>
      <c r="C22" s="92" t="n">
        <v>0</v>
      </c>
      <c r="D22" s="105" t="inlineStr">
        <is>
          <t>✅ שולם 13/10/2026 בצ׳ק 5000289 - 16,520 ₪ (כאן נרשם 16,250; גם התשלומים ב-13/07 וב-16/08 היו 16,520) · ✅ אושר ע"י שמואל 14/10</t>
        </is>
      </c>
      <c r="E22" s="106" t="n"/>
    </row>
    <row r="23" ht="14.25" customHeight="1" s="131">
      <c r="A23" s="91" t="inlineStr">
        <is>
          <t>ספטמבר</t>
        </is>
      </c>
      <c r="B23" s="90" t="inlineStr">
        <is>
          <t>אחים לימור – חשבון עסקה 8052</t>
        </is>
      </c>
      <c r="C23" s="92" t="n">
        <v>107834.3</v>
      </c>
      <c r="D23" s="105" t="inlineStr">
        <is>
          <t>⏳ ממתין לתשלום · 🏢 כלול גם בחוב תאגידים למעלה</t>
        </is>
      </c>
      <c r="E23" s="106" t="n"/>
    </row>
    <row r="24" ht="14.25" customHeight="1" s="131">
      <c r="A24" s="91" t="inlineStr">
        <is>
          <t>ספטמבר</t>
        </is>
      </c>
      <c r="B24" s="90" t="inlineStr">
        <is>
          <t>ד.יוחאי – חשבונית IN264000117</t>
        </is>
      </c>
      <c r="C24" s="92" t="n">
        <v>35432.57</v>
      </c>
      <c r="D24" s="105" t="inlineStr">
        <is>
          <t>⏳ לתשלום 20/10/2026 · 🏢 כלול גם בחוב תאגידים למעלה</t>
        </is>
      </c>
      <c r="E24" s="106" t="n"/>
    </row>
    <row r="25" ht="14.25" customHeight="1" s="131">
      <c r="A25" s="91" t="inlineStr">
        <is>
          <t>יוני-אוגוסט</t>
        </is>
      </c>
      <c r="B25" s="90" t="inlineStr">
        <is>
          <t>רז שרי ייבוא וסחר – חשבוניות 155, 158, 161 (תיווך/שכ"ט)</t>
        </is>
      </c>
      <c r="C25" s="92" t="n">
        <v>12676.86</v>
      </c>
      <c r="D25" s="105" t="inlineStr">
        <is>
          <t>⏳ פתוח - לא שולם (תשלום אחרון 15/06 על חן 152). 155: 4,573.68 (30/06) · 158: 4,014.48 (31/07) · 161: 4,088.70 (31/08). להעברה אחרי ניכוי במקור 5%: 12,139.70</t>
        </is>
      </c>
      <c r="E25" s="106" t="n"/>
    </row>
    <row r="26" ht="14.25" customHeight="1" s="131">
      <c r="A26" s="43" t="inlineStr">
        <is>
          <t>סה״כ תזרים אוגוסט + ספטמבר</t>
        </is>
      </c>
      <c r="C26" s="45">
        <f>SUM(C18:C25)</f>
        <v/>
      </c>
      <c r="D26" s="99" t="n"/>
      <c r="E26" s="99" t="n"/>
    </row>
    <row r="27" ht="14.25" customHeight="1" s="131"/>
    <row r="28" ht="21.75" customHeight="1" s="131">
      <c r="A28" s="139" t="inlineStr">
        <is>
          <t>💰  סה״כ ממתין לתשלום (יתרת פאנג אוגוסט + פוגין, שי-לי ואחים לימור ספטמבר + שלום קבאסה + ש. מינסקי יזמות + רז שרי)</t>
        </is>
      </c>
      <c r="D28" s="87">
        <f>D11+C19+C22+C25</f>
        <v/>
      </c>
      <c r="E28" s="88" t="n"/>
    </row>
    <row r="29" ht="14.25" customHeight="1" s="131"/>
    <row r="30" ht="14.25" customHeight="1" s="131">
      <c r="A30" s="138" t="n"/>
    </row>
    <row r="31" ht="14.25" customHeight="1" s="131"/>
    <row r="32" ht="14.25" customHeight="1" s="131">
      <c r="A32" s="78" t="inlineStr">
        <is>
          <t>💰  לקוחות חייבים לנו</t>
        </is>
      </c>
      <c r="B32" s="80" t="n"/>
      <c r="C32" s="80" t="n"/>
      <c r="D32" s="80" t="n"/>
    </row>
    <row r="33" ht="14.25" customHeight="1" s="131">
      <c r="A33" s="107" t="inlineStr">
        <is>
          <t>לקוח</t>
        </is>
      </c>
      <c r="B33" s="107" t="inlineStr">
        <is>
          <t>אמצעי תשלום</t>
        </is>
      </c>
      <c r="C33" s="107" t="inlineStr">
        <is>
          <t>סכום (₪)</t>
        </is>
      </c>
      <c r="D33" s="108" t="inlineStr">
        <is>
          <t>הערות / סטטוס</t>
        </is>
      </c>
      <c r="E33" s="109" t="n"/>
    </row>
    <row r="34" ht="14.25" customHeight="1" s="131">
      <c r="A34" s="110" t="inlineStr">
        <is>
          <t>נטליה הודיה</t>
        </is>
      </c>
      <c r="B34" s="110" t="inlineStr">
        <is>
          <t>מזומן / נחשון</t>
        </is>
      </c>
      <c r="C34" s="111" t="n">
        <v>15803.8</v>
      </c>
      <c r="D34" s="112" t="inlineStr">
        <is>
          <t>⏳ שולמו עד כה 7,000 ₪ במזומן: 4,000 ₪ + 3,000 ₪ ביום שלישי 08/09/2026. 💵 המזומן לא נכנס לבנק ולכן אינו ביתרת הבנק. ⚠️ לאימות: ה-4,000 נרשמו בדוח שהיה "נכון ל-09/09" - יש לוודא שזה תשלום נפרד מה-3,000 של 08/09 ולא כפילות. ממשיך בתשלומים שבועיים עד לסגירת היתרה</t>
        </is>
      </c>
      <c r="E34" s="109" t="n"/>
    </row>
    <row r="35" ht="14.25" customHeight="1" s="131">
      <c r="A35" s="110" t="inlineStr">
        <is>
          <t>מצודת השלום</t>
        </is>
      </c>
      <c r="B35" s="110" t="inlineStr">
        <is>
          <t>עמלות ניכיון צ׳קים באופל בלאנס - לחיוב הלקוח</t>
        </is>
      </c>
      <c r="C35" s="111" t="n">
        <v>2367</v>
      </c>
      <c r="D35" s="112" t="inlineStr">
        <is>
          <t>עמלת ניכיון 1,458 (צ׳ק 14291, קבלה 1857 מ-22/07) + עמלת ניכיון 909 (צ׳קים 14297+14298, קבלה 1969 מ-23/08) = 2,367</t>
        </is>
      </c>
      <c r="E35" s="109" t="n"/>
    </row>
    <row r="36" ht="14.25" customHeight="1" s="131">
      <c r="A36" s="110" t="inlineStr">
        <is>
          <t>אופיר חנון בניה ופיקוח</t>
        </is>
      </c>
      <c r="B36" s="110" t="inlineStr">
        <is>
          <t>חשבון עסקה 40094 - עובדים אוגוסט</t>
        </is>
      </c>
      <c r="C36" s="111" t="n">
        <v>8425</v>
      </c>
      <c r="D36" s="112" t="inlineStr">
        <is>
          <t>⏳ התקבלו 25,000 ₪ ב-25/09/2026 + 80,000 ₪ ב-06/10/2026 - נותרו 8,425 ₪</t>
        </is>
      </c>
      <c r="E36" s="109" t="n"/>
    </row>
    <row r="37" ht="14.25" customHeight="1" s="131">
      <c r="A37" s="110" t="inlineStr">
        <is>
          <t>מצודת השלום</t>
        </is>
      </c>
      <c r="B37" s="110" t="inlineStr">
        <is>
          <t>חשבון עסקה 40089 - עובדים אוגוסט</t>
        </is>
      </c>
      <c r="C37" s="111" t="n">
        <v>91496</v>
      </c>
      <c r="D37" s="112" t="n"/>
      <c r="E37" s="109" t="n"/>
    </row>
    <row r="38" ht="14.25" customHeight="1" s="131">
      <c r="A38" s="110" t="inlineStr">
        <is>
          <t>רמא</t>
        </is>
      </c>
      <c r="B38" s="110" t="inlineStr">
        <is>
          <t>חשבון עסקה 40112 - עובדים ספטמבר</t>
        </is>
      </c>
      <c r="C38" s="111" t="n">
        <v>112041</v>
      </c>
      <c r="D38" s="112" t="inlineStr">
        <is>
          <t>⏳ הופק 05/10/2026</t>
        </is>
      </c>
      <c r="E38" s="109" t="n"/>
    </row>
    <row r="39" ht="14.25" customHeight="1" s="131">
      <c r="A39" s="110" t="inlineStr">
        <is>
          <t>גרייטדור</t>
        </is>
      </c>
      <c r="B39" s="110" t="inlineStr">
        <is>
          <t>חשבון עסקה 40113 - עובדים ספטמבר</t>
        </is>
      </c>
      <c r="C39" s="111" t="n">
        <v>120397</v>
      </c>
      <c r="D39" s="112" t="inlineStr">
        <is>
          <t>⏳ התקבלו 20,000 ₪ ב-12/10 + 6,513 ₪ ב-13/10/2026 (סה"כ 26,513) - נותרו 120,397 ₪</t>
        </is>
      </c>
      <c r="E39" s="109" t="n"/>
    </row>
    <row r="40" ht="14.25" customHeight="1" s="131">
      <c r="A40" s="110" t="inlineStr">
        <is>
          <t>אביאלי אלומיניום</t>
        </is>
      </c>
      <c r="B40" s="110" t="inlineStr">
        <is>
          <t>חשבון עסקה 40117 - עובדים ספטמבר</t>
        </is>
      </c>
      <c r="C40" s="111" t="n">
        <v>0</v>
      </c>
      <c r="D40" s="112" t="inlineStr">
        <is>
          <t>✅ שולם במלואו 12/10/2026 - 15,741 ₪ (העברה מאלי שי בן-חיים). הסכום הנכון לפי שמואל 14/10</t>
        </is>
      </c>
      <c r="E40" s="109" t="n"/>
    </row>
    <row r="41" ht="14.25" customHeight="1" s="131">
      <c r="A41" s="110" t="inlineStr">
        <is>
          <t>מצודת השלום</t>
        </is>
      </c>
      <c r="B41" s="110" t="inlineStr">
        <is>
          <t>חשבון עסקה 40118 - עובדים ספטמבר</t>
        </is>
      </c>
      <c r="C41" s="111" t="n">
        <v>55833</v>
      </c>
      <c r="D41" s="112" t="inlineStr">
        <is>
          <t>⏳ הופק 05/10/2026</t>
        </is>
      </c>
      <c r="E41" s="109" t="n"/>
    </row>
    <row r="42" ht="14.25" customHeight="1" s="131">
      <c r="A42" s="110" t="inlineStr">
        <is>
          <t>ברגשטיין (בי אנד גי)</t>
        </is>
      </c>
      <c r="B42" s="110" t="inlineStr">
        <is>
          <t>חשבון עסקה 40119 - עובדים ספטמבר</t>
        </is>
      </c>
      <c r="C42" s="111" t="n">
        <v>0</v>
      </c>
      <c r="D42" s="112" t="inlineStr">
        <is>
          <t>✅ שולם 13/10/2026 - 156,403 ₪ במלואו (העברה מבנק מזרחי)</t>
        </is>
      </c>
      <c r="E42" s="109" t="n"/>
    </row>
    <row r="43" ht="14.25" customHeight="1" s="131">
      <c r="A43" s="110" t="inlineStr">
        <is>
          <t>אופיר חנון בניה ופיקוח</t>
        </is>
      </c>
      <c r="B43" s="110" t="inlineStr">
        <is>
          <t>חשבון עסקה 40120 - עובדים ספטמבר</t>
        </is>
      </c>
      <c r="C43" s="111" t="n">
        <v>66573</v>
      </c>
      <c r="D43" s="112" t="inlineStr">
        <is>
          <t>⏳ הופק 05/10/2026</t>
        </is>
      </c>
      <c r="E43" s="109" t="n"/>
    </row>
    <row r="44" ht="14.25" customHeight="1" s="131">
      <c r="A44" s="110" t="inlineStr">
        <is>
          <t>ש.ח.ן כרמלי</t>
        </is>
      </c>
      <c r="B44" s="110" t="inlineStr">
        <is>
          <t>חשבון עסקה 40121 - עובדים ספטמבר</t>
        </is>
      </c>
      <c r="C44" s="111" t="n">
        <v>0</v>
      </c>
      <c r="D44" s="112" t="inlineStr">
        <is>
          <t>✅ שולם 08/10/2026 - 77,278 ₪ (חשבונית מס 50377; 47 ₪ יותר מחשבון העסקה 77,231)</t>
        </is>
      </c>
      <c r="E44" s="109" t="n"/>
    </row>
    <row r="45" ht="14.25" customHeight="1" s="131">
      <c r="A45" s="110" t="inlineStr">
        <is>
          <t>שבט בנימין</t>
        </is>
      </c>
      <c r="B45" s="110" t="inlineStr">
        <is>
          <t>חשבון עסקה 40109 - תאגיד השידור</t>
        </is>
      </c>
      <c r="C45" s="111" t="n">
        <v>7723</v>
      </c>
      <c r="D45" s="112" t="inlineStr">
        <is>
          <t>⏳ הופק 22/09/2026. חשבונית מס 50373 הופקה עליו 05/10 (אותו סכום - לא לספור פעמיים)</t>
        </is>
      </c>
      <c r="E45" s="109" t="n"/>
    </row>
    <row r="46" ht="14.25" customHeight="1" s="131">
      <c r="A46" s="110" t="inlineStr">
        <is>
          <t>שבט בנימין</t>
        </is>
      </c>
      <c r="B46" s="110" t="inlineStr">
        <is>
          <t>חשבון עסקה 40110 - עובדים אסף ספטמבר</t>
        </is>
      </c>
      <c r="C46" s="111" t="n">
        <v>19171</v>
      </c>
      <c r="D46" s="112" t="inlineStr">
        <is>
          <t>⏳ הופק 22/09/2026</t>
        </is>
      </c>
      <c r="E46" s="109" t="n"/>
    </row>
    <row r="47" ht="14.25" customHeight="1" s="131">
      <c r="A47" s="110" t="inlineStr">
        <is>
          <t>איבריקה אינטרנשיונל</t>
        </is>
      </c>
      <c r="B47" s="110" t="inlineStr">
        <is>
          <t>שכירות דירות (אשקלון, אסירי ציון, מיטות קארו 7) - אוקטובר</t>
        </is>
      </c>
      <c r="C47" s="111" t="n">
        <v>0</v>
      </c>
      <c r="D47" s="112" t="inlineStr">
        <is>
          <t>✅ שולם 11/10/2026 - 13,570 ₪ כולל מע"מ (העברה מבנק הפועלים)</t>
        </is>
      </c>
      <c r="E47" s="109" t="n"/>
    </row>
    <row r="48" ht="14.25" customHeight="1" s="131">
      <c r="A48" s="113" t="inlineStr">
        <is>
          <t>סה"כ לקוחות חייבים לנו</t>
        </is>
      </c>
      <c r="B48" s="114" t="n"/>
      <c r="C48" s="115">
        <f>SUM(C34:C47)</f>
        <v/>
      </c>
      <c r="D48" s="116" t="n"/>
      <c r="E48" s="109" t="n"/>
    </row>
    <row r="49" ht="14.25" customHeight="1" s="131"/>
    <row r="50" ht="14.25" customHeight="1" s="131">
      <c r="A50" s="78" t="inlineStr">
        <is>
          <t>📊  סיכום - כמה צריך כדי לסגור הכל</t>
        </is>
      </c>
      <c r="B50" s="78" t="n"/>
      <c r="C50" s="78" t="n"/>
      <c r="D50" s="78" t="n"/>
    </row>
    <row r="51" ht="14.25" customHeight="1" s="131">
      <c r="A51" s="58" t="inlineStr">
        <is>
          <t>יתרה בבנק (14/10/2026) - כולל ברגשטיין 156,403, גרייטדור 26,513, אביאלי 15,741, אחרי צ׳ק ש. מינסקי יזמות 16,520</t>
        </is>
      </c>
      <c r="C51" s="82" t="n">
        <v>251008.45</v>
      </c>
    </row>
    <row r="52" ht="14.25" customHeight="1" s="131">
      <c r="A52" s="58" t="inlineStr">
        <is>
          <t>+ לקוחות חייבים לנו (צפוי להיכנס)</t>
        </is>
      </c>
      <c r="C52" s="82">
        <f>C48</f>
        <v/>
      </c>
    </row>
    <row r="53" ht="14.25" customHeight="1" s="131">
      <c r="A53" s="117" t="inlineStr">
        <is>
          <t>סה"כ משאבים זמינים (בנק + לקוחות)</t>
        </is>
      </c>
      <c r="B53" s="117" t="n"/>
      <c r="C53" s="118">
        <f>C51+C52</f>
        <v/>
      </c>
      <c r="D53" s="117" t="n"/>
    </row>
    <row r="54" ht="14.25" customHeight="1" s="131">
      <c r="A54" s="58" t="inlineStr">
        <is>
          <t>− סה״כ ממתין לתשלום (תאגידי אוגוסט: יתרת פאנג אחרי 230,000 ב-07/10) - לא כולל צ׳ק פאנג יוני השני (125,000 ב-25/10) ו-ISRAEL CARGO (19,770 ב-10/10)</t>
        </is>
      </c>
      <c r="C54" s="82">
        <f>D28</f>
        <v/>
      </c>
    </row>
    <row r="55" ht="14.25" customHeight="1" s="131">
      <c r="A55" s="119" t="inlineStr">
        <is>
          <t>✅  עודף אחרי כל התשלומים</t>
        </is>
      </c>
      <c r="B55" s="119" t="n"/>
      <c r="C55" s="120">
        <f>C53-C54</f>
        <v/>
      </c>
      <c r="D55" s="119" t="n"/>
    </row>
    <row r="56" ht="14.25" customHeight="1" s="131"/>
    <row r="57" ht="14.25" customHeight="1" s="131">
      <c r="A57" s="78" t="inlineStr">
        <is>
          <t>🏦  גמל - קופות גמל (מגדל + מנורה)</t>
        </is>
      </c>
      <c r="B57" s="78" t="n"/>
      <c r="C57" s="78" t="n"/>
      <c r="D57" s="78" t="n"/>
    </row>
    <row r="58" ht="14.25" customHeight="1" s="131">
      <c r="A58" s="121" t="inlineStr">
        <is>
          <t>עובד</t>
        </is>
      </c>
      <c r="B58" s="121" t="inlineStr">
        <is>
          <t>קופה</t>
        </is>
      </c>
      <c r="C58" s="121" t="inlineStr">
        <is>
          <t>יוני (₪)</t>
        </is>
      </c>
      <c r="D58" s="121" t="inlineStr">
        <is>
          <t>יולי (₪)</t>
        </is>
      </c>
    </row>
    <row r="59" ht="14.25" customHeight="1" s="131">
      <c r="A59" s="122" t="inlineStr">
        <is>
          <t>קארו עדאלה</t>
        </is>
      </c>
      <c r="B59" s="121" t="inlineStr">
        <is>
          <t>מגדל</t>
        </is>
      </c>
      <c r="C59" s="123" t="n">
        <v>2273</v>
      </c>
      <c r="D59" s="123" t="n">
        <v>2140</v>
      </c>
    </row>
    <row r="60" ht="14.25" customHeight="1" s="131">
      <c r="A60" s="121" t="inlineStr">
        <is>
          <t>יואייב נחשון חי</t>
        </is>
      </c>
      <c r="B60" s="121" t="inlineStr">
        <is>
          <t>מנורה</t>
        </is>
      </c>
      <c r="C60" s="123" t="n">
        <v>1184</v>
      </c>
      <c r="D60" s="123" t="n">
        <v>1202</v>
      </c>
    </row>
    <row r="61" ht="14.25" customHeight="1" s="131">
      <c r="A61" s="121" t="inlineStr">
        <is>
          <t>מינסקי שלומי</t>
        </is>
      </c>
      <c r="B61" s="121" t="inlineStr">
        <is>
          <t>מנורה</t>
        </is>
      </c>
      <c r="C61" s="123" t="n">
        <v>2248</v>
      </c>
      <c r="D61" s="123" t="n">
        <v>3552</v>
      </c>
    </row>
    <row r="62" ht="14.25" customHeight="1" s="131">
      <c r="A62" s="117" t="inlineStr">
        <is>
          <t>סה"כ</t>
        </is>
      </c>
      <c r="B62" s="117" t="n"/>
      <c r="C62" s="118" t="n">
        <v>5705</v>
      </c>
      <c r="D62" s="118" t="n">
        <v>6894</v>
      </c>
    </row>
    <row r="63" ht="14.25" customHeight="1" s="131">
      <c r="A63" s="117" t="inlineStr">
        <is>
          <t>סה"כ גמל (יוני+יולי)</t>
        </is>
      </c>
      <c r="B63" s="117" t="n"/>
      <c r="C63" s="118" t="n"/>
      <c r="D63" s="118" t="n">
        <v>12599</v>
      </c>
    </row>
    <row r="64" ht="14.25" customHeight="1" s="131"/>
    <row r="65" ht="14.25" customHeight="1" s="131"/>
    <row r="66" ht="14.25" customHeight="1" s="131"/>
    <row r="67" ht="14.25" customHeight="1" s="131"/>
    <row r="68" ht="14.25" customHeight="1" s="131"/>
    <row r="69" ht="14.25" customHeight="1" s="131"/>
    <row r="70" ht="14.25" customHeight="1" s="131"/>
    <row r="71" ht="14.25" customHeight="1" s="131"/>
    <row r="72" ht="14.25" customHeight="1" s="131"/>
    <row r="73" ht="14.25" customHeight="1" s="131"/>
    <row r="74" ht="14.25" customHeight="1" s="131"/>
    <row r="75" ht="14.25" customHeight="1" s="131"/>
    <row r="76" ht="14.25" customHeight="1" s="131"/>
    <row r="77" ht="14.25" customHeight="1" s="131"/>
    <row r="78" ht="14.25" customHeight="1" s="131"/>
    <row r="79" ht="14.25" customHeight="1" s="131"/>
    <row r="80" ht="14.25" customHeight="1" s="131"/>
    <row r="81" ht="14.25" customHeight="1" s="131"/>
    <row r="82" ht="14.25" customHeight="1" s="131"/>
    <row r="83" ht="14.25" customHeight="1" s="131"/>
    <row r="84" ht="14.25" customHeight="1" s="131"/>
    <row r="85" ht="14.25" customHeight="1" s="131"/>
    <row r="86" ht="14.25" customHeight="1" s="131"/>
    <row r="87" ht="14.25" customHeight="1" s="131"/>
    <row r="88" ht="14.25" customHeight="1" s="131"/>
    <row r="89" ht="14.25" customHeight="1" s="131"/>
    <row r="90" ht="14.25" customHeight="1" s="131"/>
    <row r="91" ht="14.25" customHeight="1" s="131"/>
    <row r="92" ht="14.25" customHeight="1" s="131"/>
    <row r="93" ht="14.25" customHeight="1" s="131"/>
    <row r="94" ht="14.25" customHeight="1" s="131"/>
    <row r="95" ht="14.25" customHeight="1" s="131"/>
    <row r="96" ht="14.25" customHeight="1" s="131"/>
    <row r="97" ht="14.25" customHeight="1" s="131"/>
    <row r="98" ht="14.25" customHeight="1" s="131"/>
    <row r="99" ht="14.25" customHeight="1" s="131"/>
    <row r="100" ht="14.25" customHeight="1" s="131"/>
    <row r="101" ht="14.25" customHeight="1" s="131"/>
    <row r="102" ht="14.25" customHeight="1" s="131"/>
    <row r="103" ht="14.25" customHeight="1" s="131"/>
    <row r="104" ht="14.25" customHeight="1" s="131"/>
    <row r="105" ht="14.25" customHeight="1" s="131"/>
    <row r="106" ht="14.25" customHeight="1" s="131"/>
    <row r="107" ht="14.25" customHeight="1" s="131"/>
    <row r="108" ht="14.25" customHeight="1" s="131"/>
    <row r="109" ht="14.25" customHeight="1" s="131"/>
    <row r="110" ht="14.25" customHeight="1" s="131"/>
    <row r="111" ht="14.25" customHeight="1" s="131"/>
    <row r="112" ht="14.25" customHeight="1" s="131"/>
    <row r="113" ht="14.25" customHeight="1" s="131"/>
    <row r="114" ht="14.25" customHeight="1" s="131"/>
    <row r="115" ht="14.25" customHeight="1" s="131"/>
    <row r="116" ht="14.25" customHeight="1" s="131"/>
    <row r="117" ht="14.25" customHeight="1" s="131"/>
    <row r="118" ht="14.25" customHeight="1" s="131"/>
    <row r="119" ht="14.25" customHeight="1" s="131"/>
    <row r="120" ht="14.25" customHeight="1" s="131"/>
    <row r="121" ht="14.25" customHeight="1" s="131"/>
    <row r="122" ht="14.25" customHeight="1" s="131"/>
    <row r="123" ht="14.25" customHeight="1" s="131"/>
    <row r="124" ht="14.25" customHeight="1" s="131"/>
    <row r="125" ht="14.25" customHeight="1" s="131"/>
    <row r="126" ht="14.25" customHeight="1" s="131"/>
    <row r="127" ht="14.25" customHeight="1" s="131"/>
    <row r="128" ht="14.25" customHeight="1" s="131"/>
    <row r="129" ht="14.25" customHeight="1" s="131"/>
    <row r="130" ht="14.25" customHeight="1" s="131"/>
    <row r="131" ht="14.25" customHeight="1" s="131"/>
    <row r="132" ht="14.25" customHeight="1" s="131"/>
    <row r="133" ht="14.25" customHeight="1" s="131"/>
    <row r="134" ht="14.25" customHeight="1" s="131"/>
    <row r="135" ht="14.25" customHeight="1" s="131"/>
    <row r="136" ht="14.25" customHeight="1" s="131"/>
    <row r="137" ht="14.25" customHeight="1" s="131"/>
    <row r="138" ht="14.25" customHeight="1" s="131"/>
    <row r="139" ht="14.25" customHeight="1" s="131"/>
    <row r="140" ht="14.25" customHeight="1" s="131"/>
    <row r="141" ht="14.25" customHeight="1" s="131"/>
    <row r="142" ht="14.25" customHeight="1" s="131"/>
    <row r="143" ht="14.25" customHeight="1" s="131"/>
    <row r="144" ht="14.25" customHeight="1" s="131"/>
    <row r="145" ht="14.25" customHeight="1" s="131"/>
    <row r="146" ht="14.25" customHeight="1" s="131"/>
    <row r="147" ht="14.25" customHeight="1" s="131"/>
    <row r="148" ht="14.25" customHeight="1" s="131"/>
    <row r="149" ht="14.25" customHeight="1" s="131"/>
    <row r="150" ht="14.25" customHeight="1" s="131"/>
    <row r="151" ht="14.25" customHeight="1" s="131"/>
    <row r="152" ht="14.25" customHeight="1" s="131"/>
    <row r="153" ht="14.25" customHeight="1" s="131"/>
    <row r="154" ht="14.25" customHeight="1" s="131"/>
    <row r="155" ht="14.25" customHeight="1" s="131"/>
    <row r="156" ht="14.25" customHeight="1" s="131"/>
    <row r="157" ht="14.25" customHeight="1" s="131"/>
    <row r="158" ht="14.25" customHeight="1" s="131"/>
    <row r="159" ht="14.25" customHeight="1" s="131"/>
    <row r="160" ht="14.25" customHeight="1" s="131"/>
    <row r="161" ht="14.25" customHeight="1" s="131"/>
    <row r="162" ht="14.25" customHeight="1" s="131"/>
    <row r="163" ht="14.25" customHeight="1" s="131"/>
    <row r="164" ht="14.25" customHeight="1" s="131"/>
    <row r="165" ht="14.25" customHeight="1" s="131"/>
    <row r="166" ht="14.25" customHeight="1" s="131"/>
    <row r="167" ht="14.25" customHeight="1" s="131"/>
    <row r="168" ht="14.25" customHeight="1" s="131"/>
    <row r="169" ht="14.25" customHeight="1" s="131"/>
    <row r="170" ht="14.25" customHeight="1" s="131"/>
    <row r="171" ht="14.25" customHeight="1" s="131"/>
    <row r="172" ht="14.25" customHeight="1" s="131"/>
    <row r="173" ht="14.25" customHeight="1" s="131"/>
    <row r="174" ht="14.25" customHeight="1" s="131"/>
    <row r="175" ht="14.25" customHeight="1" s="131"/>
    <row r="176" ht="14.25" customHeight="1" s="131"/>
    <row r="177" ht="14.25" customHeight="1" s="131"/>
    <row r="178" ht="14.25" customHeight="1" s="131"/>
    <row r="179" ht="14.25" customHeight="1" s="131"/>
    <row r="180" ht="14.25" customHeight="1" s="131"/>
    <row r="181" ht="14.25" customHeight="1" s="131"/>
    <row r="182" ht="14.25" customHeight="1" s="131"/>
    <row r="183" ht="14.25" customHeight="1" s="131"/>
    <row r="184" ht="14.25" customHeight="1" s="131"/>
    <row r="185" ht="14.25" customHeight="1" s="131"/>
    <row r="186" ht="14.25" customHeight="1" s="131"/>
    <row r="187" ht="14.25" customHeight="1" s="131"/>
    <row r="188" ht="14.25" customHeight="1" s="131"/>
    <row r="189" ht="14.25" customHeight="1" s="131"/>
    <row r="190" ht="14.25" customHeight="1" s="131"/>
    <row r="191" ht="14.25" customHeight="1" s="131"/>
    <row r="192" ht="14.25" customHeight="1" s="131"/>
    <row r="193" ht="14.25" customHeight="1" s="131"/>
    <row r="194" ht="14.25" customHeight="1" s="131"/>
    <row r="195" ht="14.25" customHeight="1" s="131"/>
    <row r="196" ht="14.25" customHeight="1" s="131"/>
    <row r="197" ht="14.25" customHeight="1" s="131"/>
    <row r="198" ht="14.25" customHeight="1" s="131"/>
    <row r="199" ht="14.25" customHeight="1" s="131"/>
    <row r="200" ht="14.25" customHeight="1" s="131"/>
    <row r="201" ht="14.25" customHeight="1" s="131"/>
    <row r="202" ht="14.25" customHeight="1" s="131"/>
    <row r="203" ht="14.25" customHeight="1" s="131"/>
    <row r="204" ht="14.25" customHeight="1" s="131"/>
    <row r="205" ht="14.25" customHeight="1" s="131"/>
    <row r="206" ht="14.25" customHeight="1" s="131"/>
    <row r="207" ht="14.25" customHeight="1" s="131"/>
    <row r="208" ht="14.25" customHeight="1" s="131"/>
    <row r="209" ht="14.25" customHeight="1" s="131"/>
    <row r="210" ht="14.25" customHeight="1" s="131"/>
    <row r="211" ht="14.25" customHeight="1" s="131"/>
    <row r="212" ht="14.25" customHeight="1" s="131"/>
    <row r="213" ht="14.25" customHeight="1" s="131"/>
    <row r="214" ht="14.25" customHeight="1" s="131"/>
    <row r="215" ht="14.25" customHeight="1" s="131"/>
    <row r="216" ht="14.25" customHeight="1" s="131"/>
    <row r="217" ht="14.25" customHeight="1" s="131"/>
    <row r="218" ht="14.25" customHeight="1" s="131"/>
    <row r="219" ht="14.25" customHeight="1" s="131"/>
    <row r="220" ht="14.25" customHeight="1" s="131"/>
    <row r="221" ht="14.25" customHeight="1" s="131"/>
    <row r="222" ht="14.25" customHeight="1" s="131"/>
    <row r="223" ht="14.25" customHeight="1" s="131"/>
    <row r="224" ht="14.25" customHeight="1" s="131"/>
    <row r="225" ht="14.25" customHeight="1" s="131"/>
    <row r="226" ht="14.25" customHeight="1" s="131"/>
    <row r="227" ht="14.25" customHeight="1" s="131"/>
    <row r="228" ht="14.25" customHeight="1" s="131"/>
    <row r="229" ht="14.25" customHeight="1" s="131"/>
    <row r="230" ht="14.25" customHeight="1" s="131"/>
    <row r="231" ht="14.25" customHeight="1" s="131"/>
    <row r="232" ht="14.25" customHeight="1" s="131"/>
    <row r="233" ht="14.25" customHeight="1" s="131"/>
    <row r="234" ht="14.25" customHeight="1" s="131"/>
    <row r="235" ht="14.25" customHeight="1" s="131"/>
    <row r="236" ht="14.25" customHeight="1" s="131"/>
    <row r="237" ht="14.25" customHeight="1" s="131"/>
    <row r="238" ht="14.25" customHeight="1" s="131"/>
    <row r="239" ht="14.25" customHeight="1" s="131"/>
    <row r="240" ht="14.25" customHeight="1" s="131"/>
    <row r="241" ht="14.25" customHeight="1" s="131"/>
    <row r="242" ht="14.25" customHeight="1" s="131"/>
    <row r="243" ht="14.25" customHeight="1" s="131"/>
    <row r="244" ht="14.25" customHeight="1" s="131"/>
    <row r="245" ht="14.25" customHeight="1" s="131"/>
    <row r="246" ht="14.25" customHeight="1" s="131"/>
    <row r="247" ht="14.25" customHeight="1" s="131"/>
    <row r="248" ht="14.25" customHeight="1" s="131"/>
    <row r="249" ht="14.25" customHeight="1" s="131"/>
    <row r="250" ht="14.25" customHeight="1" s="131"/>
    <row r="251" ht="14.25" customHeight="1" s="131"/>
    <row r="252" ht="14.25" customHeight="1" s="131"/>
    <row r="253" ht="14.25" customHeight="1" s="131"/>
    <row r="254" ht="14.25" customHeight="1" s="131"/>
    <row r="255" ht="14.25" customHeight="1" s="131"/>
    <row r="256" ht="14.25" customHeight="1" s="131"/>
    <row r="257" ht="14.25" customHeight="1" s="131"/>
    <row r="258" ht="14.25" customHeight="1" s="131"/>
    <row r="259" ht="14.25" customHeight="1" s="131"/>
    <row r="260" ht="14.25" customHeight="1" s="131"/>
    <row r="261" ht="14.25" customHeight="1" s="131"/>
    <row r="262" ht="14.25" customHeight="1" s="131"/>
    <row r="263" ht="14.25" customHeight="1" s="131"/>
    <row r="264" ht="14.25" customHeight="1" s="131"/>
    <row r="265" ht="14.25" customHeight="1" s="131"/>
    <row r="266" ht="14.25" customHeight="1" s="131"/>
    <row r="267" ht="14.25" customHeight="1" s="131"/>
    <row r="268" ht="14.25" customHeight="1" s="131"/>
    <row r="269" ht="14.25" customHeight="1" s="131"/>
    <row r="270" ht="14.25" customHeight="1" s="131"/>
    <row r="271" ht="14.25" customHeight="1" s="131"/>
    <row r="272" ht="14.25" customHeight="1" s="131"/>
    <row r="273" ht="14.25" customHeight="1" s="131"/>
    <row r="274" ht="14.25" customHeight="1" s="131"/>
    <row r="275" ht="14.25" customHeight="1" s="131"/>
    <row r="276" ht="14.25" customHeight="1" s="131"/>
    <row r="277" ht="14.25" customHeight="1" s="131"/>
    <row r="278" ht="14.25" customHeight="1" s="131"/>
    <row r="279" ht="14.25" customHeight="1" s="131"/>
    <row r="280" ht="14.25" customHeight="1" s="131"/>
    <row r="281" ht="14.25" customHeight="1" s="131"/>
    <row r="282" ht="14.25" customHeight="1" s="131"/>
    <row r="283" ht="14.25" customHeight="1" s="131"/>
    <row r="284" ht="14.25" customHeight="1" s="131"/>
    <row r="285" ht="14.25" customHeight="1" s="131"/>
    <row r="286" ht="14.25" customHeight="1" s="131"/>
    <row r="287" ht="14.25" customHeight="1" s="131"/>
    <row r="288" ht="14.25" customHeight="1" s="131"/>
    <row r="289" ht="14.25" customHeight="1" s="131"/>
    <row r="290" ht="14.25" customHeight="1" s="131"/>
    <row r="291" ht="14.25" customHeight="1" s="131"/>
    <row r="292" ht="14.25" customHeight="1" s="131"/>
    <row r="293" ht="14.25" customHeight="1" s="131"/>
    <row r="294" ht="14.25" customHeight="1" s="131"/>
    <row r="295" ht="14.25" customHeight="1" s="131"/>
    <row r="296" ht="14.25" customHeight="1" s="131"/>
    <row r="297" ht="14.25" customHeight="1" s="131"/>
    <row r="298" ht="14.25" customHeight="1" s="131"/>
    <row r="299" ht="14.25" customHeight="1" s="131"/>
    <row r="300" ht="14.25" customHeight="1" s="131"/>
    <row r="301" ht="14.25" customHeight="1" s="131"/>
    <row r="302" ht="14.25" customHeight="1" s="131"/>
    <row r="303" ht="14.25" customHeight="1" s="131"/>
    <row r="304" ht="14.25" customHeight="1" s="131"/>
    <row r="305" ht="14.25" customHeight="1" s="131"/>
    <row r="306" ht="14.25" customHeight="1" s="131"/>
    <row r="307" ht="14.25" customHeight="1" s="131"/>
    <row r="308" ht="14.25" customHeight="1" s="131"/>
    <row r="309" ht="14.25" customHeight="1" s="131"/>
    <row r="310" ht="14.25" customHeight="1" s="131"/>
    <row r="311" ht="14.25" customHeight="1" s="131"/>
    <row r="312" ht="14.25" customHeight="1" s="131"/>
    <row r="313" ht="14.25" customHeight="1" s="131"/>
    <row r="314" ht="14.25" customHeight="1" s="131"/>
    <row r="315" ht="14.25" customHeight="1" s="131"/>
    <row r="316" ht="14.25" customHeight="1" s="131"/>
    <row r="317" ht="14.25" customHeight="1" s="131"/>
    <row r="318" ht="14.25" customHeight="1" s="131"/>
    <row r="319" ht="14.25" customHeight="1" s="131"/>
    <row r="320" ht="14.25" customHeight="1" s="131"/>
    <row r="321" ht="14.25" customHeight="1" s="131"/>
    <row r="322" ht="14.25" customHeight="1" s="131"/>
    <row r="323" ht="14.25" customHeight="1" s="131"/>
    <row r="324" ht="14.25" customHeight="1" s="131"/>
    <row r="325" ht="14.25" customHeight="1" s="131"/>
    <row r="326" ht="14.25" customHeight="1" s="131"/>
    <row r="327" ht="14.25" customHeight="1" s="131"/>
    <row r="328" ht="14.25" customHeight="1" s="131"/>
    <row r="329" ht="14.25" customHeight="1" s="131"/>
    <row r="330" ht="14.25" customHeight="1" s="131"/>
    <row r="331" ht="14.25" customHeight="1" s="131"/>
    <row r="332" ht="14.25" customHeight="1" s="131"/>
    <row r="333" ht="14.25" customHeight="1" s="131"/>
    <row r="334" ht="14.25" customHeight="1" s="131"/>
    <row r="335" ht="14.25" customHeight="1" s="131"/>
    <row r="336" ht="14.25" customHeight="1" s="131"/>
    <row r="337" ht="14.25" customHeight="1" s="131"/>
    <row r="338" ht="14.25" customHeight="1" s="131"/>
    <row r="339" ht="14.25" customHeight="1" s="131"/>
    <row r="340" ht="14.25" customHeight="1" s="131"/>
    <row r="341" ht="14.25" customHeight="1" s="131"/>
    <row r="342" ht="14.25" customHeight="1" s="131"/>
    <row r="343" ht="14.25" customHeight="1" s="131"/>
    <row r="344" ht="14.25" customHeight="1" s="131"/>
    <row r="345" ht="14.25" customHeight="1" s="131"/>
    <row r="346" ht="14.25" customHeight="1" s="131"/>
    <row r="347" ht="14.25" customHeight="1" s="131"/>
    <row r="348" ht="14.25" customHeight="1" s="131"/>
    <row r="349" ht="14.25" customHeight="1" s="131"/>
    <row r="350" ht="14.25" customHeight="1" s="131"/>
    <row r="351" ht="14.25" customHeight="1" s="131"/>
    <row r="352" ht="14.25" customHeight="1" s="131"/>
    <row r="353" ht="14.25" customHeight="1" s="131"/>
    <row r="354" ht="14.25" customHeight="1" s="131"/>
    <row r="355" ht="14.25" customHeight="1" s="131"/>
    <row r="356" ht="14.25" customHeight="1" s="131"/>
    <row r="357" ht="14.25" customHeight="1" s="131"/>
    <row r="358" ht="14.25" customHeight="1" s="131"/>
    <row r="359" ht="14.25" customHeight="1" s="131"/>
    <row r="360" ht="14.25" customHeight="1" s="131"/>
    <row r="361" ht="14.25" customHeight="1" s="131"/>
    <row r="362" ht="14.25" customHeight="1" s="131"/>
    <row r="363" ht="14.25" customHeight="1" s="131"/>
    <row r="364" ht="14.25" customHeight="1" s="131"/>
    <row r="365" ht="14.25" customHeight="1" s="131"/>
    <row r="366" ht="14.25" customHeight="1" s="131"/>
    <row r="367" ht="14.25" customHeight="1" s="131"/>
    <row r="368" ht="14.25" customHeight="1" s="131"/>
    <row r="369" ht="14.25" customHeight="1" s="131"/>
    <row r="370" ht="14.25" customHeight="1" s="131"/>
    <row r="371" ht="14.25" customHeight="1" s="131"/>
    <row r="372" ht="14.25" customHeight="1" s="131"/>
    <row r="373" ht="14.25" customHeight="1" s="131"/>
    <row r="374" ht="14.25" customHeight="1" s="131"/>
    <row r="375" ht="14.25" customHeight="1" s="131"/>
    <row r="376" ht="14.25" customHeight="1" s="131"/>
    <row r="377" ht="14.25" customHeight="1" s="131"/>
    <row r="378" ht="14.25" customHeight="1" s="131"/>
    <row r="379" ht="14.25" customHeight="1" s="131"/>
    <row r="380" ht="14.25" customHeight="1" s="131"/>
    <row r="381" ht="14.25" customHeight="1" s="131"/>
    <row r="382" ht="14.25" customHeight="1" s="131"/>
    <row r="383" ht="14.25" customHeight="1" s="131"/>
    <row r="384" ht="14.25" customHeight="1" s="131"/>
    <row r="385" ht="14.25" customHeight="1" s="131"/>
    <row r="386" ht="14.25" customHeight="1" s="131"/>
    <row r="387" ht="14.25" customHeight="1" s="131"/>
    <row r="388" ht="14.25" customHeight="1" s="131"/>
    <row r="389" ht="14.25" customHeight="1" s="131"/>
    <row r="390" ht="14.25" customHeight="1" s="131"/>
    <row r="391" ht="14.25" customHeight="1" s="131"/>
    <row r="392" ht="14.25" customHeight="1" s="131"/>
    <row r="393" ht="14.25" customHeight="1" s="131"/>
    <row r="394" ht="14.25" customHeight="1" s="131"/>
    <row r="395" ht="14.25" customHeight="1" s="131"/>
    <row r="396" ht="14.25" customHeight="1" s="131"/>
    <row r="397" ht="14.25" customHeight="1" s="131"/>
    <row r="398" ht="14.25" customHeight="1" s="131"/>
    <row r="399" ht="14.25" customHeight="1" s="131"/>
    <row r="400" ht="14.25" customHeight="1" s="131"/>
    <row r="401" ht="14.25" customHeight="1" s="131"/>
    <row r="402" ht="14.25" customHeight="1" s="131"/>
    <row r="403" ht="14.25" customHeight="1" s="131"/>
    <row r="404" ht="14.25" customHeight="1" s="131"/>
    <row r="405" ht="14.25" customHeight="1" s="131"/>
    <row r="406" ht="14.25" customHeight="1" s="131"/>
    <row r="407" ht="14.25" customHeight="1" s="131"/>
    <row r="408" ht="14.25" customHeight="1" s="131"/>
    <row r="409" ht="14.25" customHeight="1" s="131"/>
    <row r="410" ht="14.25" customHeight="1" s="131"/>
    <row r="411" ht="14.25" customHeight="1" s="131"/>
    <row r="412" ht="14.25" customHeight="1" s="131"/>
    <row r="413" ht="14.25" customHeight="1" s="131"/>
    <row r="414" ht="14.25" customHeight="1" s="131"/>
    <row r="415" ht="14.25" customHeight="1" s="131"/>
    <row r="416" ht="14.25" customHeight="1" s="131"/>
    <row r="417" ht="14.25" customHeight="1" s="131"/>
    <row r="418" ht="14.25" customHeight="1" s="131"/>
    <row r="419" ht="14.25" customHeight="1" s="131"/>
    <row r="420" ht="14.25" customHeight="1" s="131"/>
    <row r="421" ht="14.25" customHeight="1" s="131"/>
    <row r="422" ht="14.25" customHeight="1" s="131"/>
    <row r="423" ht="14.25" customHeight="1" s="131"/>
    <row r="424" ht="14.25" customHeight="1" s="131"/>
    <row r="425" ht="14.25" customHeight="1" s="131"/>
    <row r="426" ht="14.25" customHeight="1" s="131"/>
    <row r="427" ht="14.25" customHeight="1" s="131"/>
    <row r="428" ht="14.25" customHeight="1" s="131"/>
    <row r="429" ht="14.25" customHeight="1" s="131"/>
    <row r="430" ht="14.25" customHeight="1" s="131"/>
    <row r="431" ht="14.25" customHeight="1" s="131"/>
    <row r="432" ht="14.25" customHeight="1" s="131"/>
    <row r="433" ht="14.25" customHeight="1" s="131"/>
    <row r="434" ht="14.25" customHeight="1" s="131"/>
    <row r="435" ht="14.25" customHeight="1" s="131"/>
    <row r="436" ht="14.25" customHeight="1" s="131"/>
    <row r="437" ht="14.25" customHeight="1" s="131"/>
    <row r="438" ht="14.25" customHeight="1" s="131"/>
    <row r="439" ht="14.25" customHeight="1" s="131"/>
    <row r="440" ht="14.25" customHeight="1" s="131"/>
    <row r="441" ht="14.25" customHeight="1" s="131"/>
    <row r="442" ht="14.25" customHeight="1" s="131"/>
    <row r="443" ht="14.25" customHeight="1" s="131"/>
    <row r="444" ht="14.25" customHeight="1" s="131"/>
    <row r="445" ht="14.25" customHeight="1" s="131"/>
    <row r="446" ht="14.25" customHeight="1" s="131"/>
    <row r="447" ht="14.25" customHeight="1" s="131"/>
    <row r="448" ht="14.25" customHeight="1" s="131"/>
    <row r="449" ht="14.25" customHeight="1" s="131"/>
    <row r="450" ht="14.25" customHeight="1" s="131"/>
    <row r="451" ht="14.25" customHeight="1" s="131"/>
    <row r="452" ht="14.25" customHeight="1" s="131"/>
    <row r="453" ht="14.25" customHeight="1" s="131"/>
    <row r="454" ht="14.25" customHeight="1" s="131"/>
    <row r="455" ht="14.25" customHeight="1" s="131"/>
    <row r="456" ht="14.25" customHeight="1" s="131"/>
    <row r="457" ht="14.25" customHeight="1" s="131"/>
    <row r="458" ht="14.25" customHeight="1" s="131"/>
    <row r="459" ht="14.25" customHeight="1" s="131"/>
    <row r="460" ht="14.25" customHeight="1" s="131"/>
    <row r="461" ht="14.25" customHeight="1" s="131"/>
    <row r="462" ht="14.25" customHeight="1" s="131"/>
    <row r="463" ht="14.25" customHeight="1" s="131"/>
    <row r="464" ht="14.25" customHeight="1" s="131"/>
    <row r="465" ht="14.25" customHeight="1" s="131"/>
    <row r="466" ht="14.25" customHeight="1" s="131"/>
    <row r="467" ht="14.25" customHeight="1" s="131"/>
    <row r="468" ht="14.25" customHeight="1" s="131"/>
    <row r="469" ht="14.25" customHeight="1" s="131"/>
    <row r="470" ht="14.25" customHeight="1" s="131"/>
    <row r="471" ht="14.25" customHeight="1" s="131"/>
    <row r="472" ht="14.25" customHeight="1" s="131"/>
    <row r="473" ht="14.25" customHeight="1" s="131"/>
    <row r="474" ht="14.25" customHeight="1" s="131"/>
    <row r="475" ht="14.25" customHeight="1" s="131"/>
    <row r="476" ht="14.25" customHeight="1" s="131"/>
    <row r="477" ht="14.25" customHeight="1" s="131"/>
    <row r="478" ht="14.25" customHeight="1" s="131"/>
    <row r="479" ht="14.25" customHeight="1" s="131"/>
    <row r="480" ht="14.25" customHeight="1" s="131"/>
    <row r="481" ht="14.25" customHeight="1" s="131"/>
    <row r="482" ht="14.25" customHeight="1" s="131"/>
    <row r="483" ht="14.25" customHeight="1" s="131"/>
    <row r="484" ht="14.25" customHeight="1" s="131"/>
    <row r="485" ht="14.25" customHeight="1" s="131"/>
    <row r="486" ht="14.25" customHeight="1" s="131"/>
    <row r="487" ht="14.25" customHeight="1" s="131"/>
    <row r="488" ht="14.25" customHeight="1" s="131"/>
    <row r="489" ht="14.25" customHeight="1" s="131"/>
    <row r="490" ht="14.25" customHeight="1" s="131"/>
    <row r="491" ht="14.25" customHeight="1" s="131"/>
    <row r="492" ht="14.25" customHeight="1" s="131"/>
    <row r="493" ht="14.25" customHeight="1" s="131"/>
    <row r="494" ht="14.25" customHeight="1" s="131"/>
    <row r="495" ht="14.25" customHeight="1" s="131"/>
    <row r="496" ht="14.25" customHeight="1" s="131"/>
    <row r="497" ht="14.25" customHeight="1" s="131"/>
    <row r="498" ht="14.25" customHeight="1" s="131"/>
    <row r="499" ht="14.25" customHeight="1" s="131"/>
    <row r="500" ht="14.25" customHeight="1" s="131"/>
    <row r="501" ht="14.25" customHeight="1" s="131"/>
    <row r="502" ht="14.25" customHeight="1" s="131"/>
    <row r="503" ht="14.25" customHeight="1" s="131"/>
    <row r="504" ht="14.25" customHeight="1" s="131"/>
    <row r="505" ht="14.25" customHeight="1" s="131"/>
    <row r="506" ht="14.25" customHeight="1" s="131"/>
    <row r="507" ht="14.25" customHeight="1" s="131"/>
    <row r="508" ht="14.25" customHeight="1" s="131"/>
    <row r="509" ht="14.25" customHeight="1" s="131"/>
    <row r="510" ht="14.25" customHeight="1" s="131"/>
    <row r="511" ht="14.25" customHeight="1" s="131"/>
    <row r="512" ht="14.25" customHeight="1" s="131"/>
    <row r="513" ht="14.25" customHeight="1" s="131"/>
    <row r="514" ht="14.25" customHeight="1" s="131"/>
    <row r="515" ht="14.25" customHeight="1" s="131"/>
    <row r="516" ht="14.25" customHeight="1" s="131"/>
    <row r="517" ht="14.25" customHeight="1" s="131"/>
    <row r="518" ht="14.25" customHeight="1" s="131"/>
    <row r="519" ht="14.25" customHeight="1" s="131"/>
    <row r="520" ht="14.25" customHeight="1" s="131"/>
    <row r="521" ht="14.25" customHeight="1" s="131"/>
    <row r="522" ht="14.25" customHeight="1" s="131"/>
    <row r="523" ht="14.25" customHeight="1" s="131"/>
    <row r="524" ht="14.25" customHeight="1" s="131"/>
    <row r="525" ht="14.25" customHeight="1" s="131"/>
    <row r="526" ht="14.25" customHeight="1" s="131"/>
    <row r="527" ht="14.25" customHeight="1" s="131"/>
    <row r="528" ht="14.25" customHeight="1" s="131"/>
    <row r="529" ht="14.25" customHeight="1" s="131"/>
    <row r="530" ht="14.25" customHeight="1" s="131"/>
    <row r="531" ht="14.25" customHeight="1" s="131"/>
    <row r="532" ht="14.25" customHeight="1" s="131"/>
    <row r="533" ht="14.25" customHeight="1" s="131"/>
    <row r="534" ht="14.25" customHeight="1" s="131"/>
    <row r="535" ht="14.25" customHeight="1" s="131"/>
    <row r="536" ht="14.25" customHeight="1" s="131"/>
    <row r="537" ht="14.25" customHeight="1" s="131"/>
    <row r="538" ht="14.25" customHeight="1" s="131"/>
    <row r="539" ht="14.25" customHeight="1" s="131"/>
    <row r="540" ht="14.25" customHeight="1" s="131"/>
    <row r="541" ht="14.25" customHeight="1" s="131"/>
    <row r="542" ht="14.25" customHeight="1" s="131"/>
    <row r="543" ht="14.25" customHeight="1" s="131"/>
    <row r="544" ht="14.25" customHeight="1" s="131"/>
    <row r="545" ht="14.25" customHeight="1" s="131"/>
    <row r="546" ht="14.25" customHeight="1" s="131"/>
    <row r="547" ht="14.25" customHeight="1" s="131"/>
    <row r="548" ht="14.25" customHeight="1" s="131"/>
    <row r="549" ht="14.25" customHeight="1" s="131"/>
    <row r="550" ht="14.25" customHeight="1" s="131"/>
    <row r="551" ht="14.25" customHeight="1" s="131"/>
    <row r="552" ht="14.25" customHeight="1" s="131"/>
    <row r="553" ht="14.25" customHeight="1" s="131"/>
    <row r="554" ht="14.25" customHeight="1" s="131"/>
    <row r="555" ht="14.25" customHeight="1" s="131"/>
    <row r="556" ht="14.25" customHeight="1" s="131"/>
    <row r="557" ht="14.25" customHeight="1" s="131"/>
    <row r="558" ht="14.25" customHeight="1" s="131"/>
    <row r="559" ht="14.25" customHeight="1" s="131"/>
    <row r="560" ht="14.25" customHeight="1" s="131"/>
    <row r="561" ht="14.25" customHeight="1" s="131"/>
    <row r="562" ht="14.25" customHeight="1" s="131"/>
    <row r="563" ht="14.25" customHeight="1" s="131"/>
    <row r="564" ht="14.25" customHeight="1" s="131"/>
    <row r="565" ht="14.25" customHeight="1" s="131"/>
    <row r="566" ht="14.25" customHeight="1" s="131"/>
    <row r="567" ht="14.25" customHeight="1" s="131"/>
    <row r="568" ht="14.25" customHeight="1" s="131"/>
    <row r="569" ht="14.25" customHeight="1" s="131"/>
    <row r="570" ht="14.25" customHeight="1" s="131"/>
    <row r="571" ht="14.25" customHeight="1" s="131"/>
    <row r="572" ht="14.25" customHeight="1" s="131"/>
    <row r="573" ht="14.25" customHeight="1" s="131"/>
    <row r="574" ht="14.25" customHeight="1" s="131"/>
    <row r="575" ht="14.25" customHeight="1" s="131"/>
    <row r="576" ht="14.25" customHeight="1" s="131"/>
    <row r="577" ht="14.25" customHeight="1" s="131"/>
    <row r="578" ht="14.25" customHeight="1" s="131"/>
    <row r="579" ht="14.25" customHeight="1" s="131"/>
    <row r="580" ht="14.25" customHeight="1" s="131"/>
    <row r="581" ht="14.25" customHeight="1" s="131"/>
    <row r="582" ht="14.25" customHeight="1" s="131"/>
    <row r="583" ht="14.25" customHeight="1" s="131"/>
    <row r="584" ht="14.25" customHeight="1" s="131"/>
    <row r="585" ht="14.25" customHeight="1" s="131"/>
    <row r="586" ht="14.25" customHeight="1" s="131"/>
    <row r="587" ht="14.25" customHeight="1" s="131"/>
    <row r="588" ht="14.25" customHeight="1" s="131"/>
    <row r="589" ht="14.25" customHeight="1" s="131"/>
    <row r="590" ht="14.25" customHeight="1" s="131"/>
    <row r="591" ht="14.25" customHeight="1" s="131"/>
    <row r="592" ht="14.25" customHeight="1" s="131"/>
    <row r="593" ht="14.25" customHeight="1" s="131"/>
    <row r="594" ht="14.25" customHeight="1" s="131"/>
    <row r="595" ht="14.25" customHeight="1" s="131"/>
    <row r="596" ht="14.25" customHeight="1" s="131"/>
    <row r="597" ht="14.25" customHeight="1" s="131"/>
    <row r="598" ht="14.25" customHeight="1" s="131"/>
    <row r="599" ht="14.25" customHeight="1" s="131"/>
    <row r="600" ht="14.25" customHeight="1" s="131"/>
    <row r="601" ht="14.25" customHeight="1" s="131"/>
    <row r="602" ht="14.25" customHeight="1" s="131"/>
    <row r="603" ht="14.25" customHeight="1" s="131"/>
    <row r="604" ht="14.25" customHeight="1" s="131"/>
    <row r="605" ht="14.25" customHeight="1" s="131"/>
    <row r="606" ht="14.25" customHeight="1" s="131"/>
    <row r="607" ht="14.25" customHeight="1" s="131"/>
    <row r="608" ht="14.25" customHeight="1" s="131"/>
    <row r="609" ht="14.25" customHeight="1" s="131"/>
    <row r="610" ht="14.25" customHeight="1" s="131"/>
    <row r="611" ht="14.25" customHeight="1" s="131"/>
    <row r="612" ht="14.25" customHeight="1" s="131"/>
    <row r="613" ht="14.25" customHeight="1" s="131"/>
    <row r="614" ht="14.25" customHeight="1" s="131"/>
    <row r="615" ht="14.25" customHeight="1" s="131"/>
    <row r="616" ht="14.25" customHeight="1" s="131"/>
    <row r="617" ht="14.25" customHeight="1" s="131"/>
    <row r="618" ht="14.25" customHeight="1" s="131"/>
    <row r="619" ht="14.25" customHeight="1" s="131"/>
    <row r="620" ht="14.25" customHeight="1" s="131"/>
    <row r="621" ht="14.25" customHeight="1" s="131"/>
    <row r="622" ht="14.25" customHeight="1" s="131"/>
    <row r="623" ht="14.25" customHeight="1" s="131"/>
    <row r="624" ht="14.25" customHeight="1" s="131"/>
    <row r="625" ht="14.25" customHeight="1" s="131"/>
    <row r="626" ht="14.25" customHeight="1" s="131"/>
    <row r="627" ht="14.25" customHeight="1" s="131"/>
    <row r="628" ht="14.25" customHeight="1" s="131"/>
    <row r="629" ht="14.25" customHeight="1" s="131"/>
    <row r="630" ht="14.25" customHeight="1" s="131"/>
    <row r="631" ht="14.25" customHeight="1" s="131"/>
    <row r="632" ht="14.25" customHeight="1" s="131"/>
    <row r="633" ht="14.25" customHeight="1" s="131"/>
    <row r="634" ht="14.25" customHeight="1" s="131"/>
    <row r="635" ht="14.25" customHeight="1" s="131"/>
    <row r="636" ht="14.25" customHeight="1" s="131"/>
    <row r="637" ht="14.25" customHeight="1" s="131"/>
    <row r="638" ht="14.25" customHeight="1" s="131"/>
    <row r="639" ht="14.25" customHeight="1" s="131"/>
    <row r="640" ht="14.25" customHeight="1" s="131"/>
    <row r="641" ht="14.25" customHeight="1" s="131"/>
    <row r="642" ht="14.25" customHeight="1" s="131"/>
    <row r="643" ht="14.25" customHeight="1" s="131"/>
    <row r="644" ht="14.25" customHeight="1" s="131"/>
    <row r="645" ht="14.25" customHeight="1" s="131"/>
    <row r="646" ht="14.25" customHeight="1" s="131"/>
    <row r="647" ht="14.25" customHeight="1" s="131"/>
    <row r="648" ht="14.25" customHeight="1" s="131"/>
    <row r="649" ht="14.25" customHeight="1" s="131"/>
    <row r="650" ht="14.25" customHeight="1" s="131"/>
    <row r="651" ht="14.25" customHeight="1" s="131"/>
    <row r="652" ht="14.25" customHeight="1" s="131"/>
    <row r="653" ht="14.25" customHeight="1" s="131"/>
    <row r="654" ht="14.25" customHeight="1" s="131"/>
    <row r="655" ht="14.25" customHeight="1" s="131"/>
    <row r="656" ht="14.25" customHeight="1" s="131"/>
    <row r="657" ht="14.25" customHeight="1" s="131"/>
    <row r="658" ht="14.25" customHeight="1" s="131"/>
    <row r="659" ht="14.25" customHeight="1" s="131"/>
    <row r="660" ht="14.25" customHeight="1" s="131"/>
    <row r="661" ht="14.25" customHeight="1" s="131"/>
    <row r="662" ht="14.25" customHeight="1" s="131"/>
    <row r="663" ht="14.25" customHeight="1" s="131"/>
    <row r="664" ht="14.25" customHeight="1" s="131"/>
    <row r="665" ht="14.25" customHeight="1" s="131"/>
    <row r="666" ht="14.25" customHeight="1" s="131"/>
    <row r="667" ht="14.25" customHeight="1" s="131"/>
    <row r="668" ht="14.25" customHeight="1" s="131"/>
    <row r="669" ht="14.25" customHeight="1" s="131"/>
    <row r="670" ht="14.25" customHeight="1" s="131"/>
    <row r="671" ht="14.25" customHeight="1" s="131"/>
    <row r="672" ht="14.25" customHeight="1" s="131"/>
    <row r="673" ht="14.25" customHeight="1" s="131"/>
    <row r="674" ht="14.25" customHeight="1" s="131"/>
    <row r="675" ht="14.25" customHeight="1" s="131"/>
    <row r="676" ht="14.25" customHeight="1" s="131"/>
    <row r="677" ht="14.25" customHeight="1" s="131"/>
    <row r="678" ht="14.25" customHeight="1" s="131"/>
    <row r="679" ht="14.25" customHeight="1" s="131"/>
    <row r="680" ht="14.25" customHeight="1" s="131"/>
    <row r="681" ht="14.25" customHeight="1" s="131"/>
    <row r="682" ht="14.25" customHeight="1" s="131"/>
    <row r="683" ht="14.25" customHeight="1" s="131"/>
    <row r="684" ht="14.25" customHeight="1" s="131"/>
    <row r="685" ht="14.25" customHeight="1" s="131"/>
    <row r="686" ht="14.25" customHeight="1" s="131"/>
    <row r="687" ht="14.25" customHeight="1" s="131"/>
    <row r="688" ht="14.25" customHeight="1" s="131"/>
    <row r="689" ht="14.25" customHeight="1" s="131"/>
    <row r="690" ht="14.25" customHeight="1" s="131"/>
    <row r="691" ht="14.25" customHeight="1" s="131"/>
    <row r="692" ht="14.25" customHeight="1" s="131"/>
    <row r="693" ht="14.25" customHeight="1" s="131"/>
    <row r="694" ht="14.25" customHeight="1" s="131"/>
    <row r="695" ht="14.25" customHeight="1" s="131"/>
    <row r="696" ht="14.25" customHeight="1" s="131"/>
    <row r="697" ht="14.25" customHeight="1" s="131"/>
    <row r="698" ht="14.25" customHeight="1" s="131"/>
    <row r="699" ht="14.25" customHeight="1" s="131"/>
    <row r="700" ht="14.25" customHeight="1" s="131"/>
    <row r="701" ht="14.25" customHeight="1" s="131"/>
    <row r="702" ht="14.25" customHeight="1" s="131"/>
    <row r="703" ht="14.25" customHeight="1" s="131"/>
    <row r="704" ht="14.25" customHeight="1" s="131"/>
    <row r="705" ht="14.25" customHeight="1" s="131"/>
    <row r="706" ht="14.25" customHeight="1" s="131"/>
    <row r="707" ht="14.25" customHeight="1" s="131"/>
    <row r="708" ht="14.25" customHeight="1" s="131"/>
    <row r="709" ht="14.25" customHeight="1" s="131"/>
    <row r="710" ht="14.25" customHeight="1" s="131"/>
    <row r="711" ht="14.25" customHeight="1" s="131"/>
    <row r="712" ht="14.25" customHeight="1" s="131"/>
    <row r="713" ht="14.25" customHeight="1" s="131"/>
    <row r="714" ht="14.25" customHeight="1" s="131"/>
    <row r="715" ht="14.25" customHeight="1" s="131"/>
    <row r="716" ht="14.25" customHeight="1" s="131"/>
    <row r="717" ht="14.25" customHeight="1" s="131"/>
    <row r="718" ht="14.25" customHeight="1" s="131"/>
    <row r="719" ht="14.25" customHeight="1" s="131"/>
    <row r="720" ht="14.25" customHeight="1" s="131"/>
    <row r="721" ht="14.25" customHeight="1" s="131"/>
    <row r="722" ht="14.25" customHeight="1" s="131"/>
    <row r="723" ht="14.25" customHeight="1" s="131"/>
    <row r="724" ht="14.25" customHeight="1" s="131"/>
    <row r="725" ht="14.25" customHeight="1" s="131"/>
    <row r="726" ht="14.25" customHeight="1" s="131"/>
    <row r="727" ht="14.25" customHeight="1" s="131"/>
    <row r="728" ht="14.25" customHeight="1" s="131"/>
    <row r="729" ht="14.25" customHeight="1" s="131"/>
    <row r="730" ht="14.25" customHeight="1" s="131"/>
    <row r="731" ht="14.25" customHeight="1" s="131"/>
    <row r="732" ht="14.25" customHeight="1" s="131"/>
    <row r="733" ht="14.25" customHeight="1" s="131"/>
    <row r="734" ht="14.25" customHeight="1" s="131"/>
    <row r="735" ht="14.25" customHeight="1" s="131"/>
    <row r="736" ht="14.25" customHeight="1" s="131"/>
    <row r="737" ht="14.25" customHeight="1" s="131"/>
    <row r="738" ht="14.25" customHeight="1" s="131"/>
    <row r="739" ht="14.25" customHeight="1" s="131"/>
    <row r="740" ht="14.25" customHeight="1" s="131"/>
    <row r="741" ht="14.25" customHeight="1" s="131"/>
    <row r="742" ht="14.25" customHeight="1" s="131"/>
    <row r="743" ht="14.25" customHeight="1" s="131"/>
    <row r="744" ht="14.25" customHeight="1" s="131"/>
    <row r="745" ht="14.25" customHeight="1" s="131"/>
    <row r="746" ht="14.25" customHeight="1" s="131"/>
    <row r="747" ht="14.25" customHeight="1" s="131"/>
    <row r="748" ht="14.25" customHeight="1" s="131"/>
    <row r="749" ht="14.25" customHeight="1" s="131"/>
    <row r="750" ht="14.25" customHeight="1" s="131"/>
    <row r="751" ht="14.25" customHeight="1" s="131"/>
    <row r="752" ht="14.25" customHeight="1" s="131"/>
    <row r="753" ht="14.25" customHeight="1" s="131"/>
    <row r="754" ht="14.25" customHeight="1" s="131"/>
    <row r="755" ht="14.25" customHeight="1" s="131"/>
    <row r="756" ht="14.25" customHeight="1" s="131"/>
    <row r="757" ht="14.25" customHeight="1" s="131"/>
    <row r="758" ht="14.25" customHeight="1" s="131"/>
    <row r="759" ht="14.25" customHeight="1" s="131"/>
    <row r="760" ht="14.25" customHeight="1" s="131"/>
    <row r="761" ht="14.25" customHeight="1" s="131"/>
    <row r="762" ht="14.25" customHeight="1" s="131"/>
    <row r="763" ht="14.25" customHeight="1" s="131"/>
    <row r="764" ht="14.25" customHeight="1" s="131"/>
    <row r="765" ht="14.25" customHeight="1" s="131"/>
    <row r="766" ht="14.25" customHeight="1" s="131"/>
    <row r="767" ht="14.25" customHeight="1" s="131"/>
    <row r="768" ht="14.25" customHeight="1" s="131"/>
    <row r="769" ht="14.25" customHeight="1" s="131"/>
    <row r="770" ht="14.25" customHeight="1" s="131"/>
    <row r="771" ht="14.25" customHeight="1" s="131"/>
    <row r="772" ht="14.25" customHeight="1" s="131"/>
    <row r="773" ht="14.25" customHeight="1" s="131"/>
    <row r="774" ht="14.25" customHeight="1" s="131"/>
    <row r="775" ht="14.25" customHeight="1" s="131"/>
    <row r="776" ht="14.25" customHeight="1" s="131"/>
    <row r="777" ht="14.25" customHeight="1" s="131"/>
    <row r="778" ht="14.25" customHeight="1" s="131"/>
    <row r="779" ht="14.25" customHeight="1" s="131"/>
    <row r="780" ht="14.25" customHeight="1" s="131"/>
    <row r="781" ht="14.25" customHeight="1" s="131"/>
    <row r="782" ht="14.25" customHeight="1" s="131"/>
    <row r="783" ht="14.25" customHeight="1" s="131"/>
    <row r="784" ht="14.25" customHeight="1" s="131"/>
    <row r="785" ht="14.25" customHeight="1" s="131"/>
    <row r="786" ht="14.25" customHeight="1" s="131"/>
    <row r="787" ht="14.25" customHeight="1" s="131"/>
    <row r="788" ht="14.25" customHeight="1" s="131"/>
    <row r="789" ht="14.25" customHeight="1" s="131"/>
    <row r="790" ht="14.25" customHeight="1" s="131"/>
    <row r="791" ht="14.25" customHeight="1" s="131"/>
    <row r="792" ht="14.25" customHeight="1" s="131"/>
    <row r="793" ht="14.25" customHeight="1" s="131"/>
    <row r="794" ht="14.25" customHeight="1" s="131"/>
    <row r="795" ht="14.25" customHeight="1" s="131"/>
    <row r="796" ht="14.25" customHeight="1" s="131"/>
    <row r="797" ht="14.25" customHeight="1" s="131"/>
    <row r="798" ht="14.25" customHeight="1" s="131"/>
    <row r="799" ht="14.25" customHeight="1" s="131"/>
    <row r="800" ht="14.25" customHeight="1" s="131"/>
    <row r="801" ht="14.25" customHeight="1" s="131"/>
    <row r="802" ht="14.25" customHeight="1" s="131"/>
    <row r="803" ht="14.25" customHeight="1" s="131"/>
    <row r="804" ht="14.25" customHeight="1" s="131"/>
    <row r="805" ht="14.25" customHeight="1" s="131"/>
    <row r="806" ht="14.25" customHeight="1" s="131"/>
    <row r="807" ht="14.25" customHeight="1" s="131"/>
    <row r="808" ht="14.25" customHeight="1" s="131"/>
    <row r="809" ht="14.25" customHeight="1" s="131"/>
    <row r="810" ht="14.25" customHeight="1" s="131"/>
    <row r="811" ht="14.25" customHeight="1" s="131"/>
    <row r="812" ht="14.25" customHeight="1" s="131"/>
    <row r="813" ht="14.25" customHeight="1" s="131"/>
    <row r="814" ht="14.25" customHeight="1" s="131"/>
    <row r="815" ht="14.25" customHeight="1" s="131"/>
    <row r="816" ht="14.25" customHeight="1" s="131"/>
    <row r="817" ht="14.25" customHeight="1" s="131"/>
    <row r="818" ht="14.25" customHeight="1" s="131"/>
    <row r="819" ht="14.25" customHeight="1" s="131"/>
    <row r="820" ht="14.25" customHeight="1" s="131"/>
    <row r="821" ht="14.25" customHeight="1" s="131"/>
    <row r="822" ht="14.25" customHeight="1" s="131"/>
    <row r="823" ht="14.25" customHeight="1" s="131"/>
    <row r="824" ht="14.25" customHeight="1" s="131"/>
    <row r="825" ht="14.25" customHeight="1" s="131"/>
    <row r="826" ht="14.25" customHeight="1" s="131"/>
    <row r="827" ht="14.25" customHeight="1" s="131"/>
    <row r="828" ht="14.25" customHeight="1" s="131"/>
    <row r="829" ht="14.25" customHeight="1" s="131"/>
    <row r="830" ht="14.25" customHeight="1" s="131"/>
    <row r="831" ht="14.25" customHeight="1" s="131"/>
    <row r="832" ht="14.25" customHeight="1" s="131"/>
    <row r="833" ht="14.25" customHeight="1" s="131"/>
    <row r="834" ht="14.25" customHeight="1" s="131"/>
    <row r="835" ht="14.25" customHeight="1" s="131"/>
    <row r="836" ht="14.25" customHeight="1" s="131"/>
    <row r="837" ht="14.25" customHeight="1" s="131"/>
    <row r="838" ht="14.25" customHeight="1" s="131"/>
    <row r="839" ht="14.25" customHeight="1" s="131"/>
    <row r="840" ht="14.25" customHeight="1" s="131"/>
    <row r="841" ht="14.25" customHeight="1" s="131"/>
    <row r="842" ht="14.25" customHeight="1" s="131"/>
    <row r="843" ht="14.25" customHeight="1" s="131"/>
    <row r="844" ht="14.25" customHeight="1" s="131"/>
    <row r="845" ht="14.25" customHeight="1" s="131"/>
    <row r="846" ht="14.25" customHeight="1" s="131"/>
    <row r="847" ht="14.25" customHeight="1" s="131"/>
    <row r="848" ht="14.25" customHeight="1" s="131"/>
    <row r="849" ht="14.25" customHeight="1" s="131"/>
    <row r="850" ht="14.25" customHeight="1" s="131"/>
    <row r="851" ht="14.25" customHeight="1" s="131"/>
    <row r="852" ht="14.25" customHeight="1" s="131"/>
    <row r="853" ht="14.25" customHeight="1" s="131"/>
    <row r="854" ht="14.25" customHeight="1" s="131"/>
    <row r="855" ht="14.25" customHeight="1" s="131"/>
    <row r="856" ht="14.25" customHeight="1" s="131"/>
    <row r="857" ht="14.25" customHeight="1" s="131"/>
    <row r="858" ht="14.25" customHeight="1" s="131"/>
    <row r="859" ht="14.25" customHeight="1" s="131"/>
    <row r="860" ht="14.25" customHeight="1" s="131"/>
    <row r="861" ht="14.25" customHeight="1" s="131"/>
    <row r="862" ht="14.25" customHeight="1" s="131"/>
    <row r="863" ht="14.25" customHeight="1" s="131"/>
    <row r="864" ht="14.25" customHeight="1" s="131"/>
    <row r="865" ht="14.25" customHeight="1" s="131"/>
    <row r="866" ht="14.25" customHeight="1" s="131"/>
    <row r="867" ht="14.25" customHeight="1" s="131"/>
    <row r="868" ht="14.25" customHeight="1" s="131"/>
    <row r="869" ht="14.25" customHeight="1" s="131"/>
    <row r="870" ht="14.25" customHeight="1" s="131"/>
    <row r="871" ht="14.25" customHeight="1" s="131"/>
    <row r="872" ht="14.25" customHeight="1" s="131"/>
    <row r="873" ht="14.25" customHeight="1" s="131"/>
    <row r="874" ht="14.25" customHeight="1" s="131"/>
    <row r="875" ht="14.25" customHeight="1" s="131"/>
    <row r="876" ht="14.25" customHeight="1" s="131"/>
    <row r="877" ht="14.25" customHeight="1" s="131"/>
    <row r="878" ht="14.25" customHeight="1" s="131"/>
    <row r="879" ht="14.25" customHeight="1" s="131"/>
    <row r="880" ht="14.25" customHeight="1" s="131"/>
    <row r="881" ht="14.25" customHeight="1" s="131"/>
    <row r="882" ht="14.25" customHeight="1" s="131"/>
    <row r="883" ht="14.25" customHeight="1" s="131"/>
    <row r="884" ht="14.25" customHeight="1" s="131"/>
    <row r="885" ht="14.25" customHeight="1" s="131"/>
    <row r="886" ht="14.25" customHeight="1" s="131"/>
    <row r="887" ht="14.25" customHeight="1" s="131"/>
    <row r="888" ht="14.25" customHeight="1" s="131"/>
    <row r="889" ht="14.25" customHeight="1" s="131"/>
    <row r="890" ht="14.25" customHeight="1" s="131"/>
    <row r="891" ht="14.25" customHeight="1" s="131"/>
    <row r="892" ht="14.25" customHeight="1" s="131"/>
    <row r="893" ht="14.25" customHeight="1" s="131"/>
    <row r="894" ht="14.25" customHeight="1" s="131"/>
    <row r="895" ht="14.25" customHeight="1" s="131"/>
    <row r="896" ht="14.25" customHeight="1" s="131"/>
    <row r="897" ht="14.25" customHeight="1" s="131"/>
    <row r="898" ht="14.25" customHeight="1" s="131"/>
    <row r="899" ht="14.25" customHeight="1" s="131"/>
    <row r="900" ht="14.25" customHeight="1" s="131"/>
    <row r="901" ht="14.25" customHeight="1" s="131"/>
    <row r="902" ht="14.25" customHeight="1" s="131"/>
    <row r="903" ht="14.25" customHeight="1" s="131"/>
    <row r="904" ht="14.25" customHeight="1" s="131"/>
    <row r="905" ht="14.25" customHeight="1" s="131"/>
    <row r="906" ht="14.25" customHeight="1" s="131"/>
    <row r="907" ht="14.25" customHeight="1" s="131"/>
    <row r="908" ht="14.25" customHeight="1" s="131"/>
    <row r="909" ht="14.25" customHeight="1" s="131"/>
    <row r="910" ht="14.25" customHeight="1" s="131"/>
    <row r="911" ht="14.25" customHeight="1" s="131"/>
    <row r="912" ht="14.25" customHeight="1" s="131"/>
    <row r="913" ht="14.25" customHeight="1" s="131"/>
    <row r="914" ht="14.25" customHeight="1" s="131"/>
    <row r="915" ht="14.25" customHeight="1" s="131"/>
    <row r="916" ht="14.25" customHeight="1" s="131"/>
    <row r="917" ht="14.25" customHeight="1" s="131"/>
    <row r="918" ht="14.25" customHeight="1" s="131"/>
    <row r="919" ht="14.25" customHeight="1" s="131"/>
    <row r="920" ht="14.25" customHeight="1" s="131"/>
    <row r="921" ht="14.25" customHeight="1" s="131"/>
    <row r="922" ht="14.25" customHeight="1" s="131"/>
    <row r="923" ht="14.25" customHeight="1" s="131"/>
    <row r="924" ht="14.25" customHeight="1" s="131"/>
    <row r="925" ht="14.25" customHeight="1" s="131"/>
    <row r="926" ht="14.25" customHeight="1" s="131"/>
    <row r="927" ht="14.25" customHeight="1" s="131"/>
    <row r="928" ht="14.25" customHeight="1" s="131"/>
    <row r="929" ht="14.25" customHeight="1" s="131"/>
    <row r="930" ht="14.25" customHeight="1" s="131"/>
    <row r="931" ht="14.25" customHeight="1" s="131"/>
    <row r="932" ht="14.25" customHeight="1" s="131"/>
    <row r="933" ht="14.25" customHeight="1" s="131"/>
    <row r="934" ht="14.25" customHeight="1" s="131"/>
    <row r="935" ht="14.25" customHeight="1" s="131"/>
    <row r="936" ht="14.25" customHeight="1" s="131"/>
    <row r="937" ht="14.25" customHeight="1" s="131"/>
    <row r="938" ht="14.25" customHeight="1" s="131"/>
    <row r="939" ht="14.25" customHeight="1" s="131"/>
    <row r="940" ht="14.25" customHeight="1" s="131"/>
    <row r="941" ht="14.25" customHeight="1" s="131"/>
    <row r="942" ht="14.25" customHeight="1" s="131"/>
    <row r="943" ht="14.25" customHeight="1" s="131"/>
    <row r="944" ht="14.25" customHeight="1" s="131"/>
    <row r="945" ht="14.25" customHeight="1" s="131"/>
    <row r="946" ht="14.25" customHeight="1" s="131"/>
    <row r="947" ht="14.25" customHeight="1" s="131"/>
    <row r="948" ht="14.25" customHeight="1" s="131"/>
    <row r="949" ht="14.25" customHeight="1" s="131"/>
    <row r="950" ht="14.25" customHeight="1" s="131"/>
    <row r="951" ht="14.25" customHeight="1" s="131"/>
    <row r="952" ht="14.25" customHeight="1" s="131"/>
    <row r="953" ht="14.25" customHeight="1" s="131"/>
    <row r="954" ht="14.25" customHeight="1" s="131"/>
    <row r="955" ht="14.25" customHeight="1" s="131"/>
    <row r="956" ht="14.25" customHeight="1" s="131"/>
    <row r="957" ht="14.25" customHeight="1" s="131"/>
    <row r="958" ht="14.25" customHeight="1" s="131"/>
    <row r="959" ht="14.25" customHeight="1" s="131"/>
    <row r="960" ht="14.25" customHeight="1" s="131"/>
    <row r="961" ht="14.25" customHeight="1" s="131"/>
    <row r="962" ht="14.25" customHeight="1" s="131"/>
    <row r="963" ht="14.25" customHeight="1" s="131"/>
    <row r="964" ht="14.25" customHeight="1" s="131"/>
    <row r="965" ht="14.25" customHeight="1" s="131"/>
    <row r="966" ht="14.25" customHeight="1" s="131"/>
    <row r="967" ht="14.25" customHeight="1" s="131"/>
    <row r="968" ht="14.25" customHeight="1" s="131"/>
    <row r="969" ht="14.25" customHeight="1" s="131"/>
    <row r="970" ht="14.25" customHeight="1" s="131"/>
    <row r="971" ht="14.25" customHeight="1" s="131"/>
    <row r="972" ht="14.25" customHeight="1" s="131"/>
    <row r="973" ht="14.25" customHeight="1" s="131"/>
    <row r="974" ht="14.25" customHeight="1" s="131"/>
    <row r="975" ht="14.25" customHeight="1" s="131"/>
    <row r="976" ht="14.25" customHeight="1" s="131"/>
    <row r="977" ht="14.25" customHeight="1" s="131"/>
    <row r="978" ht="14.25" customHeight="1" s="131"/>
    <row r="979" ht="14.25" customHeight="1" s="131"/>
    <row r="980" ht="14.25" customHeight="1" s="131"/>
    <row r="981" ht="14.25" customHeight="1" s="131"/>
    <row r="982" ht="14.25" customHeight="1" s="131"/>
    <row r="983" ht="14.25" customHeight="1" s="131"/>
    <row r="984" ht="14.25" customHeight="1" s="131"/>
    <row r="985" ht="14.25" customHeight="1" s="131"/>
    <row r="986" ht="14.25" customHeight="1" s="131"/>
    <row r="987" ht="14.25" customHeight="1" s="131"/>
    <row r="988" ht="14.25" customHeight="1" s="131"/>
    <row r="989" ht="14.25" customHeight="1" s="131"/>
    <row r="990" ht="14.25" customHeight="1" s="131"/>
    <row r="991" ht="14.25" customHeight="1" s="131"/>
    <row r="992" ht="14.25" customHeight="1" s="131"/>
    <row r="993" ht="14.25" customHeight="1" s="131"/>
    <row r="994" ht="14.25" customHeight="1" s="131"/>
    <row r="995" ht="14.25" customHeight="1" s="131"/>
    <row r="996" ht="14.25" customHeight="1" s="131"/>
    <row r="997" ht="14.25" customHeight="1" s="131"/>
    <row r="998" ht="14.25" customHeight="1" s="131"/>
    <row r="999" ht="14.25" customHeight="1" s="131"/>
    <row r="1000" ht="14.25" customHeight="1" s="131"/>
    <row r="1001" ht="14.25" customHeight="1" s="131"/>
    <row r="1002" ht="14.25" customHeight="1" s="131"/>
    <row r="1003" ht="14.25" customHeight="1" s="131"/>
  </sheetData>
  <mergeCells count="7">
    <mergeCell ref="A30:E30"/>
    <mergeCell ref="A28:C28"/>
    <mergeCell ref="A26:B26"/>
    <mergeCell ref="A12:E12"/>
    <mergeCell ref="A11:C11"/>
    <mergeCell ref="A1:E1"/>
    <mergeCell ref="A3:E3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2026-08-11T09:39:29Z</dcterms:created>
  <dcterms:modified xmlns:dcterms="http://purl.org/dc/terms/" xmlns:xsi="http://www.w3.org/2001/XMLSchema-instance" xsi:type="dcterms:W3CDTF">2026-10-14T08:25:17Z</dcterms:modified>
  <cp:lastModifiedBy>user</cp:lastModifiedBy>
</cp:coreProperties>
</file>