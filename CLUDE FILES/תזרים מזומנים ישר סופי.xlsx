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חוב תאגידים" sheetId="1" state="visible" r:id="rId3"/>
    <sheet name="תזרים יולי 2026" sheetId="2" state="visible" r:id="rId4"/>
    <sheet name="תזרים אוגוסט 2026" sheetId="3" state="visible" r:id="rId5"/>
    <sheet name="תזרים ספטמבר 2026" sheetId="4" state="visible" r:id="rId6"/>
    <sheet name="תזרים אוקטובר 2026" sheetId="5" state="visible" r:id="rId7"/>
    <sheet name="ממתינים לתשלום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<sst xmlns="http://schemas.openxmlformats.org/spreadsheetml/2006/main" count="1757" uniqueCount="693">
  <si>
    <t xml:space="preserve">חוב לתאגידי כוח אדם  |  ישר שירותי קרקע לקבלן ולפועל בע"מ  |  ינואר–ספטמבר 2026</t>
  </si>
  <si>
    <t xml:space="preserve">כל הסכומים כוללים מע"מ 18%</t>
  </si>
  <si>
    <t xml:space="preserve">פוגין אינטרנשיונל בע"מ   |   מועד תשלום: ה-25 לחודש</t>
  </si>
  <si>
    <t xml:space="preserve">חודש עבודה</t>
  </si>
  <si>
    <t xml:space="preserve">מס׳ חשבונית</t>
  </si>
  <si>
    <t xml:space="preserve">תאריך</t>
  </si>
  <si>
    <t xml:space="preserve">גולמי (₪)</t>
  </si>
  <si>
    <t xml:space="preserve">שולם (₪)</t>
  </si>
  <si>
    <t xml:space="preserve">יתרה (₪)</t>
  </si>
  <si>
    <t xml:space="preserve">תאריך תשלום</t>
  </si>
  <si>
    <t xml:space="preserve">ינואר</t>
  </si>
  <si>
    <t xml:space="preserve">01/000699</t>
  </si>
  <si>
    <t xml:space="preserve">30/01/2026</t>
  </si>
  <si>
    <t xml:space="preserve">22/02 ✅</t>
  </si>
  <si>
    <t xml:space="preserve">פברואר</t>
  </si>
  <si>
    <t xml:space="preserve">01/000735</t>
  </si>
  <si>
    <t xml:space="preserve">27/02/2026</t>
  </si>
  <si>
    <t xml:space="preserve">22/03 ✅</t>
  </si>
  <si>
    <t xml:space="preserve">מרץ</t>
  </si>
  <si>
    <t xml:space="preserve">01/000749</t>
  </si>
  <si>
    <t xml:space="preserve">31/03/2026</t>
  </si>
  <si>
    <t xml:space="preserve">08/05 ✅</t>
  </si>
  <si>
    <t xml:space="preserve">אפריל</t>
  </si>
  <si>
    <t xml:space="preserve">01/000781</t>
  </si>
  <si>
    <t xml:space="preserve">30/04/2026</t>
  </si>
  <si>
    <t xml:space="preserve">22/06 ✅</t>
  </si>
  <si>
    <t xml:space="preserve">מאי</t>
  </si>
  <si>
    <t xml:space="preserve">01/000810</t>
  </si>
  <si>
    <t xml:space="preserve">31/05/2026</t>
  </si>
  <si>
    <t xml:space="preserve">29/06 ✅</t>
  </si>
  <si>
    <t xml:space="preserve">יוני</t>
  </si>
  <si>
    <t xml:space="preserve">01/000835</t>
  </si>
  <si>
    <t xml:space="preserve">30/06/2026</t>
  </si>
  <si>
    <t xml:space="preserve">20/07 ✅</t>
  </si>
  <si>
    <t xml:space="preserve">יולי</t>
  </si>
  <si>
    <t xml:space="preserve">01/000876</t>
  </si>
  <si>
    <t xml:space="preserve">31/07/2026</t>
  </si>
  <si>
    <t xml:space="preserve">20/08 ✅ שולם</t>
  </si>
  <si>
    <t xml:space="preserve">אוגוסט</t>
  </si>
  <si>
    <t xml:space="preserve">01/000905</t>
  </si>
  <si>
    <t xml:space="preserve">31/08/2026</t>
  </si>
  <si>
    <t xml:space="preserve">22/09 ✅ שולם 25,965 (פער 0.90 ₪ עיגול)</t>
  </si>
  <si>
    <t xml:space="preserve">ספטמבר</t>
  </si>
  <si>
    <t xml:space="preserve">01/000938</t>
  </si>
  <si>
    <t xml:space="preserve">⏳ לתשלום ב-25/10/2026 (15,477 + מע"מ 2,785.87; עובדים אוזביקים)</t>
  </si>
  <si>
    <t xml:space="preserve">סה״כ</t>
  </si>
  <si>
    <t xml:space="preserve">אחים לימור עובדים זרים לבניין בע"מ</t>
  </si>
  <si>
    <t xml:space="preserve">690</t>
  </si>
  <si>
    <t xml:space="preserve">31/01/2026</t>
  </si>
  <si>
    <t xml:space="preserve">✅ שולם</t>
  </si>
  <si>
    <t xml:space="preserve">725</t>
  </si>
  <si>
    <t xml:space="preserve">28/02/2026</t>
  </si>
  <si>
    <t xml:space="preserve">783</t>
  </si>
  <si>
    <t xml:space="preserve">801</t>
  </si>
  <si>
    <t xml:space="preserve">874</t>
  </si>
  <si>
    <t xml:space="preserve">908</t>
  </si>
  <si>
    <t xml:space="preserve">21/07 ✅</t>
  </si>
  <si>
    <t xml:space="preserve">956</t>
  </si>
  <si>
    <t xml:space="preserve">25/08 חלקי 40,000 + 09/09 יתרה 169,845.30 ✅ שולם במלואו</t>
  </si>
  <si>
    <t xml:space="preserve">חשבונית אוגוסט</t>
  </si>
  <si>
    <t xml:space="preserve">22/09 ✅ שולם במלואו (חן עסקה 8020)</t>
  </si>
  <si>
    <t xml:space="preserve">חשבון עסקה 8052</t>
  </si>
  <si>
    <t xml:space="preserve">⏳ ממתין לתשלום - 1,305.5 שעות × 70 ₪ + מע"מ (גרייטדור 985.5 + ברגשטיין 320)</t>
  </si>
  <si>
    <t xml:space="preserve">פאנג שירותי כח אדם בע"מ</t>
  </si>
  <si>
    <t xml:space="preserve">01/002624</t>
  </si>
  <si>
    <t xml:space="preserve">18/06/2026</t>
  </si>
  <si>
    <t xml:space="preserve">25/08 ✅ שולם במלואו (צ'ק 5000344)</t>
  </si>
  <si>
    <t xml:space="preserve">01/002663</t>
  </si>
  <si>
    <t xml:space="preserve">12/07/2026</t>
  </si>
  <si>
    <t xml:space="preserve">צ׳ק 5000345 · 125,000 ₪ ✅ ירד 24/09  +  צ׳ק 5000346 · 125,000 ₪ ב-25/10  |  ⚠️ היתרה 125,000 לא כלולה בסה"כ - נכנסת באוקטובר</t>
  </si>
  <si>
    <t xml:space="preserve">01/002702</t>
  </si>
  <si>
    <t xml:space="preserve">09/08/2026</t>
  </si>
  <si>
    <t xml:space="preserve">18/08 ✅ שולם</t>
  </si>
  <si>
    <t xml:space="preserve">01/002721</t>
  </si>
  <si>
    <t xml:space="preserve">07/09/2026</t>
  </si>
  <si>
    <t xml:space="preserve">07/10 שולם 230,000 ₪ (העברה) · נותרו 208,316.30 · צ׳קים דחויים: 5000286 · 69,438 ב-26/11/2026 | 5000287 · 69,438 ב-26/12/2026 | 5000288 · 69,438 ב-26/01/2027 (סה"כ 208,314; פער 2.30 ₪ מול היתרה)</t>
  </si>
  <si>
    <t xml:space="preserve">פסגת ליאם כח אדם בע"מ</t>
  </si>
  <si>
    <t xml:space="preserve">50116</t>
  </si>
  <si>
    <t xml:space="preserve">05/08/2026 ✅</t>
  </si>
  <si>
    <t xml:space="preserve">04/09 ✅ שולם במלואו</t>
  </si>
  <si>
    <t xml:space="preserve">06/10 ✅ שולם במלואו (חן 50156)</t>
  </si>
  <si>
    <t xml:space="preserve">עוצמת התמרון בע"מ   |   מועד תשלום: ה-15 לחודש</t>
  </si>
  <si>
    <t xml:space="preserve">SI266000108</t>
  </si>
  <si>
    <t xml:space="preserve">17/08 ✅ - שולם בניכוי 3%</t>
  </si>
  <si>
    <t xml:space="preserve">סה"כ</t>
  </si>
  <si>
    <t xml:space="preserve">פניני התכלת   |   מועד תשלום: ה-20 לחודש</t>
  </si>
  <si>
    <t xml:space="preserve">19/08 ✅ שולם (ניכוי 2%, נטו 69,822.72)</t>
  </si>
  <si>
    <t xml:space="preserve">22/09 ✅ שולם (ניכוי במקור 2% 1,594.80, נטו 92,498.40)</t>
  </si>
  <si>
    <t xml:space="preserve">BMG Human Resources and Placement  |  ח.פ. 516886835</t>
  </si>
  <si>
    <t xml:space="preserve">03/04 חלקי</t>
  </si>
  <si>
    <t xml:space="preserve">20/05 ✅</t>
  </si>
  <si>
    <t xml:space="preserve">13/07 חלקי</t>
  </si>
  <si>
    <t xml:space="preserve">30/06 ✅</t>
  </si>
  <si>
    <t xml:space="preserve">31/07 חלקי + 10/08 השלמה ✅</t>
  </si>
  <si>
    <t xml:space="preserve">30/07/2026</t>
  </si>
  <si>
    <t xml:space="preserve">30/08/2026</t>
  </si>
  <si>
    <t xml:space="preserve">05/10 ✅ שולם במלואו (חן 4076) - 69,702.01 ₪</t>
  </si>
  <si>
    <t xml:space="preserve">⚠️ רק פברואר+אפריל לא נכללים בסה"כ למטה (ממתין לכרטסת) - יולי מעודכן ונכלל</t>
  </si>
  <si>
    <t xml:space="preserve">שי-לי כח אדם בע"מ  |  ע.מ. 515379725   |   מועד תשלום: ה-25 לחודש</t>
  </si>
  <si>
    <t xml:space="preserve">26/08 ⏳ שולם, טרם סופי</t>
  </si>
  <si>
    <t xml:space="preserve">24/09 ✅ שולם במלואו (חן 230703)</t>
  </si>
  <si>
    <t xml:space="preserve">⏳ לתשלום ב-25/10/2026 (532 שעות × 71 ₪ + מע"מ; אתר הקליר 10, ירושלים)</t>
  </si>
  <si>
    <t xml:space="preserve">ד.יוחאי בע"מ  |  עוסק מורשה 516890944   |   מועד תשלום: ה-20 לחודש</t>
  </si>
  <si>
    <t xml:space="preserve">IN264000106</t>
  </si>
  <si>
    <t xml:space="preserve">22/09 ✅ שולם במלואו</t>
  </si>
  <si>
    <t xml:space="preserve">IN264000117</t>
  </si>
  <si>
    <t xml:space="preserve">⏳ לתשלום ב-20/10/2026 · 321.05 שעות ספטמבר + 96 שעות השלמה לתקן = 417.05 × 72 ₪ = 30,027.60 + מע"מ 5,404.97</t>
  </si>
  <si>
    <t xml:space="preserve">שרף (ד.י שרף השקעות)   |   ירון 054-6477110   |   ✅ שולם 09/09/2026 - החשבונית עצמה טרם התקבלה</t>
  </si>
  <si>
    <t xml:space="preserve">ממתין לקבלת חשבונית</t>
  </si>
  <si>
    <t xml:space="preserve">✅ שולם 09/09/2026 בהעברה דיגיטלית - 75,065 ₪ (סכום מאומת מול הבנק, לא אומדן). עדיין יש לקבל את מסמך החשבונית עצמו מהתאגיד</t>
  </si>
  <si>
    <t xml:space="preserve">ג.ד. קלמרה הנדסה ובנייה בע"מ   |   ח.פ. 516489689</t>
  </si>
  <si>
    <t xml:space="preserve">14/09/2026</t>
  </si>
  <si>
    <t xml:space="preserve">22/09 ✅ שולם</t>
  </si>
  <si>
    <t xml:space="preserve">💰  סך חוב פתוח לכל התאגידים   (✱ לא כולל BMG פברואר+אפריל | לא כולל פאנג יוני 125,000 - צ׳ק 5000346 ב-25/10)</t>
  </si>
  <si>
    <t xml:space="preserve">✱ יתרת פאנג יוני: צ׳ק 24/09/2026 ירד ✅ · נותר צ׳ק 25/10/2026</t>
  </si>
  <si>
    <t xml:space="preserve">✅ כל חשבוניות אוגוסט התקבלו. שולמו: פסגת ליאם, שרף (09/09), פניני התכלת, ד.יוחאי, אחים לימור, ג.ד קלמרה, פוגין (22/09), שי-לי (24/09), BMG (05/10). נותרה לתשלום: פאנג. ✅ פסגת ליאם ספטמבר (50156) שולם 06/10 - 12,685.71 ₪. שרף - עדיין ממתין למסמך החשבונית עצמו. ⏳ פוגין ספטמבר (01/000938) - 18,262.90 ₪ לתשלום 25/10. ⏳ שי-לי ספטמבר (230747) - 44,571 ₪ לתשלום 25/10. ⏳ אחים לימור ספטמבר (חשבון עסקה 8052) - 107,834.30 ₪.</t>
  </si>
  <si>
    <t xml:space="preserve">מועדי תשלום קבועים לתאגידים: עוצמת התמרון - ה-15 לחודש · פניני התכלת - ה-20 לחודש · יוחאי - ה-20 לחודש · שי-לי - ה-25 לחודש · פוגין - ה-25 לחודש</t>
  </si>
  <si>
    <t xml:space="preserve">תזרים מזומנים – יולי 2026  |  ישר שירותי קרקע לקבלן ולפועל בע"מ</t>
  </si>
  <si>
    <t xml:space="preserve">יתרת פתיחה – 01/07/2026</t>
  </si>
  <si>
    <t xml:space="preserve">תיאור</t>
  </si>
  <si>
    <t xml:space="preserve">הכנסה (₪)</t>
  </si>
  <si>
    <t xml:space="preserve">הוצאה (₪)</t>
  </si>
  <si>
    <t xml:space="preserve">הערות</t>
  </si>
  <si>
    <t xml:space="preserve">סוג</t>
  </si>
  <si>
    <t xml:space="preserve">01/07/2026</t>
  </si>
  <si>
    <t xml:space="preserve">עמלת הקצאת אשראי</t>
  </si>
  <si>
    <t xml:space="preserve">עמלות בנק/אשראי</t>
  </si>
  <si>
    <t xml:space="preserve">📤 הוצאה</t>
  </si>
  <si>
    <t xml:space="preserve">שהנאו ייזום</t>
  </si>
  <si>
    <t xml:space="preserve">הוצאה תפעולית-שכירות משרד</t>
  </si>
  <si>
    <t xml:space="preserve">🔁 קבוע</t>
  </si>
  <si>
    <t xml:space="preserve">עמלת ערוץ ישיר</t>
  </si>
  <si>
    <t xml:space="preserve">02/07/2026</t>
  </si>
  <si>
    <t xml:space="preserve">מקס איט פיננסים</t>
  </si>
  <si>
    <t xml:space="preserve">לאומי ויזה</t>
  </si>
  <si>
    <t xml:space="preserve">דיינרס קלאב</t>
  </si>
  <si>
    <t xml:space="preserve">יהודה פריימן - מזוזה</t>
  </si>
  <si>
    <t xml:space="preserve">אחר-יהודה פריימן (מזוזה)</t>
  </si>
  <si>
    <t xml:space="preserve">מטה ופתילים - העברה בין חברות</t>
  </si>
  <si>
    <t xml:space="preserve">פנימי-מטה ופתילים</t>
  </si>
  <si>
    <t xml:space="preserve">✅ הכנסה</t>
  </si>
  <si>
    <t xml:space="preserve">חיים קוט - תשלום שכירות חודש 07</t>
  </si>
  <si>
    <t xml:space="preserve">הוצאת שכירות-קריית גת</t>
  </si>
  <si>
    <t xml:space="preserve">05/07/2026</t>
  </si>
  <si>
    <t xml:space="preserve">06/07/2026</t>
  </si>
  <si>
    <t xml:space="preserve">מ. רוטנברג - צ'ק</t>
  </si>
  <si>
    <t xml:space="preserve">אחר-מ. רוטנברג שילם</t>
  </si>
  <si>
    <t xml:space="preserve">07/07/2026</t>
  </si>
  <si>
    <t xml:space="preserve">מטה ופתילים</t>
  </si>
  <si>
    <t xml:space="preserve">08/07/2026</t>
  </si>
  <si>
    <t xml:space="preserve">מ. רוטנברג</t>
  </si>
  <si>
    <t xml:space="preserve">הכנסת לקוח-רוטנברג</t>
  </si>
  <si>
    <t xml:space="preserve">09/07/2026</t>
  </si>
  <si>
    <t xml:space="preserve">האחים ישראל</t>
  </si>
  <si>
    <t xml:space="preserve">הוצאת שכירות-רבי חייא (בעה"ב)</t>
  </si>
  <si>
    <t xml:space="preserve">10/07/2026</t>
  </si>
  <si>
    <t xml:space="preserve">עיריית ירושלים</t>
  </si>
  <si>
    <t xml:space="preserve">ארנונה</t>
  </si>
  <si>
    <t xml:space="preserve">ארנונה-קארו 7</t>
  </si>
  <si>
    <t xml:space="preserve">אסתר נאסה</t>
  </si>
  <si>
    <t xml:space="preserve">אחר-אסתר נאסה</t>
  </si>
  <si>
    <t xml:space="preserve">נמשך מכרטיס 2998 במכשיר מזרחי סניף 517 תלפיות</t>
  </si>
  <si>
    <t xml:space="preserve">אחר-משיכת מזומן</t>
  </si>
  <si>
    <t xml:space="preserve">איבריקה אינטרנשיונל - חודש 6.26</t>
  </si>
  <si>
    <t xml:space="preserve">הכנסת לקוח-איבריקה (שירותי קרקע, עבור יוני)</t>
  </si>
  <si>
    <t xml:space="preserve">ב.ש ברגשטיין מקבוצת - פרויקט הקליר</t>
  </si>
  <si>
    <t xml:space="preserve">הכנסת לקוח-ברגשטיין</t>
  </si>
  <si>
    <t xml:space="preserve">העברת משכורת</t>
  </si>
  <si>
    <t xml:space="preserve">משכורות</t>
  </si>
  <si>
    <t xml:space="preserve">אלנרסי תפעול - חן 40045 תשלום רבי חייא יולי</t>
  </si>
  <si>
    <t xml:space="preserve">הכנסת לקוח-אלנרסי (שירותי קרקע-רבי חייא)</t>
  </si>
  <si>
    <t xml:space="preserve">ש.ח.ן. כרמלי - עובדים יוני26 חן עסקה 40062</t>
  </si>
  <si>
    <t xml:space="preserve">הכנסת לקוח-שחן כרמלי (עבור יוני)</t>
  </si>
  <si>
    <t xml:space="preserve">רמא - ר.מ.ט - חן עסקה 40049</t>
  </si>
  <si>
    <t xml:space="preserve">הכנסת לקוח-רמא</t>
  </si>
  <si>
    <t xml:space="preserve">13/07/2026</t>
  </si>
  <si>
    <t xml:space="preserve">ש מינסקי יזמות</t>
  </si>
  <si>
    <t xml:space="preserve">אחר-ש מינסקי יזמות</t>
  </si>
  <si>
    <t xml:space="preserve">בי אם גי כוח אדם</t>
  </si>
  <si>
    <t xml:space="preserve">COGS-תאגיד</t>
  </si>
  <si>
    <t xml:space="preserve">י צ נכסים - שכירות קורצאק</t>
  </si>
  <si>
    <t xml:space="preserve">הוצאת שכירות-קורצאק</t>
  </si>
  <si>
    <t xml:space="preserve">י צ נכסים - שכירות בית צפאפא</t>
  </si>
  <si>
    <t xml:space="preserve">הוצאת שכירות-בית צפאפא</t>
  </si>
  <si>
    <t xml:space="preserve">שמואל מינסקי - החזר הלוואת בעלים</t>
  </si>
  <si>
    <t xml:space="preserve">משיכת בעלים</t>
  </si>
  <si>
    <t xml:space="preserve">מייזלר יוחנן - תשלום חן 200023 ניכוי 5%</t>
  </si>
  <si>
    <t xml:space="preserve">אחר-מייזלר יוחנן - תשלום חן 200023 ניכוי 5%</t>
  </si>
  <si>
    <t xml:space="preserve">14/07/2026</t>
  </si>
  <si>
    <t xml:space="preserve">ריבית לפקדון</t>
  </si>
  <si>
    <t xml:space="preserve">ריבית פיקדון</t>
  </si>
  <si>
    <t xml:space="preserve">פרעון פקדון</t>
  </si>
  <si>
    <t xml:space="preserve">פיקדון</t>
  </si>
  <si>
    <t xml:space="preserve">פדיום מקוזז</t>
  </si>
  <si>
    <t xml:space="preserve">נטליה הודיה - תשלום</t>
  </si>
  <si>
    <t xml:space="preserve">הכנסת לקוח-נטליה הודיה (לא שילמה מע"מ - לזכור לחייב)</t>
  </si>
  <si>
    <t xml:space="preserve">שישא גבריאל - שכירות קארו 7</t>
  </si>
  <si>
    <t xml:space="preserve">הוצאת שכירות-קארו 7</t>
  </si>
  <si>
    <t xml:space="preserve">תומא וסאם - הלנת עובדים מלון בית חנינא</t>
  </si>
  <si>
    <t xml:space="preserve">הוצאת שכירות-בית חנינה</t>
  </si>
  <si>
    <t xml:space="preserve">הינדי טייטלבוים - שכירות קארו 3</t>
  </si>
  <si>
    <t xml:space="preserve">הוצאת שכירות-קארו 3</t>
  </si>
  <si>
    <t xml:space="preserve">שלום קבאסה - שכירות אשקלון</t>
  </si>
  <si>
    <t xml:space="preserve">הוצאת שכירות-אשקלון</t>
  </si>
  <si>
    <t xml:space="preserve">זאב זלץ - שכירות קארו 11</t>
  </si>
  <si>
    <t xml:space="preserve">הוצאת שכירות-קארו 11</t>
  </si>
  <si>
    <t xml:space="preserve">שמואל מינסקי - החזר הלוואת בעלות</t>
  </si>
  <si>
    <t xml:space="preserve">רחל מסטשי - שכירות אסירי ציון</t>
  </si>
  <si>
    <t xml:space="preserve">הוצאת שכירות-אסירי ציון</t>
  </si>
  <si>
    <t xml:space="preserve">15/07/2026</t>
  </si>
  <si>
    <t xml:space="preserve">לאומי מאסטרקרד</t>
  </si>
  <si>
    <t xml:space="preserve">שבט בנימין בעמ - חש 50348 349</t>
  </si>
  <si>
    <t xml:space="preserve">הכנסת לקוח-שבט בנימין</t>
  </si>
  <si>
    <t xml:space="preserve">אלי שי בן-חי - עח עסקה 40052</t>
  </si>
  <si>
    <t xml:space="preserve">הכנסת לקוח-אלי אביאלי</t>
  </si>
  <si>
    <t xml:space="preserve">16/07/2026</t>
  </si>
  <si>
    <t xml:space="preserve">קידוח וחיזוק הצפון - שירותי כוח אדם לפאיז</t>
  </si>
  <si>
    <t xml:space="preserve">הכנסת לקוח-נריה קידוח הצפון</t>
  </si>
  <si>
    <t xml:space="preserve">אלי שי בן-חי - יתרת חן 40052</t>
  </si>
  <si>
    <t xml:space="preserve">17/07/2026</t>
  </si>
  <si>
    <t xml:space="preserve">מצודת השלום - צ'ק</t>
  </si>
  <si>
    <t xml:space="preserve">הכנסת לקוח-אחמד מצודת השלום</t>
  </si>
  <si>
    <t xml:space="preserve">19/07/2026</t>
  </si>
  <si>
    <t xml:space="preserve">רו"ח יוסי טובול</t>
  </si>
  <si>
    <t xml:space="preserve">הוצאה תפעולית-רואה חשבון</t>
  </si>
  <si>
    <t xml:space="preserve">20/07/2026</t>
  </si>
  <si>
    <t xml:space="preserve">אופיר חנון ONE ZERO</t>
  </si>
  <si>
    <t xml:space="preserve">הכנסת לקוח-אופיר חנון/קבלן</t>
  </si>
  <si>
    <t xml:space="preserve">פרעון הלוואה</t>
  </si>
  <si>
    <t xml:space="preserve">החזר הלוואה עסקית</t>
  </si>
  <si>
    <t xml:space="preserve">חברת החשמל</t>
  </si>
  <si>
    <t xml:space="preserve">קבועה - חשבון חשמל חודשי</t>
  </si>
  <si>
    <t xml:space="preserve">פוגין אינטרנשיונל</t>
  </si>
  <si>
    <t xml:space="preserve">הוצאה מאושרת-פוגין אינטרנשיונל (מאושר לתשלום - שמואל אישר)</t>
  </si>
  <si>
    <t xml:space="preserve">21/07/2026</t>
  </si>
  <si>
    <t xml:space="preserve">אחים לימור</t>
  </si>
  <si>
    <t xml:space="preserve">הוצאה מאושרת-אחים לימור (מאושר לתשלום - שמואל אישר)</t>
  </si>
  <si>
    <t xml:space="preserve">22/07/2026</t>
  </si>
  <si>
    <t xml:space="preserve">אופל בלאנס (2006) - ניכיון שיק</t>
  </si>
  <si>
    <t xml:space="preserve">מימון-ניכיון שיק</t>
  </si>
  <si>
    <t xml:space="preserve">26/07/2026</t>
  </si>
  <si>
    <t xml:space="preserve">פאנג שירותי כח - שיק 5000343</t>
  </si>
  <si>
    <t xml:space="preserve">COGS-ספק אחר (פאנג) - על חשבון חשבונית מאי</t>
  </si>
  <si>
    <t xml:space="preserve">27/07/2026</t>
  </si>
  <si>
    <t xml:space="preserve">פאנג שירותי כח - תשלום חלקי חשבונית 2663</t>
  </si>
  <si>
    <t xml:space="preserve">COGS-ספק אחר (פאנג)</t>
  </si>
  <si>
    <t xml:space="preserve">28/07/2026</t>
  </si>
  <si>
    <t xml:space="preserve">29/07/2026</t>
  </si>
  <si>
    <t xml:space="preserve">הח.ע.עסקי</t>
  </si>
  <si>
    <t xml:space="preserve">אחר-בנק</t>
  </si>
  <si>
    <t xml:space="preserve">מס הכנסה ניכוי</t>
  </si>
  <si>
    <t xml:space="preserve">מסים-ניכוי מס הכנסה</t>
  </si>
  <si>
    <t xml:space="preserve">Ofir Hanoon</t>
  </si>
  <si>
    <t xml:space="preserve">פאנג שירותי כח - תשלום 2 מחשבונית יוני 26</t>
  </si>
  <si>
    <t xml:space="preserve">מע"מ</t>
  </si>
  <si>
    <t xml:space="preserve">מסים-מעמ</t>
  </si>
  <si>
    <t xml:space="preserve">בי אם גי כוח אדם - תשלום חלקי חשבונית עסקה 3000</t>
  </si>
  <si>
    <t xml:space="preserve">יתרת סגירה – 31/07/2026</t>
  </si>
  <si>
    <t xml:space="preserve">✱ 🔁 = הוצאה קבועה חוזרת  |  יתרת הסגירה מהווה את יתרת הפתיחה של אוגוסט 2026</t>
  </si>
  <si>
    <t xml:space="preserve">✅ כל הנתונים ליולי (01.07-31.07.2026) מאומתים במלואם מול דו"ח בנק לאומי המלא - הקטע הפנימי-הלא-מאומת הוחלף ב-13.08.2026, הפער של 94,567.57 נסגר</t>
  </si>
  <si>
    <t xml:space="preserve">תזרים מזומנים – אוגוסט 2026  |  ישר שירותי קרקע לקבלן ולפועל בע"מ</t>
  </si>
  <si>
    <t xml:space="preserve">יתרת פתיחה – 01/08/2026</t>
  </si>
  <si>
    <t xml:space="preserve">שייך להוצאות החודש?</t>
  </si>
  <si>
    <t xml:space="preserve">02/08/2026</t>
  </si>
  <si>
    <t xml:space="preserve">משיכת מזומן</t>
  </si>
  <si>
    <t xml:space="preserve">כרטיס 7327 – סניף 797</t>
  </si>
  <si>
    <t xml:space="preserve">קבועה</t>
  </si>
  <si>
    <t xml:space="preserve">כן</t>
  </si>
  <si>
    <t xml:space="preserve">דיינרס קלאב – כרטיס אשראי</t>
  </si>
  <si>
    <t xml:space="preserve">לאומי ויזה – כרטיס אשראי</t>
  </si>
  <si>
    <t xml:space="preserve">מקס איט פיננסי – כרטיס אשראי</t>
  </si>
  <si>
    <t xml:space="preserve">שהנאז ייזום</t>
  </si>
  <si>
    <t xml:space="preserve">03/08/2026</t>
  </si>
  <si>
    <t xml:space="preserve">המרת מט״ח – 760 דולר</t>
  </si>
  <si>
    <t xml:space="preserve">שע״ח 3.0285 בניכוי עמלה 17.61</t>
  </si>
  <si>
    <t xml:space="preserve">אחים לימור (בנק מזרחי)</t>
  </si>
  <si>
    <t xml:space="preserve">חן 50535 – שכירות עד אוגוסט + ארנונה</t>
  </si>
  <si>
    <t xml:space="preserve">04/08/2026</t>
  </si>
  <si>
    <t xml:space="preserve">ביטוח לאומי</t>
  </si>
  <si>
    <t xml:space="preserve">אליעזר הקר אלומיניום (בנק מזרחי)</t>
  </si>
  <si>
    <t xml:space="preserve">תשלום חודש יולי</t>
  </si>
  <si>
    <t xml:space="preserve">גרייטדור תעשיות</t>
  </si>
  <si>
    <t xml:space="preserve">עבור פועלים</t>
  </si>
  <si>
    <t xml:space="preserve">05/08/2026</t>
  </si>
  <si>
    <t xml:space="preserve">מ. רוטנברג – העברה/הפקדה</t>
  </si>
  <si>
    <t xml:space="preserve">אלי שי בן-חיים</t>
  </si>
  <si>
    <t xml:space="preserve">האחים ישראל – שכירות רבי חייא</t>
  </si>
  <si>
    <t xml:space="preserve">פסגת ליאם כ״א בע״מ</t>
  </si>
  <si>
    <t xml:space="preserve">חשבונית 50116 – יולי</t>
  </si>
  <si>
    <t xml:space="preserve">חיים קוט – שכירות קרית גת</t>
  </si>
  <si>
    <t xml:space="preserve">06/08/2026</t>
  </si>
  <si>
    <t xml:space="preserve">ב.ש ברגשטיין מקבוצת הקליר (מזרחי)</t>
  </si>
  <si>
    <t xml:space="preserve">פ. הקליר</t>
  </si>
  <si>
    <t xml:space="preserve">אופיר חנון – העברת זה״ב</t>
  </si>
  <si>
    <t xml:space="preserve">שי-רם חברה</t>
  </si>
  <si>
    <t xml:space="preserve">חשבון עסקה 40072 – חיוב 07/26</t>
  </si>
  <si>
    <t xml:space="preserve">אלגרסי תפעול</t>
  </si>
  <si>
    <t xml:space="preserve">חשבונית 40065</t>
  </si>
  <si>
    <t xml:space="preserve">ש.ח.ן. כרמלי</t>
  </si>
  <si>
    <t xml:space="preserve">חשבונית 50355 – עובדים 07/26</t>
  </si>
  <si>
    <t xml:space="preserve">רמא – ר.מ. טכנולוגיות</t>
  </si>
  <si>
    <t xml:space="preserve">העברה ברשימה</t>
  </si>
  <si>
    <t xml:space="preserve">10/08/2026</t>
  </si>
  <si>
    <t xml:space="preserve">ארנונה – עיריית ירושלים</t>
  </si>
  <si>
    <t xml:space="preserve">קבועה | 6 חיובים נפרדים</t>
  </si>
  <si>
    <t xml:space="preserve">איבריקה אינטרנשיונל (בנק הפועלים)</t>
  </si>
  <si>
    <t xml:space="preserve">חודש 07/26</t>
  </si>
  <si>
    <t xml:space="preserve">ר. שאלתיאל – שיק 5000284</t>
  </si>
  <si>
    <t xml:space="preserve">קשור למטה ופתילים</t>
  </si>
  <si>
    <t xml:space="preserve">לא</t>
  </si>
  <si>
    <t xml:space="preserve">BMG – בי אם ג׳י כוח אדם</t>
  </si>
  <si>
    <t xml:space="preserve">השלמת חשבונית 3000 – יוני ✅</t>
  </si>
  <si>
    <t xml:space="preserve">שלמה מינסקי – תשלום דלק</t>
  </si>
  <si>
    <t xml:space="preserve">חשבונית 18205</t>
  </si>
  <si>
    <t xml:space="preserve">י. צדיק נכסים – שכירות קורצאק</t>
  </si>
  <si>
    <t xml:space="preserve">י. צדיק נכסים – שכירות בית צפאפא</t>
  </si>
  <si>
    <t xml:space="preserve">12/08/2026</t>
  </si>
  <si>
    <t xml:space="preserve">שטיינברוך אברהם (בנק דיסקונט)</t>
  </si>
  <si>
    <t xml:space="preserve">קנה מאיתנו מזרון</t>
  </si>
  <si>
    <t xml:space="preserve">13/08/2026</t>
  </si>
  <si>
    <t xml:space="preserve">פדיון פיקדון פנימי - הכסף חזר מיד (ראה שורות הבאות) - לא נספר כהוצאה</t>
  </si>
  <si>
    <t xml:space="preserve">14/08/2026</t>
  </si>
  <si>
    <t xml:space="preserve">רחל מסטשי – שכירות אסירי ציון</t>
  </si>
  <si>
    <t xml:space="preserve">תומא וסאם – שכירות בית חנינא</t>
  </si>
  <si>
    <t xml:space="preserve">שישא גבריאל – שכירות קארו 7</t>
  </si>
  <si>
    <t xml:space="preserve">שלום קבאסה – שכירות אשקלון</t>
  </si>
  <si>
    <t xml:space="preserve">זאב זלץ – שכירות קארו 11</t>
  </si>
  <si>
    <t xml:space="preserve">הינדי טייטלבוים – שכירות קארו 3</t>
  </si>
  <si>
    <t xml:space="preserve">16/08/2026</t>
  </si>
  <si>
    <t xml:space="preserve">לאומי מאסטרקרד – כרטיס אשראי</t>
  </si>
  <si>
    <t xml:space="preserve">ש מינסקי יזמות – תשלום עבור חשבונית</t>
  </si>
  <si>
    <t xml:space="preserve">17/08/2026</t>
  </si>
  <si>
    <t xml:space="preserve">ש קרליץ בניה בע"מ – פירעון חוב ישן</t>
  </si>
  <si>
    <t xml:space="preserve">לקוח ישן ששילם חוב</t>
  </si>
  <si>
    <t xml:space="preserve">מצודת השלום בע"מ – חשבונית עסקה 467</t>
  </si>
  <si>
    <t xml:space="preserve">שבט בנימין בע"מ – חש 357 וחש 356</t>
  </si>
  <si>
    <t xml:space="preserve">קידוח וחיזוק הצפון – שירותי כוח אדם</t>
  </si>
  <si>
    <t xml:space="preserve">✅ שולם במלואו</t>
  </si>
  <si>
    <t xml:space="preserve">עוצמת התמרון – סגירת חשבונית SI266000108 (בניכוי 3%)</t>
  </si>
  <si>
    <t xml:space="preserve">18/08/2026</t>
  </si>
  <si>
    <t xml:space="preserve">תשלום לעובד שעבד לסחוב מיטות מקורצאק לבית חנינא</t>
  </si>
  <si>
    <t xml:space="preserve">שלמה מינסקי – העברה עבור עובדים זרים</t>
  </si>
  <si>
    <t xml:space="preserve">פאנג שירותי כח אדם – סילוק חשבונית יולי 01/002702</t>
  </si>
  <si>
    <t xml:space="preserve">עמלת בנק (עמ. גל"י לבנקים)</t>
  </si>
  <si>
    <t xml:space="preserve">עמלה קטנה</t>
  </si>
  <si>
    <t xml:space="preserve">ש קרליץ בניה בע"מ – החזר יתרת תשלום ביתר</t>
  </si>
  <si>
    <t xml:space="preserve">19/08/2026</t>
  </si>
  <si>
    <t xml:space="preserve">אופל בלאנס – ניכיון שיק</t>
  </si>
  <si>
    <t xml:space="preserve">✅ מקדמה על צ'ק גרייטדור (110,000) - ניכיון חלקי, יתרה 60,000 בחודש הבא</t>
  </si>
  <si>
    <t xml:space="preserve">אופיר חנון – תשלום על חשבון</t>
  </si>
  <si>
    <t xml:space="preserve">ג.ד קלאמרה – חשבונית 20005</t>
  </si>
  <si>
    <t xml:space="preserve">פניני התכלת – סילוק חשבונית 90088 (ניכוי 2%)</t>
  </si>
  <si>
    <t xml:space="preserve">נטו אחרי ניכוי מס במקור</t>
  </si>
  <si>
    <t xml:space="preserve">ש</t>
  </si>
  <si>
    <t xml:space="preserve">20/08/2026</t>
  </si>
  <si>
    <t xml:space="preserve">פרעון שיק – חברת החשמל</t>
  </si>
  <si>
    <t xml:space="preserve">BMG – סילוק חשבונית יולי 3006</t>
  </si>
  <si>
    <t xml:space="preserve">פוגין אינטרנשיונל – סילוק חשבונית יולי 01/000876</t>
  </si>
  <si>
    <t xml:space="preserve">רמא – ר.מ. ט – השלמה לניכוי מס במקור (יש פטור)</t>
  </si>
  <si>
    <t xml:space="preserve">23/08/2026</t>
  </si>
  <si>
    <t xml:space="preserve">✅ ניכיון 2 צ'קי מצודת השלום (29,551 בניכוי עמלה 909)</t>
  </si>
  <si>
    <t xml:space="preserve">אופיר חנון – תשלום נוסף</t>
  </si>
  <si>
    <t xml:space="preserve">מטה ופתילים – העברה עבור צ'ק רוטנברג</t>
  </si>
  <si>
    <t xml:space="preserve">✅ מטה כיסה את הצ'ק כמתוכנן</t>
  </si>
  <si>
    <t xml:space="preserve">BONOS – Pankaj Kumar</t>
  </si>
  <si>
    <t xml:space="preserve">דלק – Delev Andrei</t>
  </si>
  <si>
    <t xml:space="preserve">25/08/2026</t>
  </si>
  <si>
    <t xml:space="preserve">פאנג שירותי כח אדם – צ'ק 5000344 (יתרת חשבונית מאי)</t>
  </si>
  <si>
    <t xml:space="preserve">אחים לימור – תשלום חלקי עבור חשבונית 956</t>
  </si>
  <si>
    <t xml:space="preserve">26/08/2026</t>
  </si>
  <si>
    <t xml:space="preserve">מ. רוטנברג – צ'ק 5000327</t>
  </si>
  <si>
    <t xml:space="preserve">⚠️ 58,836 בפועל (לא 58,826 כמו שהיה רשום - הפרש 10 ₪)</t>
  </si>
  <si>
    <t xml:space="preserve">שי-לי כח אדם – חשבונית 230673</t>
  </si>
  <si>
    <t xml:space="preserve">27/08/2026</t>
  </si>
  <si>
    <t xml:space="preserve">⚠️ סכום אמיתי גבוה יותר ממה שהוערך קודם (5,056)</t>
  </si>
  <si>
    <t xml:space="preserve">✅ ירד מוקדם (היה מתוכנן ל-4/9)</t>
  </si>
  <si>
    <t xml:space="preserve">מטה ופתילים – העברה</t>
  </si>
  <si>
    <t xml:space="preserve">כיסוי חריגה</t>
  </si>
  <si>
    <t xml:space="preserve">28/08/2026</t>
  </si>
  <si>
    <t xml:space="preserve">כיסוי חריגה - סה"כ עם ההעברה הקודמת 80,000</t>
  </si>
  <si>
    <t xml:space="preserve">העברה לחשבונותי</t>
  </si>
  <si>
    <t xml:space="preserve">עמלה/העברה פנימית קטנה</t>
  </si>
  <si>
    <t xml:space="preserve">אברהם חיים ב - תשלום</t>
  </si>
  <si>
    <t xml:space="preserve">החזר מזמירה עבור גז ומים ששילמנו בחודשים שלא הייתה שם</t>
  </si>
  <si>
    <t xml:space="preserve">מע"מ (תשלום נוסף)</t>
  </si>
  <si>
    <t xml:space="preserve">יתרה בפועל בבנק – 31/08/2026 (סוף חודש) ⚠️ עדיין ביתרת חובה</t>
  </si>
  <si>
    <t xml:space="preserve">הערה: תנועות עתידיות/ממתינות עברו לגיליון "ממתינים לתשלום" (כדי לא לכפול). הנתונים כאן מאומתים במלואם מול דו"ח בנק לאומי עד 31/08/2026 - סוף חודש אוגוסט. ⚠️ החשבון סגר את החודש ביתרת חובה.</t>
  </si>
  <si>
    <t xml:space="preserve">📊 סיכום לפי עמודה "שייך להוצאות החודש?"</t>
  </si>
  <si>
    <t xml:space="preserve">סה"כ הוצאות שכן שייכות לחודש (שכירות, משכורות, מע"מ, כרטיסי אשראי, קבועות)</t>
  </si>
  <si>
    <t xml:space="preserve">סה"כ הוצאות שלא שייכות (חובות תאגידים מחודשים אחרים, ניכיונות, החזרים, העברות)</t>
  </si>
  <si>
    <t xml:space="preserve">תזרים מזומנים – ספטמבר 2026  |  ישר שירותי קרקע לקבלן ולפועל בע"מ</t>
  </si>
  <si>
    <t xml:space="preserve">יתרת פתיחה – 01/09/2026</t>
  </si>
  <si>
    <t xml:space="preserve">01/09/2026</t>
  </si>
  <si>
    <t xml:space="preserve">שכירות משרד</t>
  </si>
  <si>
    <t xml:space="preserve">02/09/2026</t>
  </si>
  <si>
    <t xml:space="preserve">העברה פנימית ממטה</t>
  </si>
  <si>
    <t xml:space="preserve">גרייטדור תעש - תקבול לקוח</t>
  </si>
  <si>
    <t xml:space="preserve">תקבול על חשבון החוב</t>
  </si>
  <si>
    <t xml:space="preserve">אלגרסי תפעול - תקבול לקוח</t>
  </si>
  <si>
    <t xml:space="preserve">03/09/2026</t>
  </si>
  <si>
    <t xml:space="preserve">מ. רוטנברג - תשלום על חשבון עבודות אוגוסט</t>
  </si>
  <si>
    <t xml:space="preserve">תקבול לקוח - חשבון עסקה 40103</t>
  </si>
  <si>
    <t xml:space="preserve">אליעזר הקר אלומיניום - תקבול לקוח</t>
  </si>
  <si>
    <t xml:space="preserve">תקבול על חשבון עסקה 40090</t>
  </si>
  <si>
    <t xml:space="preserve">שמעון והב – השלמת משכורת יולי לשלמה מינסקי</t>
  </si>
  <si>
    <t xml:space="preserve">שולם בפועל בספטמבר, מתייחס למשכורת יולי</t>
  </si>
  <si>
    <t xml:space="preserve">04/09/2026</t>
  </si>
  <si>
    <t xml:space="preserve">פסגת ליאם כ"א - תשלום עבור עובדים אוגוסט</t>
  </si>
  <si>
    <t xml:space="preserve">חשבונית אוגוסט - שולם במלואו</t>
  </si>
  <si>
    <t xml:space="preserve">ואקנין יצחק - תשלום עבור חשבונית מס</t>
  </si>
  <si>
    <t xml:space="preserve">תשלום עבור חשבונית מס</t>
  </si>
  <si>
    <t xml:space="preserve">06/09/2026</t>
  </si>
  <si>
    <t xml:space="preserve">אליעזר הקר אלומיניום - תשלום יתרה סופית</t>
  </si>
  <si>
    <t xml:space="preserve">חיים קוט – שכירות קריית גת</t>
  </si>
  <si>
    <t xml:space="preserve">תשלום נוסף - אושר ע"י שמואל</t>
  </si>
  <si>
    <t xml:space="preserve">08/09/2026</t>
  </si>
  <si>
    <t xml:space="preserve">אופל בלאנס - ניכיון צ'ק גרייטדור 60,000</t>
  </si>
  <si>
    <t xml:space="preserve">ניכיון צ׳ק 60,000; התקבלו 55,238 נטו. העמלה 4,762 מגולגלת לגרייטדור ונרשמה כחוב לקוח - לא הוצאה שלנו</t>
  </si>
  <si>
    <t xml:space="preserve">העברה עצמית למטה</t>
  </si>
  <si>
    <t xml:space="preserve">🔄 העברה</t>
  </si>
  <si>
    <t xml:space="preserve">טוהר הדברות ותחזוקה - הדברה בית חנינה</t>
  </si>
  <si>
    <t xml:space="preserve">חן 100240</t>
  </si>
  <si>
    <t xml:space="preserve">09/09/2026</t>
  </si>
  <si>
    <t xml:space="preserve">ש.ח.ן כרמלי - תקבול לקוח (חשבונית 50365, עובדי אוגוסט)</t>
  </si>
  <si>
    <t xml:space="preserve">ד.י שרף השקעות - תקבול לקוח (חשבונית 50363)</t>
  </si>
  <si>
    <t xml:space="preserve">איבריקה אינטרנשיונל - תקבול לקוח (חן 40083/40084/40085)</t>
  </si>
  <si>
    <t xml:space="preserve">שי-רם חברה לבנייה - תקבול לקוח</t>
  </si>
  <si>
    <t xml:space="preserve">חשבון עסקה 40098 - עובדי אוגוסט</t>
  </si>
  <si>
    <t xml:space="preserve">על חשבון חשבון עסקה 40097+40101 (הנחה - לאימות)</t>
  </si>
  <si>
    <t xml:space="preserve">אחים לימור - השלמת תשלום חשבונית 956</t>
  </si>
  <si>
    <t xml:space="preserve">חוב יולי נסגר במלואו (40,000 ב-25/08 + 169,845.30)</t>
  </si>
  <si>
    <t xml:space="preserve">ש.מינסקי יזמות - העברה כספית מהכיס</t>
  </si>
  <si>
    <t xml:space="preserve">רשום בקובץ "התחשבנות שמואל מינסקי" כהעברה פתוחה שטרם הוחזרה - מגדיל את חוב ישר לשמואל</t>
  </si>
  <si>
    <t xml:space="preserve">ד.י שרף השקעות - תשלום עבור עובדי אוגוסט</t>
  </si>
  <si>
    <t xml:space="preserve">שולם לפי אומדן - החשבונית עצמה טרם התקבלה</t>
  </si>
  <si>
    <t xml:space="preserve">רמא - תקבול לקוח</t>
  </si>
  <si>
    <t xml:space="preserve">חשבון עסקה 40087 - עובדי אוגוסט</t>
  </si>
  <si>
    <t xml:space="preserve">10/09/2026</t>
  </si>
  <si>
    <t xml:space="preserve">תגמולי מילואים – שלמה מינסקי</t>
  </si>
  <si>
    <t xml:space="preserve">✅ מזוהה - תגמולי מילואים לשלמה מינסקי</t>
  </si>
  <si>
    <t xml:space="preserve">העברת משכורת – עדינה (תלוש 8/26)</t>
  </si>
  <si>
    <t xml:space="preserve">✅ תואם תלוש אוגוסט: נטו לתשלום 11,755 (ברוטו 14,323)</t>
  </si>
  <si>
    <t xml:space="preserve">העברת משכורת – נחשון (יונאייב נחשון חיים)</t>
  </si>
  <si>
    <t xml:space="preserve">קבועה | ✅ מזוהה - נחשון. שולם 10/09, לא נותרה משכורת רביעית לסוף החודש</t>
  </si>
  <si>
    <t xml:space="preserve">אחים לימור - שכירות קורצק (חן 50367, אוגוסט)</t>
  </si>
  <si>
    <t xml:space="preserve">הכנסת דירה - קורצאק</t>
  </si>
  <si>
    <t xml:space="preserve">אחים לימור - שכירות בית צפאפא (חן 50366, אוגוסט)</t>
  </si>
  <si>
    <t xml:space="preserve">הכנסת דירה - בית צפאפא</t>
  </si>
  <si>
    <t xml:space="preserve">מאי חברה למערכות חשמל - תקבול לקוח</t>
  </si>
  <si>
    <t xml:space="preserve">חן עסקה 40100</t>
  </si>
  <si>
    <t xml:space="preserve">על חשבון עבודת אוגוסט/ספטמבר</t>
  </si>
  <si>
    <t xml:space="preserve">11/09/2026</t>
  </si>
  <si>
    <t xml:space="preserve">שיק 5000347</t>
  </si>
  <si>
    <t xml:space="preserve">⚠️ שיק - לבדוק למי ועבור מה</t>
  </si>
  <si>
    <t xml:space="preserve">פדיון מקוזז</t>
  </si>
  <si>
    <t xml:space="preserve">חוזר לחשבון</t>
  </si>
  <si>
    <t xml:space="preserve">ברגשטיין - תקבול לקוח</t>
  </si>
  <si>
    <t xml:space="preserve">חן עסקה 40102 - שולם במלואו</t>
  </si>
  <si>
    <t xml:space="preserve">שיק 5000349</t>
  </si>
  <si>
    <t xml:space="preserve">אביאלי אלומיניום (אלי שי בן-חיים) - תקבול לקוח, יתרת חשבון 40088</t>
  </si>
  <si>
    <t xml:space="preserve">15/09/2026</t>
  </si>
  <si>
    <t xml:space="preserve">דיינרס - כרטיס אשראי</t>
  </si>
  <si>
    <t xml:space="preserve">לאומי מאסטרקרד - כרטיס אשראי</t>
  </si>
  <si>
    <t xml:space="preserve">תומא וסאם - שכירות בית חנינה</t>
  </si>
  <si>
    <t xml:space="preserve">י. צדיק נכסים - שכירות בית צפאפא</t>
  </si>
  <si>
    <t xml:space="preserve">י. צדיק נכסים - שכירות קורצאק</t>
  </si>
  <si>
    <t xml:space="preserve">מקס איט פיננסי - כרטיס אשראי</t>
  </si>
  <si>
    <t xml:space="preserve">קבועה - סכום בפועל (במקום אמדן 10,284.20)</t>
  </si>
  <si>
    <t xml:space="preserve">אייל גולן - ריטיינר חודשי</t>
  </si>
  <si>
    <t xml:space="preserve">בוצע 15/09 (היה מתוכנן 3,450 - הסכום בפועל 3,540)</t>
  </si>
  <si>
    <t xml:space="preserve">16/09/2026</t>
  </si>
  <si>
    <t xml:space="preserve">החזרי מע"מ לעוסקים - מכס ומע"מ</t>
  </si>
  <si>
    <t xml:space="preserve">החזר מע"מ</t>
  </si>
  <si>
    <t xml:space="preserve">העברה דיגיטל על חשבון החוב</t>
  </si>
  <si>
    <t xml:space="preserve">רואה חשבון יוסי טובול - ריטיינר חודשי</t>
  </si>
  <si>
    <t xml:space="preserve">✅ בפועל - תואם אמדן</t>
  </si>
  <si>
    <t xml:space="preserve">17/09/2026</t>
  </si>
  <si>
    <t xml:space="preserve">יעל אברהם - העברה בנקאית</t>
  </si>
  <si>
    <t xml:space="preserve">ISRAEL CARGO LOG - תשלום חודשי קבוע</t>
  </si>
  <si>
    <t xml:space="preserve">📌 תזכורת: צריך להעביר 19,770 ₪ כל חודש ב-10 לחודש - נותרו עוד 8 תשלומים (אוקטובר 2026 עד מאי 2027)</t>
  </si>
  <si>
    <t xml:space="preserve">22/09/2026</t>
  </si>
  <si>
    <t xml:space="preserve">🏦 בפועל מהבנק</t>
  </si>
  <si>
    <t xml:space="preserve">פניני התכלת - תשלום חשבונית 90110 (עובדי אוגוסט)</t>
  </si>
  <si>
    <t xml:space="preserve">חן 90110 - 94,093.20 פחות ניכוי במקור 2% (1,594.80). חוב אוגוסט נסגר</t>
  </si>
  <si>
    <t xml:space="preserve">פרעון שיק/שטר</t>
  </si>
  <si>
    <t xml:space="preserve">🏦 בפועל מהבנק (שיק 5000337)</t>
  </si>
  <si>
    <t xml:space="preserve">ד.יוחאי - תשלום חשבונית IN264000106 (עובדי אוגוסט)</t>
  </si>
  <si>
    <t xml:space="preserve">חשבונית 106 - חוב אוגוסט נסגר</t>
  </si>
  <si>
    <t xml:space="preserve">אחים לימור - תשלום חשבונית אוגוסט (חן עסקה 8020)</t>
  </si>
  <si>
    <t xml:space="preserve">חוב אוגוסט נסגר במלואו</t>
  </si>
  <si>
    <t xml:space="preserve">ג.ד קלמרה - תשלום חשבונית 20019 (אוגוסט)</t>
  </si>
  <si>
    <t xml:space="preserve">ייעוץ הנדסי וביקור מהנדס - חוב אוגוסט נסגר</t>
  </si>
  <si>
    <t xml:space="preserve">פוגין אינטרנשיונל - תשלום חשבונית 01/000905 (אוגוסט)</t>
  </si>
  <si>
    <t xml:space="preserve">חשבונית 25,965.90 - שולם 25,965 (פער 0.90 ₪ עיגול). חוב אוגוסט נסגר</t>
  </si>
  <si>
    <t xml:space="preserve">24/09/2026</t>
  </si>
  <si>
    <t xml:space="preserve">FURTUNA ALEXANDE - העברה לחשבון BONOS 54-022-026246887</t>
  </si>
  <si>
    <t xml:space="preserve">⚠️ לבדוק למי ועבור מה - העברה לחשבון BONOS (בנק לעובדים זרים). תנועות היום - לא סופי</t>
  </si>
  <si>
    <t xml:space="preserve">ANDREI DELEV - העברה לחשבון BONOS 54-022-087745299</t>
  </si>
  <si>
    <t xml:space="preserve">שבט בנימין - תקבול לקוח (חש׳ 369+370)</t>
  </si>
  <si>
    <t xml:space="preserve">חשבון עסקה 40096+40095 - עובדים אוגוסט + יולי. ✅ שולם במלואו - זה הסכום הסופי</t>
  </si>
  <si>
    <t xml:space="preserve">פאנג שירותי כח אדם - צ׳ק 5000345 (חשבונית יוני 01/002663)</t>
  </si>
  <si>
    <t xml:space="preserve">צ׳ק ראשון מתוך 2 - צ׳ק 5000346 (125,000) פורע 25/10/2026</t>
  </si>
  <si>
    <t xml:space="preserve">שי-לי כוח אדם - תשלום חשבונית 230703 (עובדי אוגוסט)</t>
  </si>
  <si>
    <t xml:space="preserve">25/09/2026</t>
  </si>
  <si>
    <t xml:space="preserve">אופיר חנון בניה ופיקוח - תקבול לקוח</t>
  </si>
  <si>
    <t xml:space="preserve">על חשבון חשבון עסקה 40094 - נותרו 88,425 ₪</t>
  </si>
  <si>
    <t xml:space="preserve">29/09/2026</t>
  </si>
  <si>
    <t xml:space="preserve">30/09/2026</t>
  </si>
  <si>
    <t xml:space="preserve">ריבית חובה</t>
  </si>
  <si>
    <t xml:space="preserve">יתרה בפועל בבנק – 30/09/2026 ✅ מאומת מול דוח בנק לאומי</t>
  </si>
  <si>
    <t xml:space="preserve">הערה: הנתונים עד 30/09/2026 מאומתים מול דוח בנק לאומי (117,658.66 ₪ בסוף ספטמבר, דוח 05/10). ב-24/09 ירדו צ׳ק פאנג 5000345 (125,000) ושי-לי (67,944) ונכנס שבט בנימין (47,973.78); ב-25/09 נכנסו 25,000 מאופיר חנון. ביטוח לאומי הצפוי (8,168) לא ירד בספטמבר. נותרו לתשלום: פאנג אוגוסט, BMG אוגוסט, צ׳ק פאנג יוני השני (25/10) - ראה "ממתינים לתשלום".</t>
  </si>
  <si>
    <t xml:space="preserve">סה"כ הוצאות שכן שייכות לחודש (שכירות, משכורות, כרטיסי אשראי, קבועות, תאגידי אוגוסט)</t>
  </si>
  <si>
    <t xml:space="preserve">סה"כ הוצאות שלא שייכות (חובות תאגידים מחודשים קודמים, העברות בין חברות)</t>
  </si>
  <si>
    <t xml:space="preserve">סה"כ הכנסות בחודש (ספטמבר)</t>
  </si>
  <si>
    <t xml:space="preserve">תזרים מזומנים – אוקטובר 2026  |  ישר שירותי קרקע לקבלן ולפועל בע"מ</t>
  </si>
  <si>
    <t xml:space="preserve">יתרת פתיחה – 01/10/2026</t>
  </si>
  <si>
    <t xml:space="preserve">01/10/2026</t>
  </si>
  <si>
    <t xml:space="preserve">עמלה</t>
  </si>
  <si>
    <t xml:space="preserve">שכירות משרד (ספטמבר: 9,209)</t>
  </si>
  <si>
    <t xml:space="preserve">עמלות פקיד</t>
  </si>
  <si>
    <t xml:space="preserve">02/10/2026</t>
  </si>
  <si>
    <t xml:space="preserve">04/10/2026</t>
  </si>
  <si>
    <t xml:space="preserve">מס הכנסה - ניכויים</t>
  </si>
  <si>
    <t xml:space="preserve">חשבון עסקה 40114 - עובדים ספטמבר. ✅ שולם במלואו</t>
  </si>
  <si>
    <t xml:space="preserve">חשבונית מס 50372</t>
  </si>
  <si>
    <t xml:space="preserve">BMG כוח אדם - חשבונית אוגוסט 4076</t>
  </si>
  <si>
    <t xml:space="preserve">✅ שולם במלואו (חן 4076)</t>
  </si>
  <si>
    <t xml:space="preserve">האחים ישראל - שכירות דירת רבי חייא</t>
  </si>
  <si>
    <t xml:space="preserve">שכירות דירת עובדים רבי חייא (בעל הבית: האחים ישראל)</t>
  </si>
  <si>
    <t xml:space="preserve">מ. רוטנברג ובניו - תקבול לקוח</t>
  </si>
  <si>
    <t xml:space="preserve">חשבון עסקה 40115 - עובדים ספטמבר. ✅ שולם במלואו</t>
  </si>
  <si>
    <t xml:space="preserve">על חשבון חשבון עסקה 40094 (יתרה 88,425) - נותרו 8,425 ₪. חשבון עסקה 40120 (66,573) עדיין פתוח</t>
  </si>
  <si>
    <t xml:space="preserve">חשבון עסקה 40111 - עובדי פסגת ליאם. ✅ שולם במלואו</t>
  </si>
  <si>
    <t xml:space="preserve">פסגת ליאם כ"א - חשבונית ספטמבר 50156</t>
  </si>
  <si>
    <t xml:space="preserve">✅ שולם במלואו (חן 50156)</t>
  </si>
  <si>
    <t xml:space="preserve">החזרי מע"מ לעוסקים</t>
  </si>
  <si>
    <t xml:space="preserve">פאנג שירותי כח אדם - תשלום חלקי חשבונית אוגוסט 01/002721</t>
  </si>
  <si>
    <t xml:space="preserve">תשלום חלקי (מתוך 438,316.30) - נותרו 208,316.30 (3 צ׳קים דחויים). ✅ מאומת בבנק 07/10 (חן 2721)</t>
  </si>
  <si>
    <t xml:space="preserve">כיסוי יתרת חובה - החשבון ירד ל-9,896.70- אחרי פאנג ואייל גולן, מטה העבירה 20,000 לסגירת המינוס</t>
  </si>
  <si>
    <t xml:space="preserve">ש.ח.ן כרמלי עבוד - תקבול לקוח</t>
  </si>
  <si>
    <t xml:space="preserve">חשבונית מס 50377 (חשבון עסקה 40121) - עובדים ספטמבר. ✅ שולם במלואו</t>
  </si>
  <si>
    <t xml:space="preserve">אייל גולן עו"ד - ריטיינר חודשי + דיון בבית משפט תיק סבן</t>
  </si>
  <si>
    <t xml:space="preserve">ריטיינר 3,540 + דיון תיק סבן 1,500 + מע"מ 270 = 5,310 · ✅ הועבר 08/10</t>
  </si>
  <si>
    <t xml:space="preserve">שי-רם חברה לבניה - תקבול לקוח</t>
  </si>
  <si>
    <t xml:space="preserve">חשבון עסקה 40116 - עובדים ספטמבר. ✅ שולם במלואו</t>
  </si>
  <si>
    <t xml:space="preserve">קבועה | 6 חיובים נפרדים: 2,824.95 / 1,311.54 / 1,121.55 / 848.61 / 515.86 / 352.34</t>
  </si>
  <si>
    <t xml:space="preserve">איבריקה אינטרנשיונל - שכירות דירות אוקטובר</t>
  </si>
  <si>
    <t xml:space="preserve">אשקלון, אסירי ציון, מיטות קארו 7 - כולל מע"מ (העברה מבנק הפועלים). ✅ שולם במלואו</t>
  </si>
  <si>
    <t xml:space="preserve">אחים לימור - שכירות בית צפאפא</t>
  </si>
  <si>
    <t xml:space="preserve">הכנסת דירה - בית צפאפא (העברה מבנק מזרחי)</t>
  </si>
  <si>
    <t xml:space="preserve">אחים לימור - שכירות קורצאק</t>
  </si>
  <si>
    <t xml:space="preserve">הכנסת דירה - קורצאק (העברה מבנק מזרחי)</t>
  </si>
  <si>
    <t xml:space="preserve">הפקדה לחיסכון - פיקדון 10% להלוואה בערבות מדינה (ישר)</t>
  </si>
  <si>
    <t xml:space="preserve">פיקדון 10% להלוואה של ישר בערבות מדינה (לאומי). לא הוצאה - הכסף נשאר בבעלות החברה ומשועבד להלוואה. ✅ אושר ע"י שמואל 12/10</t>
  </si>
  <si>
    <t xml:space="preserve">העברת משכורת – עדינה קארו</t>
  </si>
  <si>
    <t xml:space="preserve">✅ מזוהה - עדינה קארו (אסמכתא 240363). ספטמבר: 11,755</t>
  </si>
  <si>
    <t xml:space="preserve">✅ מזוהה - נחשון (אסמכתא 240366). זו המשכורת המלאה לחודש - אין חלק נוסף (אושר ע"י שמואל 12/10). ספטמבר: 12,514</t>
  </si>
  <si>
    <t xml:space="preserve">העברת משכורת – שלמה מינסקי</t>
  </si>
  <si>
    <t xml:space="preserve">✅ מזוהה - שלמה מינסקי (אסמכתא 240367). ספטמבר: תגמולי מילואים 12,635</t>
  </si>
  <si>
    <t xml:space="preserve">מטה ופתילים - העברה בין חברות (החזר)</t>
  </si>
  <si>
    <t xml:space="preserve">החזר למטה של ה-20,000 שהעבירה ב-08/10 לכיסוי המינוס. ✅ אושר ע"י שמואל 12/10</t>
  </si>
  <si>
    <t xml:space="preserve">אביאלי אלומיניום (אלי שי בן-חיים) - תקבול לקוח</t>
  </si>
  <si>
    <t xml:space="preserve">לפי הבנק: "חשבונית 40125". חשבון עסקה 40117 עמד על 15,904 - פער 163 ₪ לבדיקה (ניכוי במקור?)</t>
  </si>
  <si>
    <t xml:space="preserve">על חשבון חשבון עסקה 40113 (146,910)</t>
  </si>
  <si>
    <t xml:space="preserve">ב.ש ברגשטיין - תקבול לקוח</t>
  </si>
  <si>
    <t xml:space="preserve">חשבון עסקה 40119 - עובדים ספטמבר, פרויקט הקליר (העברה מבנק מזרחי). ✅ שולם במלואו</t>
  </si>
  <si>
    <t xml:space="preserve">ש. מינסקי יזמות - שיק 5000289</t>
  </si>
  <si>
    <t xml:space="preserve">✅ זוהה ע"י שמואל 15/10 - תשלום לש. מינסקי יזמות (כולל מע"מ). ברשימת הממתינים נרשם 16,250 - בפועל 16,520</t>
  </si>
  <si>
    <t xml:space="preserve">על חשבון חשבון עסקה 40113 - סה"כ 26,513 ב-12-13/10, נותרו 120,397</t>
  </si>
  <si>
    <t xml:space="preserve">חוזר לחשבון (קוזז מול הפדיון - נטו 0, הצפי של 45,605.61 כהכנסה לא התממש)</t>
  </si>
  <si>
    <t xml:space="preserve">ג.ד קלמרה - תשלום חשבון עסקה 1032</t>
  </si>
  <si>
    <t xml:space="preserve">⚠️ לאמת עבור מה ולאיזה חודש (הסכם מסגרת ד.יוחאי + ג.ד קלמרה)</t>
  </si>
  <si>
    <t xml:space="preserve">✅ תשלום 1 מתוך 8 (אוקטובר 2026) ירד 14/10 · נותרו 7 תשלומים (נובמבר 2026 עד מאי 2027) - ב-10 לחודש</t>
  </si>
  <si>
    <t xml:space="preserve">שלום קבאסה - סגירת התחשבנות וחשמל (דירת אשקלון)</t>
  </si>
  <si>
    <t xml:space="preserve">ברשימת הממתינים נרשם 4,078 - שולם 400 ₪ פחות</t>
  </si>
  <si>
    <t xml:space="preserve">חיים קוט - סגירת התחשבנות וחשמל</t>
  </si>
  <si>
    <t xml:space="preserve">לפי הבנק: "סגירת התחשבנות וחשמל"</t>
  </si>
  <si>
    <t xml:space="preserve">ישראל פרידמן</t>
  </si>
  <si>
    <t xml:space="preserve">⚠️ לפי הבנק: "תשלום חן עסקה 40070" - לבדוק עבור מה</t>
  </si>
  <si>
    <t xml:space="preserve">חיוב כרטיס (צפי היה 5,694.18) · תנועת היום - לא סופי</t>
  </si>
  <si>
    <t xml:space="preserve">דיינרס</t>
  </si>
  <si>
    <t xml:space="preserve">חיוב כרטיס · תנועת היום - לא סופי</t>
  </si>
  <si>
    <t xml:space="preserve">יתרה – 15/10/2026 (מאומת מול הבנק: 159,912.27 ₪)</t>
  </si>
  <si>
    <t xml:space="preserve">הערה: הנתונים עד 15/10/2026 מאומתים מול דוח בנק לאומי (159,912.27 ₪, דוח 15/10/2026; תנועות 15/10 אינן סופיות). ב-12-13/10 נכנסו ברגשטיין 156,403 (40119 נסגר), גרייטדור 26,513 (על חשבון 40113) ואביאלי 15,741; יצא שיק 5000289 16,520 לש. מינסקי יזמות. ב-14/10 יצאו ISRAEL CARGO 19,770 (תשלום 1/8), ג.ד קלמרה 30,647, שכירויות דירות 28,300, סגירות התחשבנות קבאסה 3,678 וקוט 2,418 ופרידמן 400. פיקדון 45,605 נפדה וקוזז - נטו 0. ב-15/10 חיובי כרטיסים 5,883.18.</t>
  </si>
  <si>
    <t xml:space="preserve">סה"כ הוצאות שכן שייכות לחודש (שכירות, קבועות, כרטיסי אשראי, מסים)</t>
  </si>
  <si>
    <t xml:space="preserve">סה"כ הכנסות בחודש (עד 15/10, כולל פרעון פקדון מקוזז 45,602.49)</t>
  </si>
  <si>
    <t xml:space="preserve">🔮 תנועות צפויות עד סוף אוקטובר (טרם ירדו מהבנק)</t>
  </si>
  <si>
    <t xml:space="preserve">לפי הבנק</t>
  </si>
  <si>
    <t xml:space="preserve">פרעון שיק</t>
  </si>
  <si>
    <t xml:space="preserve">לפי הבנק (שיק 000338)</t>
  </si>
  <si>
    <t xml:space="preserve">ד.יוחאי - חשבונית ספטמבר IN264000117</t>
  </si>
  <si>
    <t xml:space="preserve">עובדים זרים ספטמבר · 417.05 שעות × 72 ₪ + מע"מ · מועד תשלום יוחאי: ה-20 לחודש</t>
  </si>
  <si>
    <t xml:space="preserve">פוגין אינטרנשיונל - חשבונית ספטמבר 01/000938</t>
  </si>
  <si>
    <t xml:space="preserve">עובדים אוזביקים ספטמבר · 15,477 + מע"מ · מועד תשלום פוגין: ה-25 לחודש</t>
  </si>
  <si>
    <t xml:space="preserve">שי-לי כח אדם - חשבונית ספטמבר 230747</t>
  </si>
  <si>
    <t xml:space="preserve">532 שעות × 71 ₪ + מע"מ · אתר הקליר, ירושלים · מועד תשלום שי-לי: ה-25 לחודש</t>
  </si>
  <si>
    <t xml:space="preserve">פאנג שירותי כח אדם - צ׳ק 5000346 (חשבונית יוני 01/002663)</t>
  </si>
  <si>
    <t xml:space="preserve">צ׳ק דחוי שני ואחרון לחשבונית יוני</t>
  </si>
  <si>
    <t xml:space="preserve">יתרה צפויה בסוף אוקטובר (ללא שכירויות/משכורות שטרם נרשמו וללא תקבולי לקוחות - ראה "ממתינים לתשלום")</t>
  </si>
  <si>
    <t xml:space="preserve">דוח ממתינים לתשלום  |  נכון ל-15/10/2026  |  ישר שירותי קרקע לקבלן ולפועל בעמ  |  מוצגות רק יתרות פתוחות</t>
  </si>
  <si>
    <t xml:space="preserve">🏢  חוב תאגידים – יתרות פתוחות</t>
  </si>
  <si>
    <t xml:space="preserve">תאגיד</t>
  </si>
  <si>
    <t xml:space="preserve">חודש</t>
  </si>
  <si>
    <t xml:space="preserve">סכום (₪)</t>
  </si>
  <si>
    <t xml:space="preserve">פאנג</t>
  </si>
  <si>
    <t xml:space="preserve">צ׳ק 5000345 · 125,000 ₪ ✅ ירד 24/09  |  נותר צ׳ק 5000346 · 125,000 ₪ ב-25/10  |  ⚠️ לא כלול בסה"כ</t>
  </si>
  <si>
    <t xml:space="preserve">⏳ שולם 230,000 ₪ ב-07/10/2026 - נותרו 208,316.30 ₪ · צ׳קים דחויים: 5000286 · 69,438 ב-26/11/2026 | 5000287 · 69,438 ב-26/12/2026 | 5000288 · 69,438 ב-26/01/2027 (סה"כ 208,314; פער 2.30 ₪ מול היתרה)</t>
  </si>
  <si>
    <t xml:space="preserve">פוגין</t>
  </si>
  <si>
    <t xml:space="preserve">⏳ לתשלום ב-25/10/2026 (חשבונית מס מ-29/09/2026)</t>
  </si>
  <si>
    <t xml:space="preserve">שי-לי</t>
  </si>
  <si>
    <t xml:space="preserve">⏳ לתשלום ב-25/10/2026 (חשבונית מס מ-30/09/2026; 532 שעות × 71 ₪ + מע"מ)</t>
  </si>
  <si>
    <t xml:space="preserve">⏳ ממתין לתשלום (1,305.5 שעות × 70 ₪ + מע"מ; חשבון עסקה מ-30/09/2026)</t>
  </si>
  <si>
    <t xml:space="preserve">ד.יוחאי</t>
  </si>
  <si>
    <t xml:space="preserve">סה״כ חוב תאגידים - אוגוסט + ספטמבר</t>
  </si>
  <si>
    <t xml:space="preserve">👤  חוב אישי - שמואל מינסקי</t>
  </si>
  <si>
    <t xml:space="preserve">התחשבנות אישית - הלוואות (ישראכרט+מגדל) + הוצאות מהכיס, טרם הוחזרו. נכון ל-13/10/2026: לפי הבנק עד 11/10 (כולל ישראכרט 02/10 1,309.24 + מגדל 11/10 2,240.25) = 18,739.68 הלוואות + מגדל 10/09 (2,187.32) לפי הלוח, חסר בדף הבנק. מקור: קובץ "התחשבנות שמואל מינסקי" (מתעדכן שם אוטומטית)</t>
  </si>
  <si>
    <t xml:space="preserve">סטטוס</t>
  </si>
  <si>
    <t xml:space="preserve">פאנג – חשבונית 01/002721</t>
  </si>
  <si>
    <t xml:space="preserve">⏳ שולם 230,000 ב-07/10/2026 · היתרה ב-3 צ׳קים של 69,438 (26/11, 26/12, 26/01) · 🏢 כלול גם בחוב תאגידים למעלה</t>
  </si>
  <si>
    <t xml:space="preserve">אוקטובר</t>
  </si>
  <si>
    <t xml:space="preserve">שלום קבאסה – הפרשי מים וחשמל, דירת אשקלון</t>
  </si>
  <si>
    <t xml:space="preserve">✅ שולם 14/10/2026 - 3,678 ₪ ("סגירת התחשבנות וחשמל") - 400 ₪ פחות מ-4,078 שנרשמו</t>
  </si>
  <si>
    <t xml:space="preserve">פוגין – חשבונית 01/000938</t>
  </si>
  <si>
    <t xml:space="preserve">⏳ לתשלום 25/10/2026 · 🏢 כלול גם בחוב תאגידים למעלה</t>
  </si>
  <si>
    <t xml:space="preserve">שי-לי – חשבונית 230747</t>
  </si>
  <si>
    <t xml:space="preserve">ש. מינסקי יזמות</t>
  </si>
  <si>
    <t xml:space="preserve">✅ שולם 13/10/2026 בשיק 5000289 - 16,520 ₪ (נרשם כאן 16,250; הסכום הנכון 16,520) - אושר ע"י שמואל 15/10</t>
  </si>
  <si>
    <t xml:space="preserve">אחים לימור – חשבון עסקה 8052</t>
  </si>
  <si>
    <t xml:space="preserve">⏳ ממתין לתשלום · 🏢 כלול גם בחוב תאגידים למעלה</t>
  </si>
  <si>
    <t xml:space="preserve">ד.יוחאי – חשבונית IN264000117</t>
  </si>
  <si>
    <t xml:space="preserve">⏳ לתשלום 20/10/2026 · 🏢 כלול גם בחוב תאגידים למעלה</t>
  </si>
  <si>
    <t xml:space="preserve">יוני-אוגוסט</t>
  </si>
  <si>
    <t xml:space="preserve">רז שרי ייבוא וסחר – חשבוניות 155, 158, 161 (תיווך/שכ"ט)</t>
  </si>
  <si>
    <t xml:space="preserve">⏳ פתוח - לא שולם (תשלום אחרון 15/06 על חן 152). 155: 4,573.68 (30/06) · 158: 4,014.48 (31/07) · 161: 4,088.70 (31/08). להעברה אחרי ניכוי במקור 5%: 12,139.70</t>
  </si>
  <si>
    <t xml:space="preserve">סה״כ תזרים אוגוסט + ספטמבר</t>
  </si>
  <si>
    <t xml:space="preserve">💰  סה״כ ממתין לתשלום (יתרת פאנג אוגוסט + פוגין, שי-לי, אחים לימור ויוחאי ספטמבר + רז שרי)</t>
  </si>
  <si>
    <t xml:space="preserve">💰  לקוחות חייבים לנו</t>
  </si>
  <si>
    <t xml:space="preserve">לקוח</t>
  </si>
  <si>
    <t xml:space="preserve">אמצעי תשלום</t>
  </si>
  <si>
    <t xml:space="preserve">הערות / סטטוס</t>
  </si>
  <si>
    <t xml:space="preserve">נטליה הודיה</t>
  </si>
  <si>
    <t xml:space="preserve">מזומן / נחשון</t>
  </si>
  <si>
    <t xml:space="preserve">⏳ שולמו עד כה 7,000 ₪ במזומן: 4,000 ₪ + 3,000 ₪ ביום שלישי 08/09/2026. 💵 המזומן לא נכנס לבנק ולכן אינו ביתרת הבנק. ⚠️ לאימות: ה-4,000 נרשמו בדוח שהיה "נכון ל-09/09" - יש לוודא שזה תשלום נפרד מה-3,000 של 08/09 ולא כפילות. ממשיך בתשלומים שבועיים עד לסגירת היתרה</t>
  </si>
  <si>
    <t xml:space="preserve">מצודת השלום</t>
  </si>
  <si>
    <t xml:space="preserve">עמלות ניכיון צ׳קים באופל בלאנס - לחיוב הלקוח</t>
  </si>
  <si>
    <t xml:space="preserve">עמלת ניכיון 1,458 (צ׳ק 14291, קבלה 1857 מ-22/07) + עמלת ניכיון 909 (צ׳קים 14297+14298, קבלה 1969 מ-23/08) = 2,367</t>
  </si>
  <si>
    <t xml:space="preserve">אופיר חנון בניה ופיקוח</t>
  </si>
  <si>
    <t xml:space="preserve">חשבון עסקה 40094 - עובדים אוגוסט</t>
  </si>
  <si>
    <t xml:space="preserve">⏳ התקבלו 25,000 ₪ ב-25/09/2026 + 80,000 ₪ ב-06/10/2026 - נותרו 8,425 ₪</t>
  </si>
  <si>
    <t xml:space="preserve">חשבון עסקה 40089 - עובדים אוגוסט</t>
  </si>
  <si>
    <t xml:space="preserve">רמא</t>
  </si>
  <si>
    <t xml:space="preserve">חשבון עסקה 40112 - עובדים ספטמבר</t>
  </si>
  <si>
    <t xml:space="preserve">⏳ הופק 05/10/2026</t>
  </si>
  <si>
    <t xml:space="preserve">גרייטדור</t>
  </si>
  <si>
    <t xml:space="preserve">חשבון עסקה 40113 - עובדים ספטמבר</t>
  </si>
  <si>
    <t xml:space="preserve">⏳ הופק 05/10/2026 · התקבלו 20,000 ב-12/10 + 6,513 ב-13/10 - נותרו 120,397 ₪ (מתוך 146,910)</t>
  </si>
  <si>
    <t xml:space="preserve">אביאלי אלומיניום</t>
  </si>
  <si>
    <t xml:space="preserve">חשבון עסקה 40117 - עובדים ספטמבר</t>
  </si>
  <si>
    <t xml:space="preserve">⏳ התקבלו 15,741 ₪ ב-12/10/2026 (בבנק: "חשבונית 40125") - פער 163 ₪ מול 15,904 לבדיקה (ניכוי במקור?)</t>
  </si>
  <si>
    <t xml:space="preserve">חשבון עסקה 40118 - עובדים ספטמבר</t>
  </si>
  <si>
    <t xml:space="preserve">ברגשטיין (בי אנד גי)</t>
  </si>
  <si>
    <t xml:space="preserve">חשבון עסקה 40119 - עובדים ספטמבר</t>
  </si>
  <si>
    <t xml:space="preserve">✅ שולם 13/10/2026 - 156,403 ₪ במלואו (העברה מבנק מזרחי)</t>
  </si>
  <si>
    <t xml:space="preserve">חשבון עסקה 40120 - עובדים ספטמבר</t>
  </si>
  <si>
    <t xml:space="preserve">ש.ח.ן כרמלי</t>
  </si>
  <si>
    <t xml:space="preserve">חשבון עסקה 40121 - עובדים ספטמבר</t>
  </si>
  <si>
    <t xml:space="preserve">✅ שולם 08/10/2026 - 77,278 ₪ (חשבונית מס 50377; 47 ₪ יותר מחשבון העסקה 77,231)</t>
  </si>
  <si>
    <t xml:space="preserve">שבט בנימין</t>
  </si>
  <si>
    <t xml:space="preserve">חשבון עסקה 40109 - תאגיד השידור</t>
  </si>
  <si>
    <t xml:space="preserve">⏳ הופק 22/09/2026. חשבונית מס 50373 הופקה עליו 05/10 (אותו סכום - לא לספור פעמיים)</t>
  </si>
  <si>
    <t xml:space="preserve">חשבון עסקה 40110 - עובדים אסף ספטמבר</t>
  </si>
  <si>
    <t xml:space="preserve">⏳ הופק 22/09/2026</t>
  </si>
  <si>
    <t xml:space="preserve">איבריקה אינטרנשיונל</t>
  </si>
  <si>
    <t xml:space="preserve">שכירות דירות (אשקלון, אסירי ציון, מיטות קארו 7) - אוקטובר</t>
  </si>
  <si>
    <t xml:space="preserve">✅ שולם 11/10/2026 - 13,570 ₪ כולל מע"מ (העברה מבנק הפועלים)</t>
  </si>
  <si>
    <t xml:space="preserve">סה"כ לקוחות חייבים לנו</t>
  </si>
  <si>
    <t xml:space="preserve">📊  סיכום - כמה צריך כדי לסגור הכל</t>
  </si>
  <si>
    <t xml:space="preserve">יתרה בבנק (15/10/2026) - אחרי ISRAEL CARGO, שכירויות דירות וחיובי כרטיסים; כולל ברגשטיין 156,403</t>
  </si>
  <si>
    <t xml:space="preserve">+ לקוחות חייבים לנו (צפוי להיכנס)</t>
  </si>
  <si>
    <t xml:space="preserve">סה"כ משאבים זמינים (בנק + לקוחות)</t>
  </si>
  <si>
    <t xml:space="preserve">− סה״כ ממתין לתשלום (תאגידי אוגוסט: יתרת פאנג אחרי 230,000 ב-07/10) - לא כולל צ׳ק פאנג יוני השני (125,000 ב-25/10). ISRAEL CARGO אוקטובר שולם 14/10</t>
  </si>
  <si>
    <t xml:space="preserve">✅  עודף אחרי כל התשלומים</t>
  </si>
  <si>
    <t xml:space="preserve">🏦  גמל - קופות גמל (מגדל + מנורה)</t>
  </si>
  <si>
    <t xml:space="preserve">עובד</t>
  </si>
  <si>
    <t xml:space="preserve">קופה</t>
  </si>
  <si>
    <t xml:space="preserve">יוני (₪)</t>
  </si>
  <si>
    <t xml:space="preserve">יולי (₪)</t>
  </si>
  <si>
    <t xml:space="preserve">קארו עדאלה</t>
  </si>
  <si>
    <t xml:space="preserve">מגדל</t>
  </si>
  <si>
    <t xml:space="preserve">יואייב נחשון חי</t>
  </si>
  <si>
    <t xml:space="preserve">מנורה</t>
  </si>
  <si>
    <t xml:space="preserve">מינסקי שלומי</t>
  </si>
  <si>
    <t xml:space="preserve">סה"כ גמל (יוני+יולי)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</si>
</sst>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@"/>
    <numFmt numFmtId="167" formatCode="m/d/yyyy"/>
  </numFmts>
  <fonts count="30">
    <font>
      <sz val="11"/>
      <color theme="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375623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3"/>
      <color rgb="FF8B0000"/>
      <name val="Arial"/>
      <family val="0"/>
      <charset val="1"/>
    </font>
    <font>
      <i val="true"/>
      <sz val="11"/>
      <color theme="1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1F4E7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i val="true"/>
      <sz val="10"/>
      <color rgb="FF375623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i val="true"/>
      <sz val="10"/>
      <color rgb="FFC00000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2E5D8C"/>
      </patternFill>
    </fill>
    <fill>
      <patternFill patternType="solid">
        <fgColor rgb="FFD6E4F0"/>
        <bgColor rgb="FFE2EFDA"/>
      </patternFill>
    </fill>
    <fill>
      <patternFill patternType="solid">
        <fgColor rgb="FF2E5D8C"/>
        <bgColor rgb="FF1F4E79"/>
      </patternFill>
    </fill>
    <fill>
      <patternFill patternType="solid">
        <fgColor rgb="FFE2EFDA"/>
        <bgColor rgb="FFD6E4F0"/>
      </patternFill>
    </fill>
    <fill>
      <patternFill patternType="solid">
        <fgColor rgb="FFFFE0E0"/>
        <bgColor rgb="FFFCE4D6"/>
      </patternFill>
    </fill>
    <fill>
      <patternFill patternType="solid">
        <fgColor rgb="FFFFF2CC"/>
        <bgColor rgb="FFFFFACD"/>
      </patternFill>
    </fill>
    <fill>
      <patternFill patternType="solid">
        <fgColor rgb="FFF5F5F5"/>
        <bgColor rgb="FFFFFFFF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E0E0"/>
      </patternFill>
    </fill>
    <fill>
      <patternFill patternType="solid">
        <fgColor rgb="FFFFFACD"/>
        <bgColor rgb="FFFFF2CC"/>
      </patternFill>
    </fill>
    <fill>
      <patternFill patternType="solid">
        <fgColor rgb="FFF3E5FF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6" fillId="3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5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9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5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6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9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6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6" fontId="8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2" fillId="7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12" fillId="7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2" fillId="7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7" fontId="8" fillId="6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8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8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9" fillId="8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8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8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7" fontId="8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6" fillId="3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7" fontId="12" fillId="7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7" fillId="4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7" fillId="4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3" fillId="9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13" fillId="9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12" fillId="3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9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5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9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5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15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6" fillId="5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6" fontId="8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6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1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18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1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16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16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8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9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6" fontId="8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8" fillId="1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9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19" fillId="5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6" fontId="20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1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1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7" fontId="23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23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24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25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26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5" fillId="11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23" fillId="11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27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12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5" fontId="10" fillId="12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1" fillId="12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12" fillId="7" borderId="0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5" fontId="8" fillId="12" borderId="0" xfId="0" applyFont="true" applyBorder="false" applyAlignment="true" applyProtection="false">
      <alignment horizontal="right" vertical="bottom" textRotation="0" wrapText="false" indent="0" shrinkToFit="false" readingOrder="2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 readingOrder="2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9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1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FFE0E0"/>
      <rgbColor rgb="FF808080"/>
      <rgbColor rgb="FF9999FF"/>
      <rgbColor rgb="FF993366"/>
      <rgbColor rgb="FFFFFACD"/>
      <rgbColor rgb="FFF5F5F5"/>
      <rgbColor rgb="FF660066"/>
      <rgbColor rgb="FFFF8080"/>
      <rgbColor rgb="FF2E5D8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5FF"/>
      <rgbColor rgb="FFE2EFDA"/>
      <rgbColor rgb="FFFFE699"/>
      <rgbColor rgb="FFFFF2CC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25"/>
  <sheetViews>
    <sheetView showFormulas="false" showGridLines="true" showRowColHeaders="true" showZeros="true" rightToLeft="true" tabSelected="true" showOutlineSymbols="true" defaultGridColor="true" view="normal" topLeftCell="A65" colorId="64" zoomScale="100" zoomScaleNormal="100" zoomScalePageLayoutView="100" workbookViewId="0">
      <selection pane="topLeft" activeCell="A81" activeCellId="0" sqref="A81"/>
    </sheetView>
  </sheetViews>
  <sheetFormatPr defaultColWidth="12.62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3" min="3" style="1" width="42.62"/>
    <col collapsed="false" customWidth="true" hidden="false" outlineLevel="0" max="6" min="4" style="1" width="15"/>
    <col collapsed="false" customWidth="true" hidden="false" outlineLevel="0" max="7" min="7" style="1" width="62"/>
    <col collapsed="false" customWidth="true" hidden="false" outlineLevel="0" max="26" min="8" style="1" width="8.62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4.25" hidden="false" customHeight="true" outlineLevel="0" collapsed="false"/>
    <row r="4" customFormat="false" ht="14.25" hidden="false" customHeight="true" outlineLevel="0" collapsed="false">
      <c r="A4" s="4" t="s">
        <v>2</v>
      </c>
      <c r="B4" s="4"/>
      <c r="C4" s="4"/>
      <c r="D4" s="4"/>
      <c r="E4" s="4"/>
      <c r="F4" s="4"/>
      <c r="G4" s="4"/>
    </row>
    <row r="5" customFormat="false" ht="14.2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</row>
    <row r="6" customFormat="false" ht="14.25" hidden="false" customHeight="true" outlineLevel="0" collapsed="false">
      <c r="A6" s="6" t="s">
        <v>10</v>
      </c>
      <c r="B6" s="7" t="s">
        <v>11</v>
      </c>
      <c r="C6" s="7" t="s">
        <v>12</v>
      </c>
      <c r="D6" s="8" t="n">
        <v>25058.5</v>
      </c>
      <c r="E6" s="9" t="n">
        <v>25058.5</v>
      </c>
      <c r="F6" s="10" t="n">
        <f aca="false">D6-E6</f>
        <v>0</v>
      </c>
      <c r="G6" s="11" t="s">
        <v>13</v>
      </c>
    </row>
    <row r="7" customFormat="false" ht="14.25" hidden="false" customHeight="true" outlineLevel="0" collapsed="false">
      <c r="A7" s="6" t="s">
        <v>14</v>
      </c>
      <c r="B7" s="7" t="s">
        <v>15</v>
      </c>
      <c r="C7" s="7" t="s">
        <v>16</v>
      </c>
      <c r="D7" s="8" t="n">
        <v>22005.8</v>
      </c>
      <c r="E7" s="9" t="n">
        <v>22005.8</v>
      </c>
      <c r="F7" s="10" t="n">
        <f aca="false">D7-E7</f>
        <v>0</v>
      </c>
      <c r="G7" s="11" t="s">
        <v>17</v>
      </c>
    </row>
    <row r="8" customFormat="false" ht="14.25" hidden="false" customHeight="true" outlineLevel="0" collapsed="false">
      <c r="A8" s="6" t="s">
        <v>18</v>
      </c>
      <c r="B8" s="7" t="s">
        <v>19</v>
      </c>
      <c r="C8" s="7" t="s">
        <v>20</v>
      </c>
      <c r="D8" s="8" t="n">
        <v>19989.2</v>
      </c>
      <c r="E8" s="9" t="n">
        <v>19989.2</v>
      </c>
      <c r="F8" s="10" t="n">
        <f aca="false">D8-E8</f>
        <v>0</v>
      </c>
      <c r="G8" s="11" t="s">
        <v>21</v>
      </c>
    </row>
    <row r="9" customFormat="false" ht="14.25" hidden="false" customHeight="true" outlineLevel="0" collapsed="false">
      <c r="A9" s="6" t="s">
        <v>22</v>
      </c>
      <c r="B9" s="7" t="s">
        <v>23</v>
      </c>
      <c r="C9" s="7" t="s">
        <v>24</v>
      </c>
      <c r="D9" s="8" t="n">
        <v>3725.3</v>
      </c>
      <c r="E9" s="9" t="n">
        <v>3725.3</v>
      </c>
      <c r="F9" s="10" t="n">
        <f aca="false">D9-E9</f>
        <v>0</v>
      </c>
      <c r="G9" s="11" t="s">
        <v>25</v>
      </c>
    </row>
    <row r="10" customFormat="false" ht="14.25" hidden="false" customHeight="true" outlineLevel="0" collapsed="false">
      <c r="A10" s="6" t="s">
        <v>26</v>
      </c>
      <c r="B10" s="7" t="s">
        <v>27</v>
      </c>
      <c r="C10" s="7" t="s">
        <v>28</v>
      </c>
      <c r="D10" s="8" t="n">
        <v>9449.4</v>
      </c>
      <c r="E10" s="9" t="n">
        <v>9449.4</v>
      </c>
      <c r="F10" s="10" t="n">
        <f aca="false">D10-E10</f>
        <v>0</v>
      </c>
      <c r="G10" s="11" t="s">
        <v>29</v>
      </c>
    </row>
    <row r="11" customFormat="false" ht="14.25" hidden="false" customHeight="true" outlineLevel="0" collapsed="false">
      <c r="A11" s="6" t="s">
        <v>30</v>
      </c>
      <c r="B11" s="7" t="s">
        <v>31</v>
      </c>
      <c r="C11" s="7" t="s">
        <v>32</v>
      </c>
      <c r="D11" s="8" t="n">
        <v>25773.6</v>
      </c>
      <c r="E11" s="9" t="n">
        <v>25773.6</v>
      </c>
      <c r="F11" s="10" t="n">
        <f aca="false">D11-E11</f>
        <v>0</v>
      </c>
      <c r="G11" s="11" t="s">
        <v>33</v>
      </c>
    </row>
    <row r="12" customFormat="false" ht="14.25" hidden="false" customHeight="true" outlineLevel="0" collapsed="false">
      <c r="A12" s="12" t="s">
        <v>34</v>
      </c>
      <c r="B12" s="13" t="s">
        <v>35</v>
      </c>
      <c r="C12" s="13" t="s">
        <v>36</v>
      </c>
      <c r="D12" s="14" t="n">
        <v>25869.7</v>
      </c>
      <c r="E12" s="15" t="n">
        <v>25869.7</v>
      </c>
      <c r="F12" s="16" t="n">
        <f aca="false">D12-E12</f>
        <v>0</v>
      </c>
      <c r="G12" s="17" t="s">
        <v>37</v>
      </c>
    </row>
    <row r="13" customFormat="false" ht="14.25" hidden="false" customHeight="true" outlineLevel="0" collapsed="false">
      <c r="A13" s="12" t="s">
        <v>38</v>
      </c>
      <c r="B13" s="13" t="s">
        <v>39</v>
      </c>
      <c r="C13" s="18" t="s">
        <v>40</v>
      </c>
      <c r="D13" s="14" t="n">
        <v>25965.9</v>
      </c>
      <c r="E13" s="15" t="n">
        <v>25965</v>
      </c>
      <c r="F13" s="16" t="n">
        <v>0</v>
      </c>
      <c r="G13" s="17" t="s">
        <v>41</v>
      </c>
    </row>
    <row r="14" customFormat="false" ht="14.25" hidden="false" customHeight="true" outlineLevel="0" collapsed="false">
      <c r="A14" s="12" t="s">
        <v>42</v>
      </c>
      <c r="B14" s="13" t="s">
        <v>43</v>
      </c>
      <c r="C14" s="18" t="n">
        <v>46294</v>
      </c>
      <c r="D14" s="14" t="n">
        <v>18262.9</v>
      </c>
      <c r="E14" s="15" t="n">
        <v>0</v>
      </c>
      <c r="F14" s="16" t="n">
        <f aca="false">D14-E14</f>
        <v>18262.9</v>
      </c>
      <c r="G14" s="17" t="s">
        <v>44</v>
      </c>
    </row>
    <row r="15" customFormat="false" ht="14.25" hidden="false" customHeight="true" outlineLevel="0" collapsed="false">
      <c r="A15" s="19" t="s">
        <v>45</v>
      </c>
      <c r="B15" s="20"/>
      <c r="C15" s="20"/>
      <c r="D15" s="21" t="n">
        <f aca="false">SUM(D6:D14)</f>
        <v>176100.3</v>
      </c>
      <c r="E15" s="21" t="n">
        <f aca="false">SUM(E6:E14)</f>
        <v>157836.5</v>
      </c>
      <c r="F15" s="21" t="n">
        <f aca="false">SUM(F6:F14)</f>
        <v>18262.9</v>
      </c>
      <c r="G15" s="20"/>
    </row>
    <row r="16" customFormat="false" ht="14.25" hidden="false" customHeight="true" outlineLevel="0" collapsed="false"/>
    <row r="17" customFormat="false" ht="14.25" hidden="false" customHeight="true" outlineLevel="0" collapsed="false">
      <c r="A17" s="4" t="s">
        <v>46</v>
      </c>
      <c r="B17" s="4"/>
      <c r="C17" s="4"/>
      <c r="D17" s="4"/>
      <c r="E17" s="4"/>
      <c r="F17" s="4"/>
      <c r="G17" s="4"/>
    </row>
    <row r="18" customFormat="false" ht="14.25" hidden="false" customHeight="true" outlineLevel="0" collapsed="false">
      <c r="A18" s="5" t="s">
        <v>3</v>
      </c>
      <c r="B18" s="5" t="s">
        <v>4</v>
      </c>
      <c r="C18" s="5" t="s">
        <v>5</v>
      </c>
      <c r="D18" s="5" t="s">
        <v>6</v>
      </c>
      <c r="E18" s="5" t="s">
        <v>7</v>
      </c>
      <c r="F18" s="5" t="s">
        <v>8</v>
      </c>
      <c r="G18" s="5" t="s">
        <v>9</v>
      </c>
    </row>
    <row r="19" customFormat="false" ht="14.25" hidden="false" customHeight="true" outlineLevel="0" collapsed="false">
      <c r="A19" s="6" t="s">
        <v>10</v>
      </c>
      <c r="B19" s="7" t="s">
        <v>47</v>
      </c>
      <c r="C19" s="7" t="s">
        <v>48</v>
      </c>
      <c r="D19" s="8" t="n">
        <v>216054.46</v>
      </c>
      <c r="E19" s="9" t="n">
        <v>216054.46</v>
      </c>
      <c r="F19" s="10" t="n">
        <f aca="false">D19-E19</f>
        <v>0</v>
      </c>
      <c r="G19" s="11" t="s">
        <v>49</v>
      </c>
    </row>
    <row r="20" customFormat="false" ht="14.25" hidden="false" customHeight="true" outlineLevel="0" collapsed="false">
      <c r="A20" s="6" t="s">
        <v>14</v>
      </c>
      <c r="B20" s="7" t="s">
        <v>50</v>
      </c>
      <c r="C20" s="7" t="s">
        <v>51</v>
      </c>
      <c r="D20" s="8" t="n">
        <v>188820.06</v>
      </c>
      <c r="E20" s="9" t="n">
        <v>188820.06</v>
      </c>
      <c r="F20" s="10" t="n">
        <f aca="false">D20-E20</f>
        <v>0</v>
      </c>
      <c r="G20" s="11" t="s">
        <v>49</v>
      </c>
    </row>
    <row r="21" customFormat="false" ht="14.25" hidden="false" customHeight="true" outlineLevel="0" collapsed="false">
      <c r="A21" s="6" t="s">
        <v>18</v>
      </c>
      <c r="B21" s="7" t="s">
        <v>52</v>
      </c>
      <c r="C21" s="7" t="s">
        <v>20</v>
      </c>
      <c r="D21" s="8" t="n">
        <v>183100.6</v>
      </c>
      <c r="E21" s="9" t="n">
        <v>183100.6</v>
      </c>
      <c r="F21" s="10" t="n">
        <f aca="false">D21-E21</f>
        <v>0</v>
      </c>
      <c r="G21" s="11" t="s">
        <v>49</v>
      </c>
    </row>
    <row r="22" customFormat="false" ht="14.25" hidden="false" customHeight="true" outlineLevel="0" collapsed="false">
      <c r="A22" s="6" t="s">
        <v>22</v>
      </c>
      <c r="B22" s="7" t="s">
        <v>53</v>
      </c>
      <c r="C22" s="7" t="s">
        <v>24</v>
      </c>
      <c r="D22" s="8" t="n">
        <v>89715.07</v>
      </c>
      <c r="E22" s="9" t="n">
        <v>89715.07</v>
      </c>
      <c r="F22" s="10" t="n">
        <f aca="false">D22-E22</f>
        <v>0</v>
      </c>
      <c r="G22" s="11" t="s">
        <v>49</v>
      </c>
    </row>
    <row r="23" customFormat="false" ht="14.25" hidden="false" customHeight="true" outlineLevel="0" collapsed="false">
      <c r="A23" s="6" t="s">
        <v>26</v>
      </c>
      <c r="B23" s="7" t="s">
        <v>54</v>
      </c>
      <c r="C23" s="7" t="s">
        <v>28</v>
      </c>
      <c r="D23" s="8" t="n">
        <v>44717.28</v>
      </c>
      <c r="E23" s="9" t="n">
        <v>44717.28</v>
      </c>
      <c r="F23" s="10" t="n">
        <f aca="false">D23-E23</f>
        <v>0</v>
      </c>
      <c r="G23" s="11" t="s">
        <v>49</v>
      </c>
    </row>
    <row r="24" customFormat="false" ht="14.25" hidden="false" customHeight="true" outlineLevel="0" collapsed="false">
      <c r="A24" s="6" t="s">
        <v>30</v>
      </c>
      <c r="B24" s="7" t="s">
        <v>55</v>
      </c>
      <c r="C24" s="7" t="s">
        <v>32</v>
      </c>
      <c r="D24" s="8" t="n">
        <v>164926.24</v>
      </c>
      <c r="E24" s="9" t="n">
        <v>164926.24</v>
      </c>
      <c r="F24" s="10" t="n">
        <f aca="false">D24-E24</f>
        <v>0</v>
      </c>
      <c r="G24" s="11" t="s">
        <v>56</v>
      </c>
    </row>
    <row r="25" customFormat="false" ht="14.25" hidden="false" customHeight="true" outlineLevel="0" collapsed="false">
      <c r="A25" s="12" t="s">
        <v>34</v>
      </c>
      <c r="B25" s="13" t="s">
        <v>57</v>
      </c>
      <c r="C25" s="13" t="s">
        <v>36</v>
      </c>
      <c r="D25" s="14" t="n">
        <v>209845.3</v>
      </c>
      <c r="E25" s="15" t="n">
        <v>209845.3</v>
      </c>
      <c r="F25" s="16" t="n">
        <f aca="false">D25-E25</f>
        <v>0</v>
      </c>
      <c r="G25" s="17" t="s">
        <v>58</v>
      </c>
    </row>
    <row r="26" customFormat="false" ht="14.25" hidden="false" customHeight="true" outlineLevel="0" collapsed="false">
      <c r="A26" s="12" t="s">
        <v>38</v>
      </c>
      <c r="B26" s="13" t="s">
        <v>59</v>
      </c>
      <c r="C26" s="18" t="s">
        <v>40</v>
      </c>
      <c r="D26" s="14" t="n">
        <v>190858.51</v>
      </c>
      <c r="E26" s="15" t="n">
        <v>190858.51</v>
      </c>
      <c r="F26" s="16" t="n">
        <f aca="false">D26-E26</f>
        <v>0</v>
      </c>
      <c r="G26" s="17" t="s">
        <v>60</v>
      </c>
    </row>
    <row r="27" customFormat="false" ht="14.25" hidden="false" customHeight="true" outlineLevel="0" collapsed="false">
      <c r="A27" s="12" t="s">
        <v>42</v>
      </c>
      <c r="B27" s="13" t="s">
        <v>61</v>
      </c>
      <c r="C27" s="22" t="n">
        <v>46295</v>
      </c>
      <c r="D27" s="14" t="n">
        <v>107834.3</v>
      </c>
      <c r="E27" s="15" t="n">
        <v>0</v>
      </c>
      <c r="F27" s="16" t="n">
        <f aca="false">D27-E27</f>
        <v>107834.3</v>
      </c>
      <c r="G27" s="17" t="s">
        <v>62</v>
      </c>
    </row>
    <row r="28" customFormat="false" ht="14.25" hidden="false" customHeight="true" outlineLevel="0" collapsed="false">
      <c r="A28" s="19" t="s">
        <v>45</v>
      </c>
      <c r="B28" s="20"/>
      <c r="C28" s="20"/>
      <c r="D28" s="21" t="n">
        <f aca="false">SUM(D19:D27)</f>
        <v>1395871.82</v>
      </c>
      <c r="E28" s="21" t="n">
        <f aca="false">SUM(E19:E27)</f>
        <v>1288037.52</v>
      </c>
      <c r="F28" s="21" t="n">
        <f aca="false">SUM(F19:F27)</f>
        <v>107834.3</v>
      </c>
      <c r="G28" s="20"/>
    </row>
    <row r="29" customFormat="false" ht="14.25" hidden="false" customHeight="true" outlineLevel="0" collapsed="false"/>
    <row r="30" customFormat="false" ht="14.25" hidden="false" customHeight="true" outlineLevel="0" collapsed="false">
      <c r="A30" s="4" t="s">
        <v>63</v>
      </c>
      <c r="B30" s="4"/>
      <c r="C30" s="4"/>
      <c r="D30" s="4"/>
      <c r="E30" s="4"/>
      <c r="F30" s="4"/>
      <c r="G30" s="4"/>
    </row>
    <row r="31" customFormat="false" ht="14.25" hidden="false" customHeight="true" outlineLevel="0" collapsed="false">
      <c r="A31" s="5" t="s">
        <v>3</v>
      </c>
      <c r="B31" s="5" t="s">
        <v>4</v>
      </c>
      <c r="C31" s="5" t="s">
        <v>5</v>
      </c>
      <c r="D31" s="5" t="s">
        <v>6</v>
      </c>
      <c r="E31" s="5" t="s">
        <v>7</v>
      </c>
      <c r="F31" s="5" t="s">
        <v>8</v>
      </c>
      <c r="G31" s="5" t="s">
        <v>9</v>
      </c>
    </row>
    <row r="32" customFormat="false" ht="14.25" hidden="false" customHeight="true" outlineLevel="0" collapsed="false">
      <c r="A32" s="6" t="s">
        <v>10</v>
      </c>
      <c r="B32" s="7"/>
      <c r="C32" s="7"/>
      <c r="D32" s="8" t="n">
        <v>62079.8</v>
      </c>
      <c r="E32" s="9" t="n">
        <v>62079.8</v>
      </c>
      <c r="F32" s="10" t="n">
        <f aca="false">D32-E32</f>
        <v>0</v>
      </c>
      <c r="G32" s="11" t="s">
        <v>49</v>
      </c>
    </row>
    <row r="33" customFormat="false" ht="14.25" hidden="false" customHeight="true" outlineLevel="0" collapsed="false">
      <c r="A33" s="23" t="s">
        <v>14</v>
      </c>
      <c r="B33" s="24"/>
      <c r="C33" s="24"/>
      <c r="D33" s="25" t="n">
        <v>0</v>
      </c>
      <c r="E33" s="26" t="n">
        <v>0</v>
      </c>
      <c r="F33" s="27" t="n">
        <f aca="false">D33-E33</f>
        <v>0</v>
      </c>
      <c r="G33" s="28"/>
    </row>
    <row r="34" customFormat="false" ht="14.25" hidden="false" customHeight="true" outlineLevel="0" collapsed="false">
      <c r="A34" s="23" t="s">
        <v>18</v>
      </c>
      <c r="B34" s="24"/>
      <c r="C34" s="24"/>
      <c r="D34" s="25" t="n">
        <v>0</v>
      </c>
      <c r="E34" s="26" t="n">
        <v>0</v>
      </c>
      <c r="F34" s="27" t="n">
        <f aca="false">D34-E34</f>
        <v>0</v>
      </c>
      <c r="G34" s="28"/>
    </row>
    <row r="35" customFormat="false" ht="14.25" hidden="false" customHeight="true" outlineLevel="0" collapsed="false">
      <c r="A35" s="23" t="s">
        <v>22</v>
      </c>
      <c r="B35" s="24"/>
      <c r="C35" s="24"/>
      <c r="D35" s="25" t="n">
        <v>0</v>
      </c>
      <c r="E35" s="26" t="n">
        <v>0</v>
      </c>
      <c r="F35" s="27" t="n">
        <f aca="false">D35-E35</f>
        <v>0</v>
      </c>
      <c r="G35" s="28"/>
    </row>
    <row r="36" customFormat="false" ht="14.25" hidden="false" customHeight="true" outlineLevel="0" collapsed="false">
      <c r="A36" s="12" t="s">
        <v>26</v>
      </c>
      <c r="B36" s="13" t="s">
        <v>64</v>
      </c>
      <c r="C36" s="13" t="s">
        <v>65</v>
      </c>
      <c r="D36" s="14" t="n">
        <v>264462.78</v>
      </c>
      <c r="E36" s="15" t="n">
        <v>264462.78</v>
      </c>
      <c r="F36" s="16" t="n">
        <f aca="false">D36-E36</f>
        <v>0</v>
      </c>
      <c r="G36" s="17" t="s">
        <v>66</v>
      </c>
    </row>
    <row r="37" customFormat="false" ht="14.25" hidden="false" customHeight="true" outlineLevel="0" collapsed="false">
      <c r="A37" s="12" t="s">
        <v>30</v>
      </c>
      <c r="B37" s="13" t="s">
        <v>67</v>
      </c>
      <c r="C37" s="13" t="s">
        <v>68</v>
      </c>
      <c r="D37" s="14" t="n">
        <v>420836.97</v>
      </c>
      <c r="E37" s="15" t="n">
        <v>295836.97</v>
      </c>
      <c r="F37" s="16" t="n">
        <f aca="false">D37-E37</f>
        <v>125000</v>
      </c>
      <c r="G37" s="17" t="s">
        <v>69</v>
      </c>
    </row>
    <row r="38" customFormat="false" ht="14.25" hidden="false" customHeight="true" outlineLevel="0" collapsed="false">
      <c r="A38" s="12" t="s">
        <v>34</v>
      </c>
      <c r="B38" s="13" t="s">
        <v>70</v>
      </c>
      <c r="C38" s="13" t="s">
        <v>71</v>
      </c>
      <c r="D38" s="14" t="n">
        <v>492998.1</v>
      </c>
      <c r="E38" s="15" t="n">
        <v>492998.1</v>
      </c>
      <c r="F38" s="16" t="n">
        <f aca="false">D38-E38</f>
        <v>0</v>
      </c>
      <c r="G38" s="17" t="s">
        <v>72</v>
      </c>
    </row>
    <row r="39" customFormat="false" ht="14.25" hidden="false" customHeight="true" outlineLevel="0" collapsed="false">
      <c r="A39" s="12" t="s">
        <v>38</v>
      </c>
      <c r="B39" s="13" t="s">
        <v>73</v>
      </c>
      <c r="C39" s="22" t="s">
        <v>74</v>
      </c>
      <c r="D39" s="14" t="n">
        <v>438316.3</v>
      </c>
      <c r="E39" s="15" t="n">
        <v>230000</v>
      </c>
      <c r="F39" s="16" t="n">
        <f aca="false">D39-E39</f>
        <v>208316.3</v>
      </c>
      <c r="G39" s="17" t="s">
        <v>75</v>
      </c>
    </row>
    <row r="40" customFormat="false" ht="14.25" hidden="false" customHeight="true" outlineLevel="0" collapsed="false">
      <c r="A40" s="19" t="s">
        <v>45</v>
      </c>
      <c r="B40" s="20"/>
      <c r="C40" s="20"/>
      <c r="D40" s="21" t="n">
        <f aca="false">SUM(D32:D39)</f>
        <v>1678693.95</v>
      </c>
      <c r="E40" s="21" t="n">
        <f aca="false">SUM(E32:E39)</f>
        <v>1345377.65</v>
      </c>
      <c r="F40" s="21" t="n">
        <f aca="false">SUM(F32:F39)</f>
        <v>333316.3</v>
      </c>
      <c r="G40" s="20"/>
    </row>
    <row r="41" customFormat="false" ht="14.25" hidden="false" customHeight="true" outlineLevel="0" collapsed="false"/>
    <row r="42" customFormat="false" ht="14.25" hidden="false" customHeight="true" outlineLevel="0" collapsed="false">
      <c r="A42" s="4" t="s">
        <v>76</v>
      </c>
      <c r="B42" s="4"/>
      <c r="C42" s="4"/>
      <c r="D42" s="4"/>
      <c r="E42" s="4"/>
      <c r="F42" s="4"/>
      <c r="G42" s="4"/>
    </row>
    <row r="43" customFormat="false" ht="14.25" hidden="false" customHeight="true" outlineLevel="0" collapsed="false">
      <c r="A43" s="5" t="s">
        <v>3</v>
      </c>
      <c r="B43" s="5" t="s">
        <v>4</v>
      </c>
      <c r="C43" s="5" t="s">
        <v>5</v>
      </c>
      <c r="D43" s="5" t="s">
        <v>6</v>
      </c>
      <c r="E43" s="5" t="s">
        <v>7</v>
      </c>
      <c r="F43" s="5" t="s">
        <v>8</v>
      </c>
      <c r="G43" s="5" t="s">
        <v>9</v>
      </c>
    </row>
    <row r="44" customFormat="false" ht="14.25" hidden="false" customHeight="true" outlineLevel="0" collapsed="false">
      <c r="A44" s="6" t="s">
        <v>34</v>
      </c>
      <c r="B44" s="7" t="s">
        <v>77</v>
      </c>
      <c r="C44" s="7" t="s">
        <v>36</v>
      </c>
      <c r="D44" s="8" t="n">
        <v>17098.2</v>
      </c>
      <c r="E44" s="9" t="n">
        <v>17098.2</v>
      </c>
      <c r="F44" s="10" t="n">
        <f aca="false">D44-E44</f>
        <v>0</v>
      </c>
      <c r="G44" s="11" t="s">
        <v>78</v>
      </c>
    </row>
    <row r="45" customFormat="false" ht="14.25" hidden="false" customHeight="true" outlineLevel="0" collapsed="false">
      <c r="A45" s="6" t="s">
        <v>38</v>
      </c>
      <c r="B45" s="7"/>
      <c r="C45" s="29" t="n">
        <v>46121</v>
      </c>
      <c r="D45" s="8" t="n">
        <v>37541.7</v>
      </c>
      <c r="E45" s="9" t="n">
        <v>37541.7</v>
      </c>
      <c r="F45" s="10" t="n">
        <f aca="false">D45-E45</f>
        <v>0</v>
      </c>
      <c r="G45" s="11" t="s">
        <v>79</v>
      </c>
    </row>
    <row r="46" customFormat="false" ht="14.25" hidden="false" customHeight="true" outlineLevel="0" collapsed="false">
      <c r="A46" s="6" t="s">
        <v>42</v>
      </c>
      <c r="B46" s="7" t="n">
        <v>50156</v>
      </c>
      <c r="C46" s="29"/>
      <c r="D46" s="8" t="n">
        <v>12685.71</v>
      </c>
      <c r="E46" s="9" t="n">
        <v>12685.71</v>
      </c>
      <c r="F46" s="10" t="n">
        <f aca="false">D46-E46</f>
        <v>0</v>
      </c>
      <c r="G46" s="11" t="s">
        <v>80</v>
      </c>
    </row>
    <row r="47" customFormat="false" ht="14.25" hidden="false" customHeight="true" outlineLevel="0" collapsed="false">
      <c r="A47" s="19" t="s">
        <v>45</v>
      </c>
      <c r="B47" s="20"/>
      <c r="C47" s="20"/>
      <c r="D47" s="21" t="n">
        <f aca="false">SUM(D44:D46)</f>
        <v>67325.61</v>
      </c>
      <c r="E47" s="21" t="n">
        <f aca="false">SUM(E44:E46)</f>
        <v>67325.61</v>
      </c>
      <c r="F47" s="21" t="n">
        <f aca="false">SUM(F44:F46)</f>
        <v>0</v>
      </c>
      <c r="G47" s="20"/>
    </row>
    <row r="48" customFormat="false" ht="14.25" hidden="false" customHeight="true" outlineLevel="0" collapsed="false">
      <c r="A48" s="19"/>
      <c r="B48" s="20"/>
      <c r="C48" s="20"/>
      <c r="D48" s="21"/>
      <c r="E48" s="21"/>
      <c r="F48" s="21"/>
      <c r="G48" s="20"/>
    </row>
    <row r="49" customFormat="false" ht="14.25" hidden="false" customHeight="true" outlineLevel="0" collapsed="false">
      <c r="A49" s="4" t="s">
        <v>81</v>
      </c>
      <c r="B49" s="4"/>
      <c r="C49" s="4"/>
      <c r="D49" s="4"/>
      <c r="E49" s="4"/>
      <c r="F49" s="4"/>
      <c r="G49" s="4"/>
    </row>
    <row r="50" customFormat="false" ht="14.25" hidden="false" customHeight="true" outlineLevel="0" collapsed="false">
      <c r="A50" s="5" t="s">
        <v>3</v>
      </c>
      <c r="B50" s="5" t="s">
        <v>4</v>
      </c>
      <c r="C50" s="5" t="s">
        <v>5</v>
      </c>
      <c r="D50" s="5" t="s">
        <v>6</v>
      </c>
      <c r="E50" s="5" t="s">
        <v>7</v>
      </c>
      <c r="F50" s="5" t="s">
        <v>8</v>
      </c>
      <c r="G50" s="5" t="s">
        <v>9</v>
      </c>
    </row>
    <row r="51" customFormat="false" ht="14.25" hidden="false" customHeight="true" outlineLevel="0" collapsed="false">
      <c r="A51" s="6" t="s">
        <v>34</v>
      </c>
      <c r="B51" s="7" t="s">
        <v>82</v>
      </c>
      <c r="C51" s="7" t="s">
        <v>36</v>
      </c>
      <c r="D51" s="8" t="n">
        <v>10377.51</v>
      </c>
      <c r="E51" s="9" t="n">
        <v>10113.67</v>
      </c>
      <c r="F51" s="10" t="n">
        <v>0</v>
      </c>
      <c r="G51" s="11" t="s">
        <v>83</v>
      </c>
    </row>
    <row r="52" customFormat="false" ht="14.25" hidden="false" customHeight="true" outlineLevel="0" collapsed="false">
      <c r="A52" s="19" t="s">
        <v>84</v>
      </c>
      <c r="B52" s="20"/>
      <c r="C52" s="20"/>
      <c r="D52" s="21" t="n">
        <v>10377.51</v>
      </c>
      <c r="E52" s="21" t="n">
        <v>10113.67</v>
      </c>
      <c r="F52" s="21" t="n">
        <f aca="false">F51</f>
        <v>0</v>
      </c>
      <c r="G52" s="20" t="s">
        <v>83</v>
      </c>
    </row>
    <row r="53" customFormat="false" ht="14.25" hidden="false" customHeight="true" outlineLevel="0" collapsed="false">
      <c r="A53" s="19"/>
      <c r="B53" s="20"/>
      <c r="C53" s="20"/>
      <c r="D53" s="21"/>
      <c r="E53" s="21"/>
      <c r="F53" s="21"/>
      <c r="G53" s="20"/>
    </row>
    <row r="54" customFormat="false" ht="14.25" hidden="false" customHeight="true" outlineLevel="0" collapsed="false">
      <c r="A54" s="4" t="s">
        <v>85</v>
      </c>
      <c r="B54" s="4"/>
      <c r="C54" s="4"/>
      <c r="D54" s="4"/>
      <c r="E54" s="4"/>
      <c r="F54" s="4"/>
      <c r="G54" s="4"/>
    </row>
    <row r="55" customFormat="false" ht="14.25" hidden="false" customHeight="true" outlineLevel="0" collapsed="false">
      <c r="A55" s="5" t="s">
        <v>3</v>
      </c>
      <c r="B55" s="5" t="s">
        <v>4</v>
      </c>
      <c r="C55" s="5" t="s">
        <v>5</v>
      </c>
      <c r="D55" s="5" t="s">
        <v>6</v>
      </c>
      <c r="E55" s="5" t="s">
        <v>7</v>
      </c>
      <c r="F55" s="5" t="s">
        <v>8</v>
      </c>
      <c r="G55" s="5" t="s">
        <v>9</v>
      </c>
    </row>
    <row r="56" customFormat="false" ht="14.25" hidden="false" customHeight="true" outlineLevel="0" collapsed="false">
      <c r="A56" s="6" t="s">
        <v>34</v>
      </c>
      <c r="B56" s="7" t="n">
        <v>90088</v>
      </c>
      <c r="C56" s="7" t="s">
        <v>36</v>
      </c>
      <c r="D56" s="8" t="n">
        <v>71026.56</v>
      </c>
      <c r="E56" s="9" t="n">
        <v>69822.72</v>
      </c>
      <c r="F56" s="10" t="n">
        <v>0</v>
      </c>
      <c r="G56" s="11" t="s">
        <v>86</v>
      </c>
    </row>
    <row r="57" customFormat="false" ht="14.25" hidden="false" customHeight="true" outlineLevel="0" collapsed="false">
      <c r="A57" s="6" t="s">
        <v>38</v>
      </c>
      <c r="B57" s="7" t="n">
        <v>90110</v>
      </c>
      <c r="C57" s="7" t="s">
        <v>40</v>
      </c>
      <c r="D57" s="8" t="n">
        <v>94093.2</v>
      </c>
      <c r="E57" s="9" t="n">
        <v>92498.4</v>
      </c>
      <c r="F57" s="10" t="n">
        <v>0</v>
      </c>
      <c r="G57" s="11" t="s">
        <v>87</v>
      </c>
    </row>
    <row r="58" customFormat="false" ht="14.25" hidden="false" customHeight="true" outlineLevel="0" collapsed="false">
      <c r="A58" s="19" t="s">
        <v>84</v>
      </c>
      <c r="B58" s="20"/>
      <c r="C58" s="20"/>
      <c r="D58" s="21" t="n">
        <f aca="false">SUM(D56:D57)</f>
        <v>165119.76</v>
      </c>
      <c r="E58" s="21" t="n">
        <f aca="false">SUM(E56:E57)</f>
        <v>162321.12</v>
      </c>
      <c r="F58" s="21" t="n">
        <f aca="false">SUM(F56:F57)</f>
        <v>0</v>
      </c>
      <c r="G58" s="20"/>
    </row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>
      <c r="A61" s="4" t="s">
        <v>88</v>
      </c>
      <c r="B61" s="4"/>
      <c r="C61" s="4"/>
      <c r="D61" s="4"/>
      <c r="E61" s="4"/>
      <c r="F61" s="4"/>
      <c r="G61" s="4"/>
    </row>
    <row r="62" customFormat="false" ht="14.25" hidden="false" customHeight="true" outlineLevel="0" collapsed="false">
      <c r="A62" s="5" t="s">
        <v>3</v>
      </c>
      <c r="B62" s="5" t="s">
        <v>4</v>
      </c>
      <c r="C62" s="5" t="s">
        <v>5</v>
      </c>
      <c r="D62" s="5" t="s">
        <v>6</v>
      </c>
      <c r="E62" s="5" t="s">
        <v>7</v>
      </c>
      <c r="F62" s="5" t="s">
        <v>8</v>
      </c>
      <c r="G62" s="5" t="s">
        <v>9</v>
      </c>
    </row>
    <row r="63" customFormat="false" ht="14.25" hidden="false" customHeight="true" outlineLevel="0" collapsed="false">
      <c r="A63" s="6" t="s">
        <v>10</v>
      </c>
      <c r="B63" s="7"/>
      <c r="C63" s="7"/>
      <c r="D63" s="8" t="n">
        <v>0</v>
      </c>
      <c r="E63" s="9" t="n">
        <v>0</v>
      </c>
      <c r="F63" s="10" t="n">
        <f aca="false">D63-E63</f>
        <v>0</v>
      </c>
      <c r="G63" s="11"/>
    </row>
    <row r="64" customFormat="false" ht="14.25" hidden="false" customHeight="true" outlineLevel="0" collapsed="false">
      <c r="A64" s="19" t="s">
        <v>14</v>
      </c>
      <c r="B64" s="20" t="n">
        <v>2137</v>
      </c>
      <c r="C64" s="20" t="s">
        <v>51</v>
      </c>
      <c r="D64" s="21" t="n">
        <v>134971.4</v>
      </c>
      <c r="E64" s="21" t="n">
        <v>130511</v>
      </c>
      <c r="F64" s="21" t="n">
        <f aca="false">D64-E64</f>
        <v>4460.39999999999</v>
      </c>
      <c r="G64" s="20" t="s">
        <v>89</v>
      </c>
    </row>
    <row r="65" customFormat="false" ht="14.25" hidden="false" customHeight="true" outlineLevel="0" collapsed="false">
      <c r="A65" s="19" t="s">
        <v>18</v>
      </c>
      <c r="B65" s="20" t="n">
        <v>2154</v>
      </c>
      <c r="C65" s="20" t="s">
        <v>20</v>
      </c>
      <c r="D65" s="21" t="n">
        <v>204776.99</v>
      </c>
      <c r="E65" s="21" t="n">
        <v>204776.99</v>
      </c>
      <c r="F65" s="21" t="n">
        <f aca="false">D65-E65</f>
        <v>0</v>
      </c>
      <c r="G65" s="20" t="s">
        <v>90</v>
      </c>
    </row>
    <row r="66" customFormat="false" ht="14.25" hidden="false" customHeight="true" outlineLevel="0" collapsed="false">
      <c r="A66" s="30" t="s">
        <v>22</v>
      </c>
      <c r="B66" s="31" t="n">
        <v>2204</v>
      </c>
      <c r="C66" s="31" t="s">
        <v>24</v>
      </c>
      <c r="D66" s="32" t="n">
        <v>164619.44</v>
      </c>
      <c r="E66" s="32" t="n">
        <v>144703.45</v>
      </c>
      <c r="F66" s="32" t="n">
        <f aca="false">D66-E66</f>
        <v>19915.99</v>
      </c>
      <c r="G66" s="31" t="s">
        <v>91</v>
      </c>
    </row>
    <row r="67" customFormat="false" ht="14.25" hidden="false" customHeight="true" outlineLevel="0" collapsed="false">
      <c r="A67" s="5" t="s">
        <v>26</v>
      </c>
      <c r="B67" s="5" t="n">
        <v>1101</v>
      </c>
      <c r="C67" s="5" t="s">
        <v>32</v>
      </c>
      <c r="D67" s="5" t="n">
        <v>102027.52</v>
      </c>
      <c r="E67" s="5" t="n">
        <v>102027.52</v>
      </c>
      <c r="F67" s="5" t="n">
        <f aca="false">D67-E67</f>
        <v>0</v>
      </c>
      <c r="G67" s="5" t="s">
        <v>92</v>
      </c>
    </row>
    <row r="68" customFormat="false" ht="14.25" hidden="false" customHeight="true" outlineLevel="0" collapsed="false">
      <c r="A68" s="6" t="s">
        <v>30</v>
      </c>
      <c r="B68" s="7" t="n">
        <v>3000</v>
      </c>
      <c r="C68" s="7" t="s">
        <v>32</v>
      </c>
      <c r="D68" s="8" t="n">
        <v>92764.64</v>
      </c>
      <c r="E68" s="9" t="n">
        <v>92764.64</v>
      </c>
      <c r="F68" s="10" t="n">
        <f aca="false">D68-E68</f>
        <v>0</v>
      </c>
      <c r="G68" s="11" t="s">
        <v>93</v>
      </c>
    </row>
    <row r="69" customFormat="false" ht="14.25" hidden="false" customHeight="true" outlineLevel="0" collapsed="false">
      <c r="A69" s="19" t="s">
        <v>34</v>
      </c>
      <c r="B69" s="20" t="n">
        <v>3006</v>
      </c>
      <c r="C69" s="20" t="s">
        <v>94</v>
      </c>
      <c r="D69" s="21" t="n">
        <v>94801.79</v>
      </c>
      <c r="E69" s="21" t="n">
        <v>94801.79</v>
      </c>
      <c r="F69" s="21" t="n">
        <f aca="false">D69-E69</f>
        <v>0</v>
      </c>
      <c r="G69" s="20" t="s">
        <v>37</v>
      </c>
    </row>
    <row r="70" customFormat="false" ht="14.25" hidden="false" customHeight="true" outlineLevel="0" collapsed="false">
      <c r="A70" s="19" t="s">
        <v>38</v>
      </c>
      <c r="B70" s="20" t="n">
        <v>4076</v>
      </c>
      <c r="C70" s="20" t="s">
        <v>95</v>
      </c>
      <c r="D70" s="21" t="n">
        <v>69702.01</v>
      </c>
      <c r="E70" s="21" t="n">
        <v>69702.01</v>
      </c>
      <c r="F70" s="21" t="n">
        <f aca="false">D70-E70</f>
        <v>0</v>
      </c>
      <c r="G70" s="20" t="s">
        <v>96</v>
      </c>
    </row>
    <row r="71" customFormat="false" ht="14.25" hidden="false" customHeight="true" outlineLevel="0" collapsed="false">
      <c r="A71" s="19" t="s">
        <v>84</v>
      </c>
      <c r="B71" s="20"/>
      <c r="C71" s="20"/>
      <c r="D71" s="21" t="n">
        <f aca="false">SUM(D63:D70)</f>
        <v>863663.79</v>
      </c>
      <c r="E71" s="21" t="n">
        <f aca="false">SUM(E63:E70)</f>
        <v>839287.4</v>
      </c>
      <c r="F71" s="21" t="n">
        <f aca="false">SUM(F63:F70)</f>
        <v>24376.39</v>
      </c>
      <c r="G71" s="20" t="s">
        <v>97</v>
      </c>
    </row>
    <row r="72" customFormat="false" ht="14.25" hidden="false" customHeight="true" outlineLevel="0" collapsed="false">
      <c r="A72" s="4" t="s">
        <v>98</v>
      </c>
      <c r="B72" s="4"/>
      <c r="C72" s="4"/>
      <c r="D72" s="4"/>
      <c r="E72" s="4"/>
      <c r="F72" s="4"/>
      <c r="G72" s="4"/>
    </row>
    <row r="73" customFormat="false" ht="14.25" hidden="false" customHeight="true" outlineLevel="0" collapsed="false">
      <c r="A73" s="5" t="s">
        <v>3</v>
      </c>
      <c r="B73" s="5" t="s">
        <v>4</v>
      </c>
      <c r="C73" s="5" t="s">
        <v>5</v>
      </c>
      <c r="D73" s="5" t="s">
        <v>6</v>
      </c>
      <c r="E73" s="5" t="s">
        <v>7</v>
      </c>
      <c r="F73" s="5" t="s">
        <v>8</v>
      </c>
      <c r="G73" s="5" t="s">
        <v>9</v>
      </c>
    </row>
    <row r="74" customFormat="false" ht="14.25" hidden="false" customHeight="true" outlineLevel="0" collapsed="false">
      <c r="A74" s="6" t="s">
        <v>34</v>
      </c>
      <c r="B74" s="7" t="n">
        <v>230673</v>
      </c>
      <c r="C74" s="7" t="s">
        <v>36</v>
      </c>
      <c r="D74" s="8" t="n">
        <v>44156</v>
      </c>
      <c r="E74" s="9" t="n">
        <v>44156</v>
      </c>
      <c r="F74" s="10" t="n">
        <f aca="false">D74-E74</f>
        <v>0</v>
      </c>
      <c r="G74" s="11" t="s">
        <v>99</v>
      </c>
    </row>
    <row r="75" customFormat="false" ht="14.25" hidden="false" customHeight="true" outlineLevel="0" collapsed="false">
      <c r="A75" s="6" t="s">
        <v>38</v>
      </c>
      <c r="B75" s="7" t="n">
        <v>230703</v>
      </c>
      <c r="C75" s="33" t="s">
        <v>40</v>
      </c>
      <c r="D75" s="8" t="n">
        <v>67944</v>
      </c>
      <c r="E75" s="9" t="n">
        <v>67944</v>
      </c>
      <c r="F75" s="10" t="n">
        <f aca="false">D75-E75</f>
        <v>0</v>
      </c>
      <c r="G75" s="11" t="s">
        <v>100</v>
      </c>
    </row>
    <row r="76" customFormat="false" ht="14.25" hidden="false" customHeight="true" outlineLevel="0" collapsed="false">
      <c r="A76" s="6" t="s">
        <v>42</v>
      </c>
      <c r="B76" s="7" t="n">
        <v>230747</v>
      </c>
      <c r="C76" s="29" t="n">
        <v>46295</v>
      </c>
      <c r="D76" s="8" t="n">
        <v>44571</v>
      </c>
      <c r="E76" s="9" t="n">
        <v>0</v>
      </c>
      <c r="F76" s="10" t="n">
        <f aca="false">D76-E76</f>
        <v>44571</v>
      </c>
      <c r="G76" s="11" t="s">
        <v>101</v>
      </c>
    </row>
    <row r="77" customFormat="false" ht="14.25" hidden="false" customHeight="true" outlineLevel="0" collapsed="false">
      <c r="A77" s="19" t="s">
        <v>84</v>
      </c>
      <c r="B77" s="20"/>
      <c r="C77" s="20"/>
      <c r="D77" s="21" t="n">
        <f aca="false">SUM(D74:D76)</f>
        <v>156671</v>
      </c>
      <c r="E77" s="21" t="n">
        <f aca="false">SUM(E74:E76)</f>
        <v>112100</v>
      </c>
      <c r="F77" s="21" t="n">
        <f aca="false">SUM(F74:F76)</f>
        <v>44571</v>
      </c>
      <c r="G77" s="20"/>
    </row>
    <row r="78" customFormat="false" ht="14.25" hidden="false" customHeight="true" outlineLevel="0" collapsed="false">
      <c r="A78" s="19" t="s">
        <v>102</v>
      </c>
      <c r="B78" s="20"/>
      <c r="C78" s="20"/>
      <c r="D78" s="21"/>
      <c r="E78" s="21"/>
      <c r="F78" s="21"/>
      <c r="G78" s="20"/>
    </row>
    <row r="79" customFormat="false" ht="14.25" hidden="false" customHeight="true" outlineLevel="0" collapsed="false">
      <c r="A79" s="19" t="s">
        <v>3</v>
      </c>
      <c r="B79" s="20" t="s">
        <v>4</v>
      </c>
      <c r="C79" s="20" t="s">
        <v>5</v>
      </c>
      <c r="D79" s="21" t="s">
        <v>6</v>
      </c>
      <c r="E79" s="21" t="s">
        <v>7</v>
      </c>
      <c r="F79" s="21" t="s">
        <v>8</v>
      </c>
      <c r="G79" s="20" t="s">
        <v>9</v>
      </c>
    </row>
    <row r="80" customFormat="false" ht="14.25" hidden="false" customHeight="true" outlineLevel="0" collapsed="false">
      <c r="A80" s="19" t="s">
        <v>38</v>
      </c>
      <c r="B80" s="20" t="s">
        <v>103</v>
      </c>
      <c r="C80" s="20" t="s">
        <v>40</v>
      </c>
      <c r="D80" s="21" t="n">
        <v>35758.81</v>
      </c>
      <c r="E80" s="21" t="n">
        <v>35758.81</v>
      </c>
      <c r="F80" s="21" t="n">
        <f aca="false">D80-E80</f>
        <v>0</v>
      </c>
      <c r="G80" s="20" t="s">
        <v>104</v>
      </c>
    </row>
    <row r="81" customFormat="false" ht="14.25" hidden="false" customHeight="true" outlineLevel="0" collapsed="false">
      <c r="A81" s="19" t="s">
        <v>42</v>
      </c>
      <c r="B81" s="20" t="s">
        <v>105</v>
      </c>
      <c r="C81" s="34" t="n">
        <v>46295</v>
      </c>
      <c r="D81" s="21" t="n">
        <v>35432.57</v>
      </c>
      <c r="E81" s="21" t="n">
        <v>0</v>
      </c>
      <c r="F81" s="21" t="n">
        <f aca="false">D81-E81</f>
        <v>35432.57</v>
      </c>
      <c r="G81" s="20" t="s">
        <v>106</v>
      </c>
    </row>
    <row r="82" customFormat="false" ht="14.25" hidden="false" customHeight="true" outlineLevel="0" collapsed="false">
      <c r="A82" s="19" t="s">
        <v>84</v>
      </c>
      <c r="B82" s="20"/>
      <c r="C82" s="20"/>
      <c r="D82" s="21" t="n">
        <f aca="false">SUM(D80:D81)</f>
        <v>71191.38</v>
      </c>
      <c r="E82" s="21" t="n">
        <f aca="false">SUM(E80:E81)</f>
        <v>35758.81</v>
      </c>
      <c r="F82" s="21" t="n">
        <f aca="false">SUM(F80:F81)</f>
        <v>35432.57</v>
      </c>
      <c r="G82" s="20"/>
    </row>
    <row r="83" customFormat="false" ht="14.25" hidden="false" customHeight="true" outlineLevel="0" collapsed="false">
      <c r="A83" s="19"/>
      <c r="B83" s="20"/>
      <c r="C83" s="20"/>
      <c r="D83" s="21"/>
      <c r="E83" s="21"/>
      <c r="F83" s="21"/>
      <c r="G83" s="20"/>
    </row>
    <row r="84" customFormat="false" ht="14.25" hidden="false" customHeight="true" outlineLevel="0" collapsed="false">
      <c r="A84" s="30" t="s">
        <v>107</v>
      </c>
      <c r="B84" s="35"/>
      <c r="C84" s="35"/>
      <c r="D84" s="36"/>
      <c r="E84" s="36"/>
      <c r="F84" s="36"/>
      <c r="G84" s="35"/>
    </row>
    <row r="85" customFormat="false" ht="14.25" hidden="false" customHeight="true" outlineLevel="0" collapsed="false">
      <c r="A85" s="37" t="s">
        <v>3</v>
      </c>
      <c r="B85" s="5" t="s">
        <v>4</v>
      </c>
      <c r="C85" s="5" t="s">
        <v>5</v>
      </c>
      <c r="D85" s="38" t="s">
        <v>6</v>
      </c>
      <c r="E85" s="38" t="s">
        <v>7</v>
      </c>
      <c r="F85" s="38" t="s">
        <v>8</v>
      </c>
      <c r="G85" s="5" t="s">
        <v>9</v>
      </c>
    </row>
    <row r="86" customFormat="false" ht="14.25" hidden="false" customHeight="true" outlineLevel="0" collapsed="false">
      <c r="A86" s="6" t="s">
        <v>38</v>
      </c>
      <c r="B86" s="7" t="s">
        <v>108</v>
      </c>
      <c r="C86" s="33" t="s">
        <v>40</v>
      </c>
      <c r="D86" s="8" t="n">
        <v>75065</v>
      </c>
      <c r="E86" s="8" t="n">
        <v>75065</v>
      </c>
      <c r="F86" s="8" t="n">
        <f aca="false">D86-E86</f>
        <v>0</v>
      </c>
      <c r="G86" s="7" t="s">
        <v>109</v>
      </c>
    </row>
    <row r="87" customFormat="false" ht="14.25" hidden="false" customHeight="true" outlineLevel="0" collapsed="false">
      <c r="A87" s="19" t="s">
        <v>84</v>
      </c>
      <c r="B87" s="20"/>
      <c r="C87" s="20"/>
      <c r="D87" s="21" t="n">
        <f aca="false">D86</f>
        <v>75065</v>
      </c>
      <c r="E87" s="21" t="n">
        <f aca="false">E86</f>
        <v>75065</v>
      </c>
      <c r="F87" s="21" t="n">
        <f aca="false">F86</f>
        <v>0</v>
      </c>
      <c r="G87" s="20"/>
    </row>
    <row r="88" customFormat="false" ht="14.25" hidden="false" customHeight="true" outlineLevel="0" collapsed="false">
      <c r="A88" s="30" t="s">
        <v>110</v>
      </c>
      <c r="B88" s="35"/>
      <c r="C88" s="35"/>
      <c r="D88" s="36"/>
      <c r="E88" s="36"/>
      <c r="F88" s="36"/>
      <c r="G88" s="35"/>
    </row>
    <row r="89" customFormat="false" ht="14.25" hidden="false" customHeight="true" outlineLevel="0" collapsed="false">
      <c r="A89" s="37" t="s">
        <v>3</v>
      </c>
      <c r="B89" s="5" t="s">
        <v>4</v>
      </c>
      <c r="C89" s="5" t="s">
        <v>5</v>
      </c>
      <c r="D89" s="38" t="s">
        <v>6</v>
      </c>
      <c r="E89" s="38" t="s">
        <v>7</v>
      </c>
      <c r="F89" s="38" t="s">
        <v>8</v>
      </c>
      <c r="G89" s="5" t="s">
        <v>9</v>
      </c>
    </row>
    <row r="90" customFormat="false" ht="14.25" hidden="false" customHeight="true" outlineLevel="0" collapsed="false">
      <c r="A90" s="6" t="s">
        <v>38</v>
      </c>
      <c r="B90" s="7" t="n">
        <v>20019</v>
      </c>
      <c r="C90" s="33" t="s">
        <v>111</v>
      </c>
      <c r="D90" s="8" t="n">
        <v>4085</v>
      </c>
      <c r="E90" s="8" t="n">
        <v>4085</v>
      </c>
      <c r="F90" s="8" t="n">
        <f aca="false">D90-E90</f>
        <v>0</v>
      </c>
      <c r="G90" s="7" t="s">
        <v>112</v>
      </c>
    </row>
    <row r="91" customFormat="false" ht="14.25" hidden="false" customHeight="true" outlineLevel="0" collapsed="false">
      <c r="A91" s="19" t="s">
        <v>84</v>
      </c>
      <c r="B91" s="20"/>
      <c r="C91" s="20"/>
      <c r="D91" s="21" t="n">
        <v>4085</v>
      </c>
      <c r="E91" s="21" t="n">
        <v>4085</v>
      </c>
      <c r="F91" s="21" t="n">
        <v>0</v>
      </c>
      <c r="G91" s="20"/>
    </row>
    <row r="92" customFormat="false" ht="14.25" hidden="false" customHeight="true" outlineLevel="0" collapsed="false">
      <c r="A92" s="19"/>
      <c r="B92" s="20"/>
      <c r="C92" s="20"/>
      <c r="D92" s="21"/>
      <c r="E92" s="21"/>
      <c r="F92" s="21"/>
      <c r="G92" s="20"/>
    </row>
    <row r="93" customFormat="false" ht="14.25" hidden="false" customHeight="true" outlineLevel="0" collapsed="false"/>
    <row r="94" customFormat="false" ht="21.75" hidden="false" customHeight="true" outlineLevel="0" collapsed="false">
      <c r="A94" s="39" t="s">
        <v>113</v>
      </c>
      <c r="B94" s="39"/>
      <c r="C94" s="39"/>
      <c r="D94" s="40" t="n">
        <f aca="false">F15+F28+(F40-125000)+F47+F52+F58+(F71-4460.4-19915.99)+F77+F82+F87+F91</f>
        <v>414417.07</v>
      </c>
      <c r="E94" s="41"/>
      <c r="F94" s="41"/>
      <c r="G94" s="41"/>
    </row>
    <row r="95" customFormat="false" ht="14.25" hidden="false" customHeight="true" outlineLevel="0" collapsed="false"/>
    <row r="96" customFormat="false" ht="14.25" hidden="false" customHeight="true" outlineLevel="0" collapsed="false">
      <c r="A96" s="3" t="s">
        <v>114</v>
      </c>
      <c r="B96" s="3"/>
      <c r="C96" s="3"/>
      <c r="D96" s="3"/>
      <c r="E96" s="3"/>
      <c r="F96" s="3"/>
      <c r="G96" s="3"/>
    </row>
    <row r="97" customFormat="false" ht="14.25" hidden="false" customHeight="true" outlineLevel="0" collapsed="false">
      <c r="A97" s="1" t="s">
        <v>115</v>
      </c>
    </row>
    <row r="98" customFormat="false" ht="14.25" hidden="false" customHeight="true" outlineLevel="0" collapsed="false"/>
    <row r="99" customFormat="false" ht="14.25" hidden="false" customHeight="true" outlineLevel="0" collapsed="false">
      <c r="A99" s="42" t="s">
        <v>116</v>
      </c>
    </row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4.2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4.2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4.2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4.2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4.2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</sheetData>
  <mergeCells count="12">
    <mergeCell ref="A1:G1"/>
    <mergeCell ref="A2:G2"/>
    <mergeCell ref="A4:G4"/>
    <mergeCell ref="A17:G17"/>
    <mergeCell ref="A30:G30"/>
    <mergeCell ref="A42:G42"/>
    <mergeCell ref="A49:G49"/>
    <mergeCell ref="A54:G54"/>
    <mergeCell ref="A61:G61"/>
    <mergeCell ref="A72:G72"/>
    <mergeCell ref="A94:C94"/>
    <mergeCell ref="A96:G9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4.38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26" min="8" style="1" width="8.62"/>
  </cols>
  <sheetData>
    <row r="1" customFormat="false" ht="24" hidden="false" customHeight="true" outlineLevel="0" collapsed="false">
      <c r="A1" s="2" t="s">
        <v>117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118</v>
      </c>
      <c r="B2" s="43"/>
      <c r="C2" s="43"/>
      <c r="D2" s="43"/>
      <c r="E2" s="44" t="n">
        <v>-14704.95</v>
      </c>
      <c r="F2" s="31"/>
      <c r="G2" s="31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119</v>
      </c>
      <c r="C4" s="5" t="s">
        <v>120</v>
      </c>
      <c r="D4" s="5" t="s">
        <v>121</v>
      </c>
      <c r="E4" s="5" t="s">
        <v>8</v>
      </c>
      <c r="F4" s="5" t="s">
        <v>122</v>
      </c>
      <c r="G4" s="5" t="s">
        <v>123</v>
      </c>
    </row>
    <row r="5" customFormat="false" ht="14.25" hidden="false" customHeight="true" outlineLevel="0" collapsed="false">
      <c r="A5" s="45" t="s">
        <v>124</v>
      </c>
      <c r="B5" s="46" t="s">
        <v>125</v>
      </c>
      <c r="C5" s="47"/>
      <c r="D5" s="48" t="n">
        <v>90</v>
      </c>
      <c r="E5" s="49" t="n">
        <v>-14794.95</v>
      </c>
      <c r="F5" s="50" t="s">
        <v>126</v>
      </c>
      <c r="G5" s="45" t="s">
        <v>127</v>
      </c>
    </row>
    <row r="6" customFormat="false" ht="14.25" hidden="false" customHeight="true" outlineLevel="0" collapsed="false">
      <c r="A6" s="51" t="s">
        <v>124</v>
      </c>
      <c r="B6" s="52" t="s">
        <v>128</v>
      </c>
      <c r="C6" s="53"/>
      <c r="D6" s="54" t="n">
        <v>9165</v>
      </c>
      <c r="E6" s="55" t="n">
        <v>-23959.95</v>
      </c>
      <c r="F6" s="56" t="s">
        <v>129</v>
      </c>
      <c r="G6" s="51" t="s">
        <v>130</v>
      </c>
    </row>
    <row r="7" customFormat="false" ht="14.25" hidden="false" customHeight="true" outlineLevel="0" collapsed="false">
      <c r="A7" s="45" t="s">
        <v>124</v>
      </c>
      <c r="B7" s="46" t="s">
        <v>131</v>
      </c>
      <c r="C7" s="47"/>
      <c r="D7" s="48" t="n">
        <v>87.45</v>
      </c>
      <c r="E7" s="49" t="n">
        <v>-24047.4</v>
      </c>
      <c r="F7" s="50" t="s">
        <v>126</v>
      </c>
      <c r="G7" s="45" t="s">
        <v>127</v>
      </c>
    </row>
    <row r="8" customFormat="false" ht="14.25" hidden="false" customHeight="true" outlineLevel="0" collapsed="false">
      <c r="A8" s="45" t="s">
        <v>132</v>
      </c>
      <c r="B8" s="46" t="s">
        <v>133</v>
      </c>
      <c r="C8" s="47"/>
      <c r="D8" s="48" t="n">
        <v>1933.2</v>
      </c>
      <c r="E8" s="49" t="n">
        <v>-25980.6</v>
      </c>
      <c r="F8" s="50" t="s">
        <v>126</v>
      </c>
      <c r="G8" s="45" t="s">
        <v>127</v>
      </c>
    </row>
    <row r="9" customFormat="false" ht="14.25" hidden="false" customHeight="true" outlineLevel="0" collapsed="false">
      <c r="A9" s="45" t="s">
        <v>132</v>
      </c>
      <c r="B9" s="46" t="s">
        <v>134</v>
      </c>
      <c r="C9" s="47"/>
      <c r="D9" s="48" t="n">
        <v>6085.74</v>
      </c>
      <c r="E9" s="49" t="n">
        <v>-32066.34</v>
      </c>
      <c r="F9" s="50" t="s">
        <v>126</v>
      </c>
      <c r="G9" s="45" t="s">
        <v>127</v>
      </c>
    </row>
    <row r="10" customFormat="false" ht="14.25" hidden="false" customHeight="true" outlineLevel="0" collapsed="false">
      <c r="A10" s="45" t="s">
        <v>132</v>
      </c>
      <c r="B10" s="46" t="s">
        <v>135</v>
      </c>
      <c r="C10" s="47"/>
      <c r="D10" s="48" t="n">
        <v>1997.89</v>
      </c>
      <c r="E10" s="49" t="n">
        <v>-34064.23</v>
      </c>
      <c r="F10" s="50" t="s">
        <v>126</v>
      </c>
      <c r="G10" s="45" t="s">
        <v>127</v>
      </c>
    </row>
    <row r="11" customFormat="false" ht="14.25" hidden="false" customHeight="true" outlineLevel="0" collapsed="false">
      <c r="A11" s="45" t="s">
        <v>132</v>
      </c>
      <c r="B11" s="46" t="s">
        <v>136</v>
      </c>
      <c r="C11" s="47"/>
      <c r="D11" s="48" t="n">
        <v>450</v>
      </c>
      <c r="E11" s="49" t="n">
        <v>-34514.23</v>
      </c>
      <c r="F11" s="50" t="s">
        <v>137</v>
      </c>
      <c r="G11" s="45" t="s">
        <v>127</v>
      </c>
    </row>
    <row r="12" customFormat="false" ht="14.25" hidden="false" customHeight="true" outlineLevel="0" collapsed="false">
      <c r="A12" s="7" t="s">
        <v>132</v>
      </c>
      <c r="B12" s="6" t="s">
        <v>138</v>
      </c>
      <c r="C12" s="9" t="n">
        <v>30000</v>
      </c>
      <c r="D12" s="57"/>
      <c r="E12" s="58" t="n">
        <v>-4514.23</v>
      </c>
      <c r="F12" s="11" t="s">
        <v>139</v>
      </c>
      <c r="G12" s="7" t="s">
        <v>140</v>
      </c>
    </row>
    <row r="13" customFormat="false" ht="14.25" hidden="false" customHeight="true" outlineLevel="0" collapsed="false">
      <c r="A13" s="51" t="s">
        <v>132</v>
      </c>
      <c r="B13" s="52" t="s">
        <v>141</v>
      </c>
      <c r="C13" s="53"/>
      <c r="D13" s="54" t="n">
        <v>2500</v>
      </c>
      <c r="E13" s="55" t="n">
        <v>-7014.23</v>
      </c>
      <c r="F13" s="56" t="s">
        <v>142</v>
      </c>
      <c r="G13" s="51" t="s">
        <v>130</v>
      </c>
    </row>
    <row r="14" customFormat="false" ht="14.25" hidden="false" customHeight="true" outlineLevel="0" collapsed="false">
      <c r="A14" s="45" t="s">
        <v>143</v>
      </c>
      <c r="B14" s="46" t="s">
        <v>134</v>
      </c>
      <c r="C14" s="47"/>
      <c r="D14" s="48" t="n">
        <v>324.82</v>
      </c>
      <c r="E14" s="49" t="n">
        <v>-7339.05</v>
      </c>
      <c r="F14" s="50" t="s">
        <v>126</v>
      </c>
      <c r="G14" s="45" t="s">
        <v>127</v>
      </c>
    </row>
    <row r="15" customFormat="false" ht="14.25" hidden="false" customHeight="true" outlineLevel="0" collapsed="false">
      <c r="A15" s="45" t="s">
        <v>144</v>
      </c>
      <c r="B15" s="46" t="s">
        <v>145</v>
      </c>
      <c r="C15" s="47"/>
      <c r="D15" s="48" t="n">
        <v>59825</v>
      </c>
      <c r="E15" s="49" t="n">
        <v>-67164.05</v>
      </c>
      <c r="F15" s="50" t="s">
        <v>146</v>
      </c>
      <c r="G15" s="45" t="s">
        <v>127</v>
      </c>
    </row>
    <row r="16" customFormat="false" ht="14.25" hidden="false" customHeight="true" outlineLevel="0" collapsed="false">
      <c r="A16" s="45" t="s">
        <v>147</v>
      </c>
      <c r="B16" s="46" t="s">
        <v>133</v>
      </c>
      <c r="C16" s="47"/>
      <c r="D16" s="48" t="n">
        <v>45.9</v>
      </c>
      <c r="E16" s="49" t="n">
        <v>-67209.95</v>
      </c>
      <c r="F16" s="50" t="s">
        <v>126</v>
      </c>
      <c r="G16" s="45" t="s">
        <v>127</v>
      </c>
    </row>
    <row r="17" customFormat="false" ht="14.25" hidden="false" customHeight="true" outlineLevel="0" collapsed="false">
      <c r="A17" s="45" t="s">
        <v>147</v>
      </c>
      <c r="B17" s="46" t="s">
        <v>134</v>
      </c>
      <c r="C17" s="47"/>
      <c r="D17" s="48" t="n">
        <v>74.9</v>
      </c>
      <c r="E17" s="49" t="n">
        <v>-67284.85</v>
      </c>
      <c r="F17" s="50" t="s">
        <v>126</v>
      </c>
      <c r="G17" s="45" t="s">
        <v>127</v>
      </c>
    </row>
    <row r="18" customFormat="false" ht="14.25" hidden="false" customHeight="true" outlineLevel="0" collapsed="false">
      <c r="A18" s="7" t="s">
        <v>147</v>
      </c>
      <c r="B18" s="6" t="s">
        <v>148</v>
      </c>
      <c r="C18" s="9" t="n">
        <v>25000</v>
      </c>
      <c r="D18" s="57"/>
      <c r="E18" s="58" t="n">
        <v>-42284.85</v>
      </c>
      <c r="F18" s="11" t="s">
        <v>139</v>
      </c>
      <c r="G18" s="7" t="s">
        <v>140</v>
      </c>
    </row>
    <row r="19" customFormat="false" ht="14.25" hidden="false" customHeight="true" outlineLevel="0" collapsed="false">
      <c r="A19" s="7" t="s">
        <v>147</v>
      </c>
      <c r="B19" s="6" t="s">
        <v>148</v>
      </c>
      <c r="C19" s="9" t="n">
        <v>25000</v>
      </c>
      <c r="D19" s="57"/>
      <c r="E19" s="58" t="n">
        <v>-17284.85</v>
      </c>
      <c r="F19" s="11" t="s">
        <v>139</v>
      </c>
      <c r="G19" s="7" t="s">
        <v>140</v>
      </c>
    </row>
    <row r="20" customFormat="false" ht="14.25" hidden="false" customHeight="true" outlineLevel="0" collapsed="false">
      <c r="A20" s="7" t="s">
        <v>149</v>
      </c>
      <c r="B20" s="6" t="s">
        <v>150</v>
      </c>
      <c r="C20" s="9" t="n">
        <v>43158.5</v>
      </c>
      <c r="D20" s="57"/>
      <c r="E20" s="58" t="n">
        <v>25873.65</v>
      </c>
      <c r="F20" s="11" t="s">
        <v>151</v>
      </c>
      <c r="G20" s="7" t="s">
        <v>140</v>
      </c>
    </row>
    <row r="21" customFormat="false" ht="14.25" hidden="false" customHeight="true" outlineLevel="0" collapsed="false">
      <c r="A21" s="45" t="s">
        <v>149</v>
      </c>
      <c r="B21" s="46" t="s">
        <v>134</v>
      </c>
      <c r="C21" s="47"/>
      <c r="D21" s="48" t="n">
        <v>43</v>
      </c>
      <c r="E21" s="49" t="n">
        <v>25830.65</v>
      </c>
      <c r="F21" s="50" t="s">
        <v>126</v>
      </c>
      <c r="G21" s="45" t="s">
        <v>127</v>
      </c>
    </row>
    <row r="22" customFormat="false" ht="14.25" hidden="false" customHeight="true" outlineLevel="0" collapsed="false">
      <c r="A22" s="45" t="s">
        <v>152</v>
      </c>
      <c r="B22" s="46" t="s">
        <v>134</v>
      </c>
      <c r="C22" s="47"/>
      <c r="D22" s="48" t="n">
        <v>3.9</v>
      </c>
      <c r="E22" s="49" t="n">
        <v>25826.75</v>
      </c>
      <c r="F22" s="50" t="s">
        <v>126</v>
      </c>
      <c r="G22" s="45" t="s">
        <v>127</v>
      </c>
    </row>
    <row r="23" customFormat="false" ht="14.25" hidden="false" customHeight="true" outlineLevel="0" collapsed="false">
      <c r="A23" s="51" t="s">
        <v>152</v>
      </c>
      <c r="B23" s="52" t="s">
        <v>153</v>
      </c>
      <c r="C23" s="53"/>
      <c r="D23" s="54" t="n">
        <v>18290</v>
      </c>
      <c r="E23" s="55" t="n">
        <v>7536.75000000001</v>
      </c>
      <c r="F23" s="56" t="s">
        <v>154</v>
      </c>
      <c r="G23" s="51" t="s">
        <v>130</v>
      </c>
    </row>
    <row r="24" customFormat="false" ht="14.25" hidden="false" customHeight="true" outlineLevel="0" collapsed="false">
      <c r="A24" s="51" t="s">
        <v>155</v>
      </c>
      <c r="B24" s="52" t="s">
        <v>156</v>
      </c>
      <c r="C24" s="53"/>
      <c r="D24" s="54" t="n">
        <v>349.02</v>
      </c>
      <c r="E24" s="55" t="n">
        <v>7187.73000000001</v>
      </c>
      <c r="F24" s="56" t="s">
        <v>157</v>
      </c>
      <c r="G24" s="51" t="s">
        <v>130</v>
      </c>
    </row>
    <row r="25" customFormat="false" ht="14.25" hidden="false" customHeight="true" outlineLevel="0" collapsed="false">
      <c r="A25" s="51" t="s">
        <v>155</v>
      </c>
      <c r="B25" s="52" t="s">
        <v>156</v>
      </c>
      <c r="C25" s="53"/>
      <c r="D25" s="54" t="n">
        <v>510.99</v>
      </c>
      <c r="E25" s="55" t="n">
        <v>6676.74000000001</v>
      </c>
      <c r="F25" s="56" t="s">
        <v>157</v>
      </c>
      <c r="G25" s="51" t="s">
        <v>130</v>
      </c>
    </row>
    <row r="26" customFormat="false" ht="14.25" hidden="false" customHeight="true" outlineLevel="0" collapsed="false">
      <c r="A26" s="51" t="s">
        <v>155</v>
      </c>
      <c r="B26" s="52" t="s">
        <v>156</v>
      </c>
      <c r="C26" s="53"/>
      <c r="D26" s="54" t="n">
        <v>840.59</v>
      </c>
      <c r="E26" s="55" t="n">
        <v>5836.15000000001</v>
      </c>
      <c r="F26" s="56" t="s">
        <v>158</v>
      </c>
      <c r="G26" s="51" t="s">
        <v>130</v>
      </c>
    </row>
    <row r="27" customFormat="false" ht="14.25" hidden="false" customHeight="true" outlineLevel="0" collapsed="false">
      <c r="A27" s="51" t="s">
        <v>155</v>
      </c>
      <c r="B27" s="52" t="s">
        <v>156</v>
      </c>
      <c r="C27" s="53"/>
      <c r="D27" s="54" t="n">
        <v>1110.96</v>
      </c>
      <c r="E27" s="55" t="n">
        <v>4725.19000000001</v>
      </c>
      <c r="F27" s="56" t="s">
        <v>157</v>
      </c>
      <c r="G27" s="51" t="s">
        <v>130</v>
      </c>
    </row>
    <row r="28" customFormat="false" ht="14.25" hidden="false" customHeight="true" outlineLevel="0" collapsed="false">
      <c r="A28" s="51" t="s">
        <v>155</v>
      </c>
      <c r="B28" s="52" t="s">
        <v>156</v>
      </c>
      <c r="C28" s="53"/>
      <c r="D28" s="54" t="n">
        <v>1299.16</v>
      </c>
      <c r="E28" s="55" t="n">
        <v>3426.03000000001</v>
      </c>
      <c r="F28" s="56" t="s">
        <v>157</v>
      </c>
      <c r="G28" s="51" t="s">
        <v>130</v>
      </c>
    </row>
    <row r="29" customFormat="false" ht="14.25" hidden="false" customHeight="true" outlineLevel="0" collapsed="false">
      <c r="A29" s="51" t="s">
        <v>155</v>
      </c>
      <c r="B29" s="52" t="s">
        <v>156</v>
      </c>
      <c r="C29" s="53"/>
      <c r="D29" s="54" t="n">
        <v>2798.3</v>
      </c>
      <c r="E29" s="55" t="n">
        <v>627.730000000007</v>
      </c>
      <c r="F29" s="56" t="s">
        <v>157</v>
      </c>
      <c r="G29" s="51" t="s">
        <v>130</v>
      </c>
    </row>
    <row r="30" customFormat="false" ht="14.25" hidden="false" customHeight="true" outlineLevel="0" collapsed="false">
      <c r="A30" s="45" t="s">
        <v>155</v>
      </c>
      <c r="B30" s="46" t="s">
        <v>159</v>
      </c>
      <c r="C30" s="47"/>
      <c r="D30" s="48" t="n">
        <v>8820</v>
      </c>
      <c r="E30" s="49" t="n">
        <v>-8192.26999999999</v>
      </c>
      <c r="F30" s="50" t="s">
        <v>160</v>
      </c>
      <c r="G30" s="45" t="s">
        <v>127</v>
      </c>
    </row>
    <row r="31" customFormat="false" ht="14.25" hidden="false" customHeight="true" outlineLevel="0" collapsed="false">
      <c r="A31" s="45" t="s">
        <v>68</v>
      </c>
      <c r="B31" s="46" t="s">
        <v>161</v>
      </c>
      <c r="C31" s="47"/>
      <c r="D31" s="48" t="n">
        <v>500</v>
      </c>
      <c r="E31" s="49" t="n">
        <v>-8692.26999999999</v>
      </c>
      <c r="F31" s="50" t="s">
        <v>162</v>
      </c>
      <c r="G31" s="45" t="s">
        <v>127</v>
      </c>
    </row>
    <row r="32" customFormat="false" ht="14.25" hidden="false" customHeight="true" outlineLevel="0" collapsed="false">
      <c r="A32" s="7" t="s">
        <v>68</v>
      </c>
      <c r="B32" s="6" t="s">
        <v>163</v>
      </c>
      <c r="C32" s="9" t="n">
        <v>26697.5</v>
      </c>
      <c r="D32" s="57"/>
      <c r="E32" s="58" t="n">
        <v>18005.23</v>
      </c>
      <c r="F32" s="11" t="s">
        <v>164</v>
      </c>
      <c r="G32" s="7" t="s">
        <v>140</v>
      </c>
    </row>
    <row r="33" customFormat="false" ht="14.25" hidden="false" customHeight="true" outlineLevel="0" collapsed="false">
      <c r="A33" s="7" t="s">
        <v>68</v>
      </c>
      <c r="B33" s="6" t="s">
        <v>165</v>
      </c>
      <c r="C33" s="9" t="n">
        <v>112180.24</v>
      </c>
      <c r="D33" s="57"/>
      <c r="E33" s="58" t="n">
        <v>130185.47</v>
      </c>
      <c r="F33" s="11" t="s">
        <v>166</v>
      </c>
      <c r="G33" s="7" t="s">
        <v>140</v>
      </c>
    </row>
    <row r="34" customFormat="false" ht="14.25" hidden="false" customHeight="true" outlineLevel="0" collapsed="false">
      <c r="A34" s="51" t="s">
        <v>68</v>
      </c>
      <c r="B34" s="52" t="s">
        <v>167</v>
      </c>
      <c r="C34" s="53"/>
      <c r="D34" s="54" t="n">
        <v>6047</v>
      </c>
      <c r="E34" s="55" t="n">
        <v>124138.47</v>
      </c>
      <c r="F34" s="56" t="s">
        <v>168</v>
      </c>
      <c r="G34" s="51" t="s">
        <v>130</v>
      </c>
    </row>
    <row r="35" customFormat="false" ht="14.25" hidden="false" customHeight="true" outlineLevel="0" collapsed="false">
      <c r="A35" s="7" t="s">
        <v>68</v>
      </c>
      <c r="B35" s="6" t="s">
        <v>169</v>
      </c>
      <c r="C35" s="9" t="n">
        <v>25772</v>
      </c>
      <c r="D35" s="57"/>
      <c r="E35" s="58" t="n">
        <v>149910.47</v>
      </c>
      <c r="F35" s="11" t="s">
        <v>170</v>
      </c>
      <c r="G35" s="7" t="s">
        <v>140</v>
      </c>
    </row>
    <row r="36" customFormat="false" ht="14.25" hidden="false" customHeight="true" outlineLevel="0" collapsed="false">
      <c r="A36" s="7" t="s">
        <v>68</v>
      </c>
      <c r="B36" s="6" t="s">
        <v>171</v>
      </c>
      <c r="C36" s="9" t="n">
        <v>42075.85</v>
      </c>
      <c r="D36" s="57"/>
      <c r="E36" s="58" t="n">
        <v>191986.32</v>
      </c>
      <c r="F36" s="11" t="s">
        <v>172</v>
      </c>
      <c r="G36" s="7" t="s">
        <v>140</v>
      </c>
    </row>
    <row r="37" customFormat="false" ht="14.25" hidden="false" customHeight="true" outlineLevel="0" collapsed="false">
      <c r="A37" s="7" t="s">
        <v>68</v>
      </c>
      <c r="B37" s="6" t="s">
        <v>173</v>
      </c>
      <c r="C37" s="9" t="n">
        <v>182847</v>
      </c>
      <c r="D37" s="57"/>
      <c r="E37" s="58" t="n">
        <v>374833.32</v>
      </c>
      <c r="F37" s="11" t="s">
        <v>174</v>
      </c>
      <c r="G37" s="7" t="s">
        <v>140</v>
      </c>
    </row>
    <row r="38" customFormat="false" ht="14.25" hidden="false" customHeight="true" outlineLevel="0" collapsed="false">
      <c r="A38" s="51" t="s">
        <v>175</v>
      </c>
      <c r="B38" s="52" t="s">
        <v>167</v>
      </c>
      <c r="C38" s="53"/>
      <c r="D38" s="54" t="n">
        <v>10880</v>
      </c>
      <c r="E38" s="55" t="n">
        <v>363953.32</v>
      </c>
      <c r="F38" s="56" t="s">
        <v>168</v>
      </c>
      <c r="G38" s="51" t="s">
        <v>130</v>
      </c>
    </row>
    <row r="39" customFormat="false" ht="14.25" hidden="false" customHeight="true" outlineLevel="0" collapsed="false">
      <c r="A39" s="51" t="s">
        <v>175</v>
      </c>
      <c r="B39" s="52" t="s">
        <v>167</v>
      </c>
      <c r="C39" s="53"/>
      <c r="D39" s="54" t="n">
        <v>14000</v>
      </c>
      <c r="E39" s="55" t="n">
        <v>349953.32</v>
      </c>
      <c r="F39" s="56" t="s">
        <v>168</v>
      </c>
      <c r="G39" s="51" t="s">
        <v>130</v>
      </c>
    </row>
    <row r="40" customFormat="false" ht="14.25" hidden="false" customHeight="true" outlineLevel="0" collapsed="false">
      <c r="A40" s="45" t="s">
        <v>175</v>
      </c>
      <c r="B40" s="46" t="s">
        <v>176</v>
      </c>
      <c r="C40" s="47"/>
      <c r="D40" s="48" t="n">
        <v>16520</v>
      </c>
      <c r="E40" s="49" t="n">
        <v>333433.32</v>
      </c>
      <c r="F40" s="50" t="s">
        <v>177</v>
      </c>
      <c r="G40" s="45" t="s">
        <v>127</v>
      </c>
    </row>
    <row r="41" customFormat="false" ht="14.25" hidden="false" customHeight="true" outlineLevel="0" collapsed="false">
      <c r="A41" s="45" t="s">
        <v>175</v>
      </c>
      <c r="B41" s="46" t="s">
        <v>178</v>
      </c>
      <c r="C41" s="47"/>
      <c r="D41" s="48" t="n">
        <v>100000</v>
      </c>
      <c r="E41" s="49" t="n">
        <v>233433.32</v>
      </c>
      <c r="F41" s="50" t="s">
        <v>179</v>
      </c>
      <c r="G41" s="45" t="s">
        <v>127</v>
      </c>
    </row>
    <row r="42" customFormat="false" ht="14.25" hidden="false" customHeight="true" outlineLevel="0" collapsed="false">
      <c r="A42" s="51" t="s">
        <v>175</v>
      </c>
      <c r="B42" s="52" t="s">
        <v>180</v>
      </c>
      <c r="C42" s="53"/>
      <c r="D42" s="54" t="n">
        <v>12980</v>
      </c>
      <c r="E42" s="55" t="n">
        <v>220453.32</v>
      </c>
      <c r="F42" s="56" t="s">
        <v>181</v>
      </c>
      <c r="G42" s="51" t="s">
        <v>130</v>
      </c>
    </row>
    <row r="43" customFormat="false" ht="14.25" hidden="false" customHeight="true" outlineLevel="0" collapsed="false">
      <c r="A43" s="51" t="s">
        <v>175</v>
      </c>
      <c r="B43" s="52" t="s">
        <v>182</v>
      </c>
      <c r="C43" s="53"/>
      <c r="D43" s="54" t="n">
        <v>8850</v>
      </c>
      <c r="E43" s="55" t="n">
        <v>211603.32</v>
      </c>
      <c r="F43" s="56" t="s">
        <v>183</v>
      </c>
      <c r="G43" s="51" t="s">
        <v>130</v>
      </c>
    </row>
    <row r="44" customFormat="false" ht="14.25" hidden="false" customHeight="true" outlineLevel="0" collapsed="false">
      <c r="A44" s="45" t="s">
        <v>175</v>
      </c>
      <c r="B44" s="46" t="s">
        <v>184</v>
      </c>
      <c r="C44" s="47"/>
      <c r="D44" s="48" t="n">
        <v>9659</v>
      </c>
      <c r="E44" s="49" t="n">
        <v>201944.32</v>
      </c>
      <c r="F44" s="50" t="s">
        <v>185</v>
      </c>
      <c r="G44" s="45" t="s">
        <v>127</v>
      </c>
    </row>
    <row r="45" customFormat="false" ht="14.25" hidden="false" customHeight="true" outlineLevel="0" collapsed="false">
      <c r="A45" s="45" t="s">
        <v>175</v>
      </c>
      <c r="B45" s="46" t="s">
        <v>186</v>
      </c>
      <c r="C45" s="47"/>
      <c r="D45" s="48" t="n">
        <v>504.45</v>
      </c>
      <c r="E45" s="49" t="n">
        <v>201439.87</v>
      </c>
      <c r="F45" s="50" t="s">
        <v>187</v>
      </c>
      <c r="G45" s="45" t="s">
        <v>127</v>
      </c>
    </row>
    <row r="46" customFormat="false" ht="14.25" hidden="false" customHeight="true" outlineLevel="0" collapsed="false">
      <c r="A46" s="7" t="s">
        <v>188</v>
      </c>
      <c r="B46" s="6" t="s">
        <v>189</v>
      </c>
      <c r="C46" s="9" t="n">
        <v>2.89</v>
      </c>
      <c r="D46" s="57"/>
      <c r="E46" s="58" t="n">
        <v>201442.76</v>
      </c>
      <c r="F46" s="11" t="s">
        <v>190</v>
      </c>
      <c r="G46" s="7" t="s">
        <v>140</v>
      </c>
    </row>
    <row r="47" customFormat="false" ht="14.25" hidden="false" customHeight="true" outlineLevel="0" collapsed="false">
      <c r="A47" s="7" t="s">
        <v>188</v>
      </c>
      <c r="B47" s="6" t="s">
        <v>191</v>
      </c>
      <c r="C47" s="9" t="n">
        <v>45593.63</v>
      </c>
      <c r="D47" s="57"/>
      <c r="E47" s="58" t="n">
        <v>247036.39</v>
      </c>
      <c r="F47" s="11" t="s">
        <v>192</v>
      </c>
      <c r="G47" s="7" t="s">
        <v>140</v>
      </c>
    </row>
    <row r="48" customFormat="false" ht="14.25" hidden="false" customHeight="true" outlineLevel="0" collapsed="false">
      <c r="A48" s="45" t="s">
        <v>188</v>
      </c>
      <c r="B48" s="46" t="s">
        <v>193</v>
      </c>
      <c r="C48" s="47"/>
      <c r="D48" s="48" t="n">
        <v>45596.52</v>
      </c>
      <c r="E48" s="49" t="n">
        <v>201439.87</v>
      </c>
      <c r="F48" s="50" t="s">
        <v>192</v>
      </c>
      <c r="G48" s="45" t="s">
        <v>127</v>
      </c>
    </row>
    <row r="49" customFormat="false" ht="14.25" hidden="false" customHeight="true" outlineLevel="0" collapsed="false">
      <c r="A49" s="45" t="s">
        <v>188</v>
      </c>
      <c r="B49" s="46" t="s">
        <v>134</v>
      </c>
      <c r="C49" s="47"/>
      <c r="D49" s="48" t="n">
        <v>350.13</v>
      </c>
      <c r="E49" s="49" t="n">
        <v>201089.74</v>
      </c>
      <c r="F49" s="50" t="s">
        <v>126</v>
      </c>
      <c r="G49" s="45" t="s">
        <v>127</v>
      </c>
    </row>
    <row r="50" customFormat="false" ht="14.25" hidden="false" customHeight="true" outlineLevel="0" collapsed="false">
      <c r="A50" s="7" t="s">
        <v>188</v>
      </c>
      <c r="B50" s="6" t="s">
        <v>194</v>
      </c>
      <c r="C50" s="9" t="n">
        <v>6000</v>
      </c>
      <c r="D50" s="57"/>
      <c r="E50" s="58" t="n">
        <v>207089.74</v>
      </c>
      <c r="F50" s="11" t="s">
        <v>195</v>
      </c>
      <c r="G50" s="7" t="s">
        <v>140</v>
      </c>
    </row>
    <row r="51" customFormat="false" ht="14.25" hidden="false" customHeight="true" outlineLevel="0" collapsed="false">
      <c r="A51" s="51" t="s">
        <v>188</v>
      </c>
      <c r="B51" s="52" t="s">
        <v>196</v>
      </c>
      <c r="C51" s="53"/>
      <c r="D51" s="54" t="n">
        <v>7000</v>
      </c>
      <c r="E51" s="55" t="n">
        <v>200089.74</v>
      </c>
      <c r="F51" s="56" t="s">
        <v>197</v>
      </c>
      <c r="G51" s="51" t="s">
        <v>130</v>
      </c>
    </row>
    <row r="52" customFormat="false" ht="14.25" hidden="false" customHeight="true" outlineLevel="0" collapsed="false">
      <c r="A52" s="51" t="s">
        <v>188</v>
      </c>
      <c r="B52" s="52" t="s">
        <v>198</v>
      </c>
      <c r="C52" s="53"/>
      <c r="D52" s="54" t="n">
        <v>9600</v>
      </c>
      <c r="E52" s="55" t="n">
        <v>190489.74</v>
      </c>
      <c r="F52" s="56" t="s">
        <v>199</v>
      </c>
      <c r="G52" s="51" t="s">
        <v>130</v>
      </c>
    </row>
    <row r="53" customFormat="false" ht="14.25" hidden="false" customHeight="true" outlineLevel="0" collapsed="false">
      <c r="A53" s="51" t="s">
        <v>188</v>
      </c>
      <c r="B53" s="52" t="s">
        <v>200</v>
      </c>
      <c r="C53" s="53"/>
      <c r="D53" s="54" t="n">
        <v>4000</v>
      </c>
      <c r="E53" s="55" t="n">
        <v>186489.74</v>
      </c>
      <c r="F53" s="56" t="s">
        <v>201</v>
      </c>
      <c r="G53" s="51" t="s">
        <v>130</v>
      </c>
    </row>
    <row r="54" customFormat="false" ht="14.25" hidden="false" customHeight="true" outlineLevel="0" collapsed="false">
      <c r="A54" s="51" t="s">
        <v>188</v>
      </c>
      <c r="B54" s="52" t="s">
        <v>202</v>
      </c>
      <c r="C54" s="53"/>
      <c r="D54" s="54" t="n">
        <v>4000</v>
      </c>
      <c r="E54" s="55" t="n">
        <v>182489.74</v>
      </c>
      <c r="F54" s="56" t="s">
        <v>203</v>
      </c>
      <c r="G54" s="51" t="s">
        <v>130</v>
      </c>
    </row>
    <row r="55" customFormat="false" ht="14.25" hidden="false" customHeight="true" outlineLevel="0" collapsed="false">
      <c r="A55" s="51" t="s">
        <v>188</v>
      </c>
      <c r="B55" s="52" t="s">
        <v>204</v>
      </c>
      <c r="C55" s="53"/>
      <c r="D55" s="54" t="n">
        <v>3000</v>
      </c>
      <c r="E55" s="55" t="n">
        <v>179489.74</v>
      </c>
      <c r="F55" s="56" t="s">
        <v>205</v>
      </c>
      <c r="G55" s="51" t="s">
        <v>130</v>
      </c>
    </row>
    <row r="56" customFormat="false" ht="14.25" hidden="false" customHeight="true" outlineLevel="0" collapsed="false">
      <c r="A56" s="45" t="s">
        <v>188</v>
      </c>
      <c r="B56" s="46" t="s">
        <v>206</v>
      </c>
      <c r="C56" s="47"/>
      <c r="D56" s="48" t="n">
        <v>1770</v>
      </c>
      <c r="E56" s="49" t="n">
        <v>177719.74</v>
      </c>
      <c r="F56" s="50" t="s">
        <v>185</v>
      </c>
      <c r="G56" s="45" t="s">
        <v>127</v>
      </c>
    </row>
    <row r="57" customFormat="false" ht="14.25" hidden="false" customHeight="true" outlineLevel="0" collapsed="false">
      <c r="A57" s="51" t="s">
        <v>188</v>
      </c>
      <c r="B57" s="52" t="s">
        <v>207</v>
      </c>
      <c r="C57" s="53"/>
      <c r="D57" s="54" t="n">
        <v>4700</v>
      </c>
      <c r="E57" s="55" t="n">
        <v>173019.74</v>
      </c>
      <c r="F57" s="56" t="s">
        <v>208</v>
      </c>
      <c r="G57" s="51" t="s">
        <v>130</v>
      </c>
    </row>
    <row r="58" customFormat="false" ht="14.25" hidden="false" customHeight="true" outlineLevel="0" collapsed="false">
      <c r="A58" s="45" t="s">
        <v>209</v>
      </c>
      <c r="B58" s="46" t="s">
        <v>210</v>
      </c>
      <c r="C58" s="47"/>
      <c r="D58" s="48" t="n">
        <v>7967.63</v>
      </c>
      <c r="E58" s="49" t="n">
        <v>165052.11</v>
      </c>
      <c r="F58" s="50" t="s">
        <v>126</v>
      </c>
      <c r="G58" s="45" t="s">
        <v>127</v>
      </c>
    </row>
    <row r="59" customFormat="false" ht="14.25" hidden="false" customHeight="true" outlineLevel="0" collapsed="false">
      <c r="A59" s="45" t="s">
        <v>209</v>
      </c>
      <c r="B59" s="46" t="s">
        <v>133</v>
      </c>
      <c r="C59" s="47"/>
      <c r="D59" s="48" t="n">
        <v>10127.67</v>
      </c>
      <c r="E59" s="49" t="n">
        <v>154924.44</v>
      </c>
      <c r="F59" s="50" t="s">
        <v>126</v>
      </c>
      <c r="G59" s="45" t="s">
        <v>127</v>
      </c>
    </row>
    <row r="60" customFormat="false" ht="14.25" hidden="false" customHeight="true" outlineLevel="0" collapsed="false">
      <c r="A60" s="7" t="s">
        <v>209</v>
      </c>
      <c r="B60" s="6" t="s">
        <v>211</v>
      </c>
      <c r="C60" s="9" t="n">
        <v>35643.38</v>
      </c>
      <c r="D60" s="57"/>
      <c r="E60" s="58" t="n">
        <v>190567.82</v>
      </c>
      <c r="F60" s="11" t="s">
        <v>212</v>
      </c>
      <c r="G60" s="7" t="s">
        <v>140</v>
      </c>
    </row>
    <row r="61" customFormat="false" ht="14.25" hidden="false" customHeight="true" outlineLevel="0" collapsed="false">
      <c r="A61" s="45" t="s">
        <v>209</v>
      </c>
      <c r="B61" s="46" t="s">
        <v>135</v>
      </c>
      <c r="C61" s="47"/>
      <c r="D61" s="48" t="n">
        <v>3795.77</v>
      </c>
      <c r="E61" s="49" t="n">
        <v>186772.05</v>
      </c>
      <c r="F61" s="50" t="s">
        <v>126</v>
      </c>
      <c r="G61" s="45" t="s">
        <v>127</v>
      </c>
    </row>
    <row r="62" customFormat="false" ht="14.25" hidden="false" customHeight="true" outlineLevel="0" collapsed="false">
      <c r="A62" s="7" t="s">
        <v>209</v>
      </c>
      <c r="B62" s="6" t="s">
        <v>194</v>
      </c>
      <c r="C62" s="9" t="n">
        <v>2360</v>
      </c>
      <c r="D62" s="57"/>
      <c r="E62" s="58" t="n">
        <v>189132.05</v>
      </c>
      <c r="F62" s="11" t="s">
        <v>195</v>
      </c>
      <c r="G62" s="7" t="s">
        <v>140</v>
      </c>
    </row>
    <row r="63" customFormat="false" ht="14.25" hidden="false" customHeight="true" outlineLevel="0" collapsed="false">
      <c r="A63" s="7" t="s">
        <v>209</v>
      </c>
      <c r="B63" s="6" t="s">
        <v>213</v>
      </c>
      <c r="C63" s="9" t="n">
        <v>20000</v>
      </c>
      <c r="D63" s="57"/>
      <c r="E63" s="58" t="n">
        <v>209132.05</v>
      </c>
      <c r="F63" s="11" t="s">
        <v>214</v>
      </c>
      <c r="G63" s="7" t="s">
        <v>140</v>
      </c>
    </row>
    <row r="64" customFormat="false" ht="14.25" hidden="false" customHeight="true" outlineLevel="0" collapsed="false">
      <c r="A64" s="7" t="s">
        <v>215</v>
      </c>
      <c r="B64" s="6" t="s">
        <v>216</v>
      </c>
      <c r="C64" s="9" t="n">
        <v>7174.4</v>
      </c>
      <c r="D64" s="57"/>
      <c r="E64" s="58" t="n">
        <v>216306.45</v>
      </c>
      <c r="F64" s="11" t="s">
        <v>217</v>
      </c>
      <c r="G64" s="7" t="s">
        <v>140</v>
      </c>
    </row>
    <row r="65" customFormat="false" ht="14.25" hidden="false" customHeight="true" outlineLevel="0" collapsed="false">
      <c r="A65" s="7" t="s">
        <v>215</v>
      </c>
      <c r="B65" s="6" t="s">
        <v>218</v>
      </c>
      <c r="C65" s="9" t="n">
        <v>29658</v>
      </c>
      <c r="D65" s="57"/>
      <c r="E65" s="58" t="n">
        <v>245964.45</v>
      </c>
      <c r="F65" s="11" t="s">
        <v>214</v>
      </c>
      <c r="G65" s="7" t="s">
        <v>140</v>
      </c>
    </row>
    <row r="66" customFormat="false" ht="14.25" hidden="false" customHeight="true" outlineLevel="0" collapsed="false">
      <c r="A66" s="7" t="s">
        <v>219</v>
      </c>
      <c r="B66" s="6" t="s">
        <v>220</v>
      </c>
      <c r="C66" s="9" t="n">
        <v>63148</v>
      </c>
      <c r="D66" s="57"/>
      <c r="E66" s="58" t="n">
        <v>309112.45</v>
      </c>
      <c r="F66" s="11" t="s">
        <v>221</v>
      </c>
      <c r="G66" s="7" t="s">
        <v>140</v>
      </c>
    </row>
    <row r="67" customFormat="false" ht="14.25" hidden="false" customHeight="true" outlineLevel="0" collapsed="false">
      <c r="A67" s="45" t="s">
        <v>219</v>
      </c>
      <c r="B67" s="46" t="s">
        <v>134</v>
      </c>
      <c r="C67" s="47"/>
      <c r="D67" s="48" t="n">
        <v>74.9</v>
      </c>
      <c r="E67" s="49" t="n">
        <v>309037.55</v>
      </c>
      <c r="F67" s="50" t="s">
        <v>126</v>
      </c>
      <c r="G67" s="45" t="s">
        <v>127</v>
      </c>
    </row>
    <row r="68" customFormat="false" ht="14.25" hidden="false" customHeight="true" outlineLevel="0" collapsed="false">
      <c r="A68" s="51" t="s">
        <v>222</v>
      </c>
      <c r="B68" s="52" t="s">
        <v>223</v>
      </c>
      <c r="C68" s="53"/>
      <c r="D68" s="54" t="n">
        <v>1357</v>
      </c>
      <c r="E68" s="55" t="n">
        <v>307680.55</v>
      </c>
      <c r="F68" s="56" t="s">
        <v>224</v>
      </c>
      <c r="G68" s="51" t="s">
        <v>130</v>
      </c>
    </row>
    <row r="69" customFormat="false" ht="14.25" hidden="false" customHeight="true" outlineLevel="0" collapsed="false">
      <c r="A69" s="45" t="s">
        <v>222</v>
      </c>
      <c r="B69" s="46" t="s">
        <v>178</v>
      </c>
      <c r="C69" s="47"/>
      <c r="D69" s="48" t="n">
        <v>66380.44</v>
      </c>
      <c r="E69" s="49" t="n">
        <v>241300.11</v>
      </c>
      <c r="F69" s="50" t="s">
        <v>179</v>
      </c>
      <c r="G69" s="45" t="s">
        <v>127</v>
      </c>
    </row>
    <row r="70" customFormat="false" ht="14.25" hidden="false" customHeight="true" outlineLevel="0" collapsed="false">
      <c r="A70" s="7" t="s">
        <v>225</v>
      </c>
      <c r="B70" s="6" t="s">
        <v>226</v>
      </c>
      <c r="C70" s="9" t="n">
        <v>40000</v>
      </c>
      <c r="D70" s="57"/>
      <c r="E70" s="58" t="n">
        <v>281300.11</v>
      </c>
      <c r="F70" s="11" t="s">
        <v>227</v>
      </c>
      <c r="G70" s="7" t="s">
        <v>140</v>
      </c>
    </row>
    <row r="71" customFormat="false" ht="14.25" hidden="false" customHeight="true" outlineLevel="0" collapsed="false">
      <c r="A71" s="45" t="s">
        <v>225</v>
      </c>
      <c r="B71" s="46" t="s">
        <v>228</v>
      </c>
      <c r="C71" s="47"/>
      <c r="D71" s="48" t="n">
        <v>4097.78</v>
      </c>
      <c r="E71" s="49" t="n">
        <v>277202.33</v>
      </c>
      <c r="F71" s="50" t="s">
        <v>229</v>
      </c>
      <c r="G71" s="45" t="s">
        <v>127</v>
      </c>
    </row>
    <row r="72" customFormat="false" ht="14.25" hidden="false" customHeight="true" outlineLevel="0" collapsed="false">
      <c r="A72" s="51" t="s">
        <v>225</v>
      </c>
      <c r="B72" s="52" t="s">
        <v>230</v>
      </c>
      <c r="C72" s="53"/>
      <c r="D72" s="54" t="n">
        <v>1825</v>
      </c>
      <c r="E72" s="55" t="n">
        <v>275377.33</v>
      </c>
      <c r="F72" s="56" t="s">
        <v>231</v>
      </c>
      <c r="G72" s="51" t="s">
        <v>130</v>
      </c>
    </row>
    <row r="73" customFormat="false" ht="14.25" hidden="false" customHeight="true" outlineLevel="0" collapsed="false">
      <c r="A73" s="45" t="s">
        <v>225</v>
      </c>
      <c r="B73" s="46" t="s">
        <v>232</v>
      </c>
      <c r="C73" s="47"/>
      <c r="D73" s="48" t="n">
        <v>25773.6</v>
      </c>
      <c r="E73" s="49" t="n">
        <v>249603.73</v>
      </c>
      <c r="F73" s="50" t="s">
        <v>233</v>
      </c>
      <c r="G73" s="45" t="s">
        <v>127</v>
      </c>
    </row>
    <row r="74" customFormat="false" ht="14.25" hidden="false" customHeight="true" outlineLevel="0" collapsed="false">
      <c r="A74" s="45" t="s">
        <v>234</v>
      </c>
      <c r="B74" s="46" t="s">
        <v>206</v>
      </c>
      <c r="C74" s="47"/>
      <c r="D74" s="48" t="n">
        <v>4303</v>
      </c>
      <c r="E74" s="49" t="n">
        <v>245300.73</v>
      </c>
      <c r="F74" s="50" t="s">
        <v>185</v>
      </c>
      <c r="G74" s="45" t="s">
        <v>127</v>
      </c>
    </row>
    <row r="75" customFormat="false" ht="14.25" hidden="false" customHeight="true" outlineLevel="0" collapsed="false">
      <c r="A75" s="45" t="s">
        <v>234</v>
      </c>
      <c r="B75" s="46" t="s">
        <v>235</v>
      </c>
      <c r="C75" s="47"/>
      <c r="D75" s="48" t="n">
        <v>164926.24</v>
      </c>
      <c r="E75" s="49" t="n">
        <v>80374.49</v>
      </c>
      <c r="F75" s="50" t="s">
        <v>236</v>
      </c>
      <c r="G75" s="45" t="s">
        <v>127</v>
      </c>
    </row>
    <row r="76" customFormat="false" ht="14.25" hidden="false" customHeight="true" outlineLevel="0" collapsed="false">
      <c r="A76" s="7" t="s">
        <v>237</v>
      </c>
      <c r="B76" s="6" t="s">
        <v>238</v>
      </c>
      <c r="C76" s="9" t="n">
        <v>150119.5</v>
      </c>
      <c r="D76" s="57"/>
      <c r="E76" s="58" t="n">
        <v>230493.99</v>
      </c>
      <c r="F76" s="11" t="s">
        <v>239</v>
      </c>
      <c r="G76" s="7" t="s">
        <v>140</v>
      </c>
    </row>
    <row r="77" customFormat="false" ht="14.25" hidden="false" customHeight="true" outlineLevel="0" collapsed="false">
      <c r="A77" s="45" t="s">
        <v>240</v>
      </c>
      <c r="B77" s="46" t="s">
        <v>241</v>
      </c>
      <c r="C77" s="47"/>
      <c r="D77" s="48" t="n">
        <v>132462</v>
      </c>
      <c r="E77" s="49" t="n">
        <v>98031.99</v>
      </c>
      <c r="F77" s="50" t="s">
        <v>242</v>
      </c>
      <c r="G77" s="45" t="s">
        <v>127</v>
      </c>
    </row>
    <row r="78" customFormat="false" ht="14.25" hidden="false" customHeight="true" outlineLevel="0" collapsed="false">
      <c r="A78" s="45" t="s">
        <v>243</v>
      </c>
      <c r="B78" s="46" t="s">
        <v>244</v>
      </c>
      <c r="C78" s="47"/>
      <c r="D78" s="48" t="n">
        <v>100000</v>
      </c>
      <c r="E78" s="49" t="n">
        <v>-1968.00999999998</v>
      </c>
      <c r="F78" s="50" t="s">
        <v>245</v>
      </c>
      <c r="G78" s="45" t="s">
        <v>127</v>
      </c>
    </row>
    <row r="79" customFormat="false" ht="14.25" hidden="false" customHeight="true" outlineLevel="0" collapsed="false">
      <c r="A79" s="7" t="s">
        <v>246</v>
      </c>
      <c r="B79" s="6" t="s">
        <v>148</v>
      </c>
      <c r="C79" s="9" t="n">
        <v>32951</v>
      </c>
      <c r="D79" s="57"/>
      <c r="E79" s="58" t="n">
        <v>30982.99</v>
      </c>
      <c r="F79" s="11" t="s">
        <v>139</v>
      </c>
      <c r="G79" s="7" t="s">
        <v>140</v>
      </c>
    </row>
    <row r="80" customFormat="false" ht="14.25" hidden="false" customHeight="true" outlineLevel="0" collapsed="false">
      <c r="A80" s="7" t="s">
        <v>247</v>
      </c>
      <c r="B80" s="6" t="s">
        <v>248</v>
      </c>
      <c r="C80" s="9" t="n">
        <v>5.5</v>
      </c>
      <c r="D80" s="57"/>
      <c r="E80" s="58" t="n">
        <v>30988.49</v>
      </c>
      <c r="F80" s="11" t="s">
        <v>249</v>
      </c>
      <c r="G80" s="7" t="s">
        <v>140</v>
      </c>
    </row>
    <row r="81" customFormat="false" ht="14.25" hidden="false" customHeight="true" outlineLevel="0" collapsed="false">
      <c r="A81" s="51" t="s">
        <v>247</v>
      </c>
      <c r="B81" s="52" t="s">
        <v>250</v>
      </c>
      <c r="C81" s="53"/>
      <c r="D81" s="54" t="n">
        <v>5120</v>
      </c>
      <c r="E81" s="55" t="n">
        <v>25868.49</v>
      </c>
      <c r="F81" s="56" t="s">
        <v>251</v>
      </c>
      <c r="G81" s="51" t="s">
        <v>130</v>
      </c>
    </row>
    <row r="82" customFormat="false" ht="14.25" hidden="false" customHeight="true" outlineLevel="0" collapsed="false">
      <c r="A82" s="7" t="s">
        <v>247</v>
      </c>
      <c r="B82" s="6" t="s">
        <v>252</v>
      </c>
      <c r="C82" s="9" t="n">
        <v>40000</v>
      </c>
      <c r="D82" s="57"/>
      <c r="E82" s="58" t="n">
        <v>65868.49</v>
      </c>
      <c r="F82" s="11" t="s">
        <v>227</v>
      </c>
      <c r="G82" s="7" t="s">
        <v>140</v>
      </c>
    </row>
    <row r="83" customFormat="false" ht="14.25" hidden="false" customHeight="true" outlineLevel="0" collapsed="false">
      <c r="A83" s="45" t="s">
        <v>247</v>
      </c>
      <c r="B83" s="46" t="s">
        <v>253</v>
      </c>
      <c r="C83" s="47"/>
      <c r="D83" s="48" t="n">
        <v>70837</v>
      </c>
      <c r="E83" s="49" t="n">
        <v>-4968.50999999998</v>
      </c>
      <c r="F83" s="50" t="s">
        <v>245</v>
      </c>
      <c r="G83" s="45" t="s">
        <v>127</v>
      </c>
    </row>
    <row r="84" customFormat="false" ht="14.25" hidden="false" customHeight="true" outlineLevel="0" collapsed="false">
      <c r="A84" s="7" t="s">
        <v>94</v>
      </c>
      <c r="B84" s="6" t="s">
        <v>252</v>
      </c>
      <c r="C84" s="9" t="n">
        <v>25000</v>
      </c>
      <c r="D84" s="57"/>
      <c r="E84" s="58" t="n">
        <v>20031.49</v>
      </c>
      <c r="F84" s="11" t="s">
        <v>227</v>
      </c>
      <c r="G84" s="7" t="s">
        <v>140</v>
      </c>
    </row>
    <row r="85" customFormat="false" ht="14.25" hidden="false" customHeight="true" outlineLevel="0" collapsed="false">
      <c r="A85" s="51" t="s">
        <v>36</v>
      </c>
      <c r="B85" s="52" t="s">
        <v>254</v>
      </c>
      <c r="C85" s="53"/>
      <c r="D85" s="54" t="n">
        <v>5056</v>
      </c>
      <c r="E85" s="55" t="n">
        <v>14975.49</v>
      </c>
      <c r="F85" s="56" t="s">
        <v>255</v>
      </c>
      <c r="G85" s="51" t="s">
        <v>130</v>
      </c>
    </row>
    <row r="86" customFormat="false" ht="14.25" hidden="false" customHeight="true" outlineLevel="0" collapsed="false">
      <c r="A86" s="51" t="s">
        <v>36</v>
      </c>
      <c r="B86" s="52" t="s">
        <v>167</v>
      </c>
      <c r="C86" s="53"/>
      <c r="D86" s="54" t="n">
        <v>4000</v>
      </c>
      <c r="E86" s="55" t="n">
        <v>10975.49</v>
      </c>
      <c r="F86" s="56" t="s">
        <v>168</v>
      </c>
      <c r="G86" s="51" t="s">
        <v>130</v>
      </c>
    </row>
    <row r="87" customFormat="false" ht="14.25" hidden="false" customHeight="true" outlineLevel="0" collapsed="false">
      <c r="A87" s="7" t="s">
        <v>36</v>
      </c>
      <c r="B87" s="6" t="s">
        <v>138</v>
      </c>
      <c r="C87" s="9" t="n">
        <v>25000</v>
      </c>
      <c r="D87" s="57"/>
      <c r="E87" s="58" t="n">
        <v>35975.49</v>
      </c>
      <c r="F87" s="11" t="s">
        <v>139</v>
      </c>
      <c r="G87" s="7" t="s">
        <v>140</v>
      </c>
    </row>
    <row r="88" customFormat="false" ht="14.25" hidden="false" customHeight="true" outlineLevel="0" collapsed="false">
      <c r="A88" s="45" t="s">
        <v>36</v>
      </c>
      <c r="B88" s="46" t="s">
        <v>256</v>
      </c>
      <c r="C88" s="47"/>
      <c r="D88" s="48" t="n">
        <v>42764.64</v>
      </c>
      <c r="E88" s="49" t="n">
        <v>-6789.15</v>
      </c>
      <c r="F88" s="50" t="s">
        <v>179</v>
      </c>
      <c r="G88" s="45" t="s">
        <v>127</v>
      </c>
    </row>
    <row r="89" customFormat="false" ht="14.25" hidden="false" customHeight="true" outlineLevel="0" collapsed="false">
      <c r="A89" s="59" t="s">
        <v>257</v>
      </c>
      <c r="B89" s="52"/>
      <c r="C89" s="53"/>
      <c r="D89" s="54"/>
      <c r="E89" s="60" t="n">
        <v>-6789.15</v>
      </c>
      <c r="F89" s="56"/>
      <c r="G89" s="51"/>
    </row>
    <row r="90" customFormat="false" ht="14.25" hidden="false" customHeight="true" outlineLevel="0" collapsed="false"/>
    <row r="91" customFormat="false" ht="14.25" hidden="false" customHeight="true" outlineLevel="0" collapsed="false">
      <c r="A91" s="1" t="s">
        <v>258</v>
      </c>
    </row>
    <row r="92" customFormat="false" ht="14.25" hidden="false" customHeight="true" outlineLevel="0" collapsed="false">
      <c r="A92" s="1" t="s">
        <v>259</v>
      </c>
    </row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">
    <mergeCell ref="A1:G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4.38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8" min="8" style="1" width="17.76"/>
    <col collapsed="false" customWidth="true" hidden="false" outlineLevel="0" max="26" min="9" style="1" width="8.62"/>
  </cols>
  <sheetData>
    <row r="1" customFormat="false" ht="24" hidden="false" customHeight="true" outlineLevel="0" collapsed="false">
      <c r="A1" s="2" t="s">
        <v>260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261</v>
      </c>
      <c r="B2" s="43"/>
      <c r="C2" s="43"/>
      <c r="D2" s="43"/>
      <c r="E2" s="44" t="n">
        <v>-6789.15</v>
      </c>
      <c r="F2" s="31"/>
      <c r="G2" s="31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119</v>
      </c>
      <c r="C4" s="5" t="s">
        <v>120</v>
      </c>
      <c r="D4" s="5" t="s">
        <v>121</v>
      </c>
      <c r="E4" s="37" t="s">
        <v>8</v>
      </c>
      <c r="F4" s="5" t="s">
        <v>122</v>
      </c>
      <c r="G4" s="5" t="s">
        <v>123</v>
      </c>
      <c r="H4" s="61" t="s">
        <v>262</v>
      </c>
    </row>
    <row r="5" customFormat="false" ht="14.25" hidden="false" customHeight="true" outlineLevel="0" collapsed="false">
      <c r="A5" s="45" t="s">
        <v>263</v>
      </c>
      <c r="B5" s="46" t="s">
        <v>264</v>
      </c>
      <c r="C5" s="47"/>
      <c r="D5" s="48" t="n">
        <v>600</v>
      </c>
      <c r="E5" s="62" t="n">
        <v>-7389.15</v>
      </c>
      <c r="F5" s="50" t="s">
        <v>265</v>
      </c>
      <c r="G5" s="45" t="s">
        <v>127</v>
      </c>
      <c r="H5" s="63"/>
    </row>
    <row r="6" customFormat="false" ht="14.25" hidden="false" customHeight="true" outlineLevel="0" collapsed="false">
      <c r="A6" s="51" t="s">
        <v>263</v>
      </c>
      <c r="B6" s="52" t="s">
        <v>131</v>
      </c>
      <c r="C6" s="53"/>
      <c r="D6" s="54" t="n">
        <v>102.3</v>
      </c>
      <c r="E6" s="64" t="n">
        <v>-7491.45</v>
      </c>
      <c r="F6" s="56" t="s">
        <v>266</v>
      </c>
      <c r="G6" s="51" t="s">
        <v>130</v>
      </c>
      <c r="H6" s="65" t="s">
        <v>267</v>
      </c>
    </row>
    <row r="7" customFormat="false" ht="14.25" hidden="false" customHeight="true" outlineLevel="0" collapsed="false">
      <c r="A7" s="51" t="s">
        <v>263</v>
      </c>
      <c r="B7" s="52" t="s">
        <v>268</v>
      </c>
      <c r="C7" s="53"/>
      <c r="D7" s="54" t="n">
        <v>7967.22</v>
      </c>
      <c r="E7" s="64" t="n">
        <v>-15458.67</v>
      </c>
      <c r="F7" s="56" t="s">
        <v>266</v>
      </c>
      <c r="G7" s="51" t="s">
        <v>130</v>
      </c>
      <c r="H7" s="65" t="s">
        <v>267</v>
      </c>
    </row>
    <row r="8" customFormat="false" ht="14.25" hidden="false" customHeight="true" outlineLevel="0" collapsed="false">
      <c r="A8" s="51" t="s">
        <v>263</v>
      </c>
      <c r="B8" s="52" t="s">
        <v>269</v>
      </c>
      <c r="C8" s="53"/>
      <c r="D8" s="54" t="n">
        <v>2526.1</v>
      </c>
      <c r="E8" s="64" t="n">
        <v>-17984.77</v>
      </c>
      <c r="F8" s="56" t="s">
        <v>266</v>
      </c>
      <c r="G8" s="51" t="s">
        <v>130</v>
      </c>
      <c r="H8" s="65" t="s">
        <v>267</v>
      </c>
    </row>
    <row r="9" customFormat="false" ht="14.25" hidden="false" customHeight="true" outlineLevel="0" collapsed="false">
      <c r="A9" s="51" t="s">
        <v>263</v>
      </c>
      <c r="B9" s="52" t="s">
        <v>270</v>
      </c>
      <c r="C9" s="53"/>
      <c r="D9" s="54" t="n">
        <v>4486.53</v>
      </c>
      <c r="E9" s="64" t="n">
        <v>-22471.3</v>
      </c>
      <c r="F9" s="56" t="s">
        <v>266</v>
      </c>
      <c r="G9" s="51" t="s">
        <v>130</v>
      </c>
      <c r="H9" s="65" t="s">
        <v>267</v>
      </c>
    </row>
    <row r="10" customFormat="false" ht="14.25" hidden="false" customHeight="true" outlineLevel="0" collapsed="false">
      <c r="A10" s="51" t="s">
        <v>263</v>
      </c>
      <c r="B10" s="52" t="s">
        <v>271</v>
      </c>
      <c r="C10" s="53"/>
      <c r="D10" s="54" t="n">
        <v>9167</v>
      </c>
      <c r="E10" s="64" t="n">
        <v>-31638.3</v>
      </c>
      <c r="F10" s="56" t="s">
        <v>266</v>
      </c>
      <c r="G10" s="51" t="s">
        <v>130</v>
      </c>
      <c r="H10" s="65" t="s">
        <v>267</v>
      </c>
    </row>
    <row r="11" customFormat="false" ht="14.25" hidden="false" customHeight="true" outlineLevel="0" collapsed="false">
      <c r="A11" s="7" t="s">
        <v>272</v>
      </c>
      <c r="B11" s="6" t="s">
        <v>273</v>
      </c>
      <c r="C11" s="9" t="n">
        <v>2284.05</v>
      </c>
      <c r="D11" s="57"/>
      <c r="E11" s="66" t="n">
        <v>-29354.25</v>
      </c>
      <c r="F11" s="11" t="s">
        <v>274</v>
      </c>
      <c r="G11" s="7" t="s">
        <v>140</v>
      </c>
      <c r="H11" s="67"/>
    </row>
    <row r="12" customFormat="false" ht="14.25" hidden="false" customHeight="true" outlineLevel="0" collapsed="false">
      <c r="A12" s="7" t="s">
        <v>272</v>
      </c>
      <c r="B12" s="6" t="s">
        <v>275</v>
      </c>
      <c r="C12" s="9" t="n">
        <v>64257.58</v>
      </c>
      <c r="D12" s="57"/>
      <c r="E12" s="68" t="n">
        <v>34903.33</v>
      </c>
      <c r="F12" s="11" t="s">
        <v>276</v>
      </c>
      <c r="G12" s="7" t="s">
        <v>140</v>
      </c>
      <c r="H12" s="67"/>
    </row>
    <row r="13" customFormat="false" ht="14.25" hidden="false" customHeight="true" outlineLevel="0" collapsed="false">
      <c r="A13" s="51" t="s">
        <v>277</v>
      </c>
      <c r="B13" s="52" t="s">
        <v>278</v>
      </c>
      <c r="C13" s="53"/>
      <c r="D13" s="54" t="n">
        <v>3908</v>
      </c>
      <c r="E13" s="69" t="n">
        <v>30995.33</v>
      </c>
      <c r="F13" s="56" t="s">
        <v>266</v>
      </c>
      <c r="G13" s="51" t="s">
        <v>130</v>
      </c>
      <c r="H13" s="65" t="s">
        <v>267</v>
      </c>
    </row>
    <row r="14" customFormat="false" ht="14.25" hidden="false" customHeight="true" outlineLevel="0" collapsed="false">
      <c r="A14" s="7" t="s">
        <v>277</v>
      </c>
      <c r="B14" s="6" t="s">
        <v>279</v>
      </c>
      <c r="C14" s="9" t="n">
        <v>10089</v>
      </c>
      <c r="D14" s="57"/>
      <c r="E14" s="68" t="n">
        <v>41084.33</v>
      </c>
      <c r="F14" s="11" t="s">
        <v>280</v>
      </c>
      <c r="G14" s="7" t="s">
        <v>140</v>
      </c>
      <c r="H14" s="67"/>
    </row>
    <row r="15" customFormat="false" ht="14.25" hidden="false" customHeight="true" outlineLevel="0" collapsed="false">
      <c r="A15" s="7" t="s">
        <v>277</v>
      </c>
      <c r="B15" s="6" t="s">
        <v>281</v>
      </c>
      <c r="C15" s="9" t="n">
        <v>17098</v>
      </c>
      <c r="D15" s="57"/>
      <c r="E15" s="68" t="n">
        <v>58182.33</v>
      </c>
      <c r="F15" s="11" t="s">
        <v>282</v>
      </c>
      <c r="G15" s="7" t="s">
        <v>140</v>
      </c>
      <c r="H15" s="67"/>
    </row>
    <row r="16" customFormat="false" ht="14.25" hidden="false" customHeight="true" outlineLevel="0" collapsed="false">
      <c r="A16" s="7" t="s">
        <v>283</v>
      </c>
      <c r="B16" s="6" t="s">
        <v>284</v>
      </c>
      <c r="C16" s="9" t="n">
        <v>40614.42</v>
      </c>
      <c r="D16" s="57"/>
      <c r="E16" s="68" t="n">
        <v>98796.75</v>
      </c>
      <c r="F16" s="11"/>
      <c r="G16" s="7" t="s">
        <v>140</v>
      </c>
      <c r="H16" s="67"/>
    </row>
    <row r="17" customFormat="false" ht="14.25" hidden="false" customHeight="true" outlineLevel="0" collapsed="false">
      <c r="A17" s="51" t="s">
        <v>283</v>
      </c>
      <c r="B17" s="52" t="s">
        <v>270</v>
      </c>
      <c r="C17" s="53"/>
      <c r="D17" s="54" t="n">
        <v>182.5</v>
      </c>
      <c r="E17" s="69" t="n">
        <v>98614.25</v>
      </c>
      <c r="F17" s="56" t="s">
        <v>266</v>
      </c>
      <c r="G17" s="51" t="s">
        <v>130</v>
      </c>
      <c r="H17" s="65" t="s">
        <v>267</v>
      </c>
    </row>
    <row r="18" customFormat="false" ht="14.25" hidden="false" customHeight="true" outlineLevel="0" collapsed="false">
      <c r="A18" s="7" t="s">
        <v>283</v>
      </c>
      <c r="B18" s="6" t="s">
        <v>285</v>
      </c>
      <c r="C18" s="9" t="n">
        <v>50588</v>
      </c>
      <c r="D18" s="57"/>
      <c r="E18" s="68" t="n">
        <v>149202.25</v>
      </c>
      <c r="F18" s="11"/>
      <c r="G18" s="7" t="s">
        <v>140</v>
      </c>
      <c r="H18" s="67"/>
    </row>
    <row r="19" customFormat="false" ht="14.25" hidden="false" customHeight="true" outlineLevel="0" collapsed="false">
      <c r="A19" s="51" t="s">
        <v>283</v>
      </c>
      <c r="B19" s="52" t="s">
        <v>286</v>
      </c>
      <c r="C19" s="53"/>
      <c r="D19" s="54" t="n">
        <v>18290</v>
      </c>
      <c r="E19" s="69" t="n">
        <v>130912.25</v>
      </c>
      <c r="F19" s="56" t="s">
        <v>266</v>
      </c>
      <c r="G19" s="51" t="s">
        <v>130</v>
      </c>
      <c r="H19" s="65" t="s">
        <v>267</v>
      </c>
    </row>
    <row r="20" customFormat="false" ht="14.25" hidden="false" customHeight="true" outlineLevel="0" collapsed="false">
      <c r="A20" s="45" t="s">
        <v>283</v>
      </c>
      <c r="B20" s="46" t="s">
        <v>287</v>
      </c>
      <c r="C20" s="47"/>
      <c r="D20" s="48" t="n">
        <v>17098.2</v>
      </c>
      <c r="E20" s="70" t="n">
        <v>113814.05</v>
      </c>
      <c r="F20" s="50" t="s">
        <v>288</v>
      </c>
      <c r="G20" s="45" t="s">
        <v>127</v>
      </c>
      <c r="H20" s="63" t="s">
        <v>267</v>
      </c>
    </row>
    <row r="21" customFormat="false" ht="14.25" hidden="false" customHeight="true" outlineLevel="0" collapsed="false">
      <c r="A21" s="51" t="s">
        <v>283</v>
      </c>
      <c r="B21" s="52" t="s">
        <v>289</v>
      </c>
      <c r="C21" s="53"/>
      <c r="D21" s="54" t="n">
        <v>2500</v>
      </c>
      <c r="E21" s="69" t="n">
        <v>111314.05</v>
      </c>
      <c r="F21" s="56" t="s">
        <v>266</v>
      </c>
      <c r="G21" s="51" t="s">
        <v>130</v>
      </c>
      <c r="H21" s="65" t="s">
        <v>267</v>
      </c>
    </row>
    <row r="22" customFormat="false" ht="14.25" hidden="false" customHeight="true" outlineLevel="0" collapsed="false">
      <c r="A22" s="51" t="s">
        <v>290</v>
      </c>
      <c r="B22" s="52" t="s">
        <v>270</v>
      </c>
      <c r="C22" s="53"/>
      <c r="D22" s="54" t="n">
        <v>412.46</v>
      </c>
      <c r="E22" s="69" t="n">
        <v>110901.59</v>
      </c>
      <c r="F22" s="56" t="s">
        <v>266</v>
      </c>
      <c r="G22" s="51" t="s">
        <v>130</v>
      </c>
      <c r="H22" s="65" t="s">
        <v>267</v>
      </c>
    </row>
    <row r="23" customFormat="false" ht="14.25" hidden="false" customHeight="true" outlineLevel="0" collapsed="false">
      <c r="A23" s="7" t="s">
        <v>290</v>
      </c>
      <c r="B23" s="6" t="s">
        <v>291</v>
      </c>
      <c r="C23" s="9" t="n">
        <v>282192.28</v>
      </c>
      <c r="D23" s="57"/>
      <c r="E23" s="68" t="n">
        <v>393093.87</v>
      </c>
      <c r="F23" s="11" t="s">
        <v>292</v>
      </c>
      <c r="G23" s="6" t="s">
        <v>140</v>
      </c>
      <c r="H23" s="67"/>
    </row>
    <row r="24" customFormat="false" ht="14.25" hidden="false" customHeight="true" outlineLevel="0" collapsed="false">
      <c r="A24" s="7" t="s">
        <v>71</v>
      </c>
      <c r="B24" s="6" t="s">
        <v>293</v>
      </c>
      <c r="C24" s="9" t="n">
        <v>50000</v>
      </c>
      <c r="D24" s="57"/>
      <c r="E24" s="68" t="n">
        <v>443093.87</v>
      </c>
      <c r="F24" s="11"/>
      <c r="G24" s="6" t="s">
        <v>140</v>
      </c>
      <c r="H24" s="67"/>
    </row>
    <row r="25" customFormat="false" ht="14.25" hidden="false" customHeight="true" outlineLevel="0" collapsed="false">
      <c r="A25" s="7" t="s">
        <v>71</v>
      </c>
      <c r="B25" s="6" t="s">
        <v>294</v>
      </c>
      <c r="C25" s="9" t="n">
        <v>8177.4</v>
      </c>
      <c r="D25" s="57"/>
      <c r="E25" s="68" t="n">
        <v>451271.27</v>
      </c>
      <c r="F25" s="11" t="s">
        <v>295</v>
      </c>
      <c r="G25" s="6" t="s">
        <v>140</v>
      </c>
      <c r="H25" s="67"/>
    </row>
    <row r="26" customFormat="false" ht="14.25" hidden="false" customHeight="true" outlineLevel="0" collapsed="false">
      <c r="A26" s="7" t="s">
        <v>71</v>
      </c>
      <c r="B26" s="6" t="s">
        <v>296</v>
      </c>
      <c r="C26" s="9" t="n">
        <v>25772</v>
      </c>
      <c r="D26" s="57"/>
      <c r="E26" s="68" t="n">
        <v>477043.27</v>
      </c>
      <c r="F26" s="11" t="s">
        <v>297</v>
      </c>
      <c r="G26" s="6" t="s">
        <v>140</v>
      </c>
      <c r="H26" s="67"/>
    </row>
    <row r="27" customFormat="false" ht="14.25" hidden="false" customHeight="true" outlineLevel="0" collapsed="false">
      <c r="A27" s="7" t="s">
        <v>71</v>
      </c>
      <c r="B27" s="6" t="s">
        <v>298</v>
      </c>
      <c r="C27" s="9" t="n">
        <v>102940.84</v>
      </c>
      <c r="D27" s="57"/>
      <c r="E27" s="68" t="n">
        <v>579984.11</v>
      </c>
      <c r="F27" s="11" t="s">
        <v>299</v>
      </c>
      <c r="G27" s="6" t="s">
        <v>140</v>
      </c>
      <c r="H27" s="67"/>
    </row>
    <row r="28" customFormat="false" ht="14.25" hidden="false" customHeight="true" outlineLevel="0" collapsed="false">
      <c r="A28" s="7" t="s">
        <v>71</v>
      </c>
      <c r="B28" s="6" t="s">
        <v>300</v>
      </c>
      <c r="C28" s="9" t="n">
        <v>174158.56</v>
      </c>
      <c r="D28" s="57"/>
      <c r="E28" s="68" t="n">
        <v>754142.67</v>
      </c>
      <c r="F28" s="11" t="s">
        <v>301</v>
      </c>
      <c r="G28" s="6" t="s">
        <v>140</v>
      </c>
      <c r="H28" s="67"/>
    </row>
    <row r="29" customFormat="false" ht="14.25" hidden="false" customHeight="true" outlineLevel="0" collapsed="false">
      <c r="A29" s="51" t="s">
        <v>302</v>
      </c>
      <c r="B29" s="52" t="s">
        <v>303</v>
      </c>
      <c r="C29" s="53"/>
      <c r="D29" s="54" t="n">
        <v>6908.94</v>
      </c>
      <c r="E29" s="69" t="n">
        <v>747233.73</v>
      </c>
      <c r="F29" s="56" t="s">
        <v>304</v>
      </c>
      <c r="G29" s="52" t="s">
        <v>130</v>
      </c>
      <c r="H29" s="65" t="s">
        <v>267</v>
      </c>
    </row>
    <row r="30" customFormat="false" ht="14.25" hidden="false" customHeight="true" outlineLevel="0" collapsed="false">
      <c r="A30" s="7" t="s">
        <v>302</v>
      </c>
      <c r="B30" s="6" t="s">
        <v>305</v>
      </c>
      <c r="C30" s="9" t="n">
        <v>24425.66</v>
      </c>
      <c r="D30" s="57"/>
      <c r="E30" s="68" t="n">
        <v>771659.39</v>
      </c>
      <c r="F30" s="11" t="s">
        <v>306</v>
      </c>
      <c r="G30" s="6" t="s">
        <v>140</v>
      </c>
      <c r="H30" s="67"/>
    </row>
    <row r="31" customFormat="false" ht="14.25" hidden="false" customHeight="true" outlineLevel="0" collapsed="false">
      <c r="A31" s="45" t="s">
        <v>302</v>
      </c>
      <c r="B31" s="46" t="s">
        <v>307</v>
      </c>
      <c r="C31" s="47"/>
      <c r="D31" s="48" t="n">
        <v>32951</v>
      </c>
      <c r="E31" s="70" t="n">
        <v>738708.39</v>
      </c>
      <c r="F31" s="50" t="s">
        <v>308</v>
      </c>
      <c r="G31" s="46" t="s">
        <v>127</v>
      </c>
      <c r="H31" s="63" t="s">
        <v>309</v>
      </c>
    </row>
    <row r="32" customFormat="false" ht="14.25" hidden="false" customHeight="true" outlineLevel="0" collapsed="false">
      <c r="A32" s="51" t="s">
        <v>302</v>
      </c>
      <c r="B32" s="52" t="s">
        <v>167</v>
      </c>
      <c r="C32" s="53"/>
      <c r="D32" s="54" t="n">
        <v>10223</v>
      </c>
      <c r="E32" s="69" t="n">
        <v>728485.39</v>
      </c>
      <c r="F32" s="56" t="s">
        <v>266</v>
      </c>
      <c r="G32" s="52" t="s">
        <v>130</v>
      </c>
      <c r="H32" s="65" t="s">
        <v>267</v>
      </c>
    </row>
    <row r="33" customFormat="false" ht="14.25" hidden="false" customHeight="true" outlineLevel="0" collapsed="false">
      <c r="A33" s="51" t="s">
        <v>302</v>
      </c>
      <c r="B33" s="52" t="s">
        <v>167</v>
      </c>
      <c r="C33" s="53"/>
      <c r="D33" s="54" t="n">
        <v>6130</v>
      </c>
      <c r="E33" s="69" t="n">
        <v>722355.39</v>
      </c>
      <c r="F33" s="56" t="s">
        <v>266</v>
      </c>
      <c r="G33" s="52" t="s">
        <v>130</v>
      </c>
      <c r="H33" s="65" t="s">
        <v>267</v>
      </c>
    </row>
    <row r="34" customFormat="false" ht="14.25" hidden="false" customHeight="true" outlineLevel="0" collapsed="false">
      <c r="A34" s="45" t="s">
        <v>302</v>
      </c>
      <c r="B34" s="46" t="s">
        <v>310</v>
      </c>
      <c r="C34" s="47"/>
      <c r="D34" s="48" t="n">
        <v>50000</v>
      </c>
      <c r="E34" s="70" t="n">
        <v>672355.39</v>
      </c>
      <c r="F34" s="50" t="s">
        <v>311</v>
      </c>
      <c r="G34" s="46" t="s">
        <v>127</v>
      </c>
      <c r="H34" s="63" t="s">
        <v>309</v>
      </c>
    </row>
    <row r="35" customFormat="false" ht="14.25" hidden="false" customHeight="true" outlineLevel="0" collapsed="false">
      <c r="A35" s="45" t="s">
        <v>302</v>
      </c>
      <c r="B35" s="46" t="s">
        <v>312</v>
      </c>
      <c r="C35" s="47"/>
      <c r="D35" s="48" t="n">
        <v>1560</v>
      </c>
      <c r="E35" s="70" t="n">
        <v>670795.39</v>
      </c>
      <c r="F35" s="50" t="s">
        <v>313</v>
      </c>
      <c r="G35" s="46" t="s">
        <v>127</v>
      </c>
      <c r="H35" s="63" t="s">
        <v>267</v>
      </c>
    </row>
    <row r="36" customFormat="false" ht="14.25" hidden="false" customHeight="true" outlineLevel="0" collapsed="false">
      <c r="A36" s="51" t="s">
        <v>302</v>
      </c>
      <c r="B36" s="52" t="s">
        <v>314</v>
      </c>
      <c r="C36" s="53"/>
      <c r="D36" s="54" t="n">
        <v>12980</v>
      </c>
      <c r="E36" s="69" t="n">
        <v>657815.39</v>
      </c>
      <c r="F36" s="56" t="s">
        <v>266</v>
      </c>
      <c r="G36" s="52" t="s">
        <v>130</v>
      </c>
      <c r="H36" s="65" t="s">
        <v>267</v>
      </c>
    </row>
    <row r="37" customFormat="false" ht="14.25" hidden="false" customHeight="true" outlineLevel="0" collapsed="false">
      <c r="A37" s="51" t="s">
        <v>302</v>
      </c>
      <c r="B37" s="52" t="s">
        <v>315</v>
      </c>
      <c r="C37" s="53"/>
      <c r="D37" s="54" t="n">
        <v>8850</v>
      </c>
      <c r="E37" s="69" t="n">
        <v>648965.39</v>
      </c>
      <c r="F37" s="56" t="s">
        <v>266</v>
      </c>
      <c r="G37" s="52" t="s">
        <v>130</v>
      </c>
      <c r="H37" s="65" t="s">
        <v>267</v>
      </c>
    </row>
    <row r="38" customFormat="false" ht="14.25" hidden="false" customHeight="true" outlineLevel="0" collapsed="false">
      <c r="A38" s="59" t="s">
        <v>316</v>
      </c>
      <c r="B38" s="52" t="s">
        <v>317</v>
      </c>
      <c r="C38" s="53" t="n">
        <v>90</v>
      </c>
      <c r="D38" s="54"/>
      <c r="E38" s="69" t="n">
        <v>649055.39</v>
      </c>
      <c r="F38" s="56" t="s">
        <v>318</v>
      </c>
      <c r="G38" s="52" t="s">
        <v>140</v>
      </c>
      <c r="H38" s="65"/>
    </row>
    <row r="39" customFormat="false" ht="14.25" hidden="false" customHeight="true" outlineLevel="0" collapsed="false">
      <c r="A39" s="59" t="s">
        <v>316</v>
      </c>
      <c r="B39" s="52" t="s">
        <v>167</v>
      </c>
      <c r="C39" s="53"/>
      <c r="D39" s="54" t="n">
        <v>15000</v>
      </c>
      <c r="E39" s="69" t="n">
        <v>634055.39</v>
      </c>
      <c r="F39" s="56" t="s">
        <v>266</v>
      </c>
      <c r="G39" s="52" t="s">
        <v>130</v>
      </c>
      <c r="H39" s="65" t="s">
        <v>267</v>
      </c>
    </row>
    <row r="40" customFormat="false" ht="14.25" hidden="false" customHeight="true" outlineLevel="0" collapsed="false">
      <c r="A40" s="59" t="s">
        <v>316</v>
      </c>
      <c r="B40" s="52" t="s">
        <v>167</v>
      </c>
      <c r="C40" s="53"/>
      <c r="D40" s="54" t="n">
        <v>14142</v>
      </c>
      <c r="E40" s="69" t="n">
        <v>619913.39</v>
      </c>
      <c r="F40" s="56" t="s">
        <v>266</v>
      </c>
      <c r="G40" s="52" t="s">
        <v>130</v>
      </c>
      <c r="H40" s="65" t="s">
        <v>267</v>
      </c>
    </row>
    <row r="41" customFormat="false" ht="14.25" hidden="false" customHeight="true" outlineLevel="0" collapsed="false">
      <c r="A41" s="59" t="s">
        <v>316</v>
      </c>
      <c r="B41" s="52" t="s">
        <v>281</v>
      </c>
      <c r="C41" s="53" t="n">
        <v>32202</v>
      </c>
      <c r="D41" s="54"/>
      <c r="E41" s="69" t="n">
        <v>652115.39</v>
      </c>
      <c r="F41" s="56"/>
      <c r="G41" s="52" t="s">
        <v>140</v>
      </c>
      <c r="H41" s="65"/>
    </row>
    <row r="42" customFormat="false" ht="14.25" hidden="false" customHeight="true" outlineLevel="0" collapsed="false">
      <c r="A42" s="59" t="s">
        <v>316</v>
      </c>
      <c r="B42" s="52" t="s">
        <v>281</v>
      </c>
      <c r="C42" s="53" t="n">
        <v>3188</v>
      </c>
      <c r="D42" s="54"/>
      <c r="E42" s="69" t="n">
        <v>655303.39</v>
      </c>
      <c r="F42" s="56"/>
      <c r="G42" s="52" t="s">
        <v>140</v>
      </c>
      <c r="H42" s="65"/>
    </row>
    <row r="43" customFormat="false" ht="14.25" hidden="false" customHeight="true" outlineLevel="0" collapsed="false">
      <c r="A43" s="59" t="s">
        <v>319</v>
      </c>
      <c r="B43" s="52" t="s">
        <v>193</v>
      </c>
      <c r="C43" s="53"/>
      <c r="D43" s="54" t="n">
        <v>45599.41</v>
      </c>
      <c r="E43" s="69" t="n">
        <v>609703.98</v>
      </c>
      <c r="F43" s="56" t="s">
        <v>320</v>
      </c>
      <c r="G43" s="52" t="s">
        <v>127</v>
      </c>
      <c r="H43" s="65"/>
    </row>
    <row r="44" customFormat="false" ht="14.25" hidden="false" customHeight="true" outlineLevel="0" collapsed="false">
      <c r="A44" s="59" t="s">
        <v>319</v>
      </c>
      <c r="B44" s="52" t="s">
        <v>191</v>
      </c>
      <c r="C44" s="53" t="n">
        <v>45596.52</v>
      </c>
      <c r="D44" s="54"/>
      <c r="E44" s="69" t="n">
        <v>655300.5</v>
      </c>
      <c r="F44" s="56"/>
      <c r="G44" s="52" t="s">
        <v>140</v>
      </c>
      <c r="H44" s="65"/>
    </row>
    <row r="45" customFormat="false" ht="14.25" hidden="false" customHeight="true" outlineLevel="0" collapsed="false">
      <c r="A45" s="59" t="s">
        <v>319</v>
      </c>
      <c r="B45" s="52" t="s">
        <v>189</v>
      </c>
      <c r="C45" s="53" t="n">
        <v>2.89</v>
      </c>
      <c r="D45" s="54"/>
      <c r="E45" s="69" t="n">
        <v>655303.39</v>
      </c>
      <c r="F45" s="56"/>
      <c r="G45" s="52" t="s">
        <v>140</v>
      </c>
      <c r="H45" s="65"/>
    </row>
    <row r="46" customFormat="false" ht="14.25" hidden="false" customHeight="true" outlineLevel="0" collapsed="false">
      <c r="A46" s="59" t="s">
        <v>321</v>
      </c>
      <c r="B46" s="52" t="s">
        <v>322</v>
      </c>
      <c r="C46" s="71"/>
      <c r="D46" s="71" t="n">
        <v>4700</v>
      </c>
      <c r="E46" s="72" t="n">
        <v>650603.39</v>
      </c>
      <c r="F46" s="56" t="s">
        <v>266</v>
      </c>
      <c r="G46" s="52" t="s">
        <v>130</v>
      </c>
      <c r="H46" s="65" t="s">
        <v>267</v>
      </c>
    </row>
    <row r="47" customFormat="false" ht="14.25" hidden="false" customHeight="true" outlineLevel="0" collapsed="false">
      <c r="A47" s="59" t="s">
        <v>321</v>
      </c>
      <c r="B47" s="52" t="s">
        <v>323</v>
      </c>
      <c r="C47" s="71"/>
      <c r="D47" s="71" t="n">
        <v>9600</v>
      </c>
      <c r="E47" s="72" t="n">
        <v>641003.39</v>
      </c>
      <c r="F47" s="56" t="s">
        <v>266</v>
      </c>
      <c r="G47" s="52" t="s">
        <v>130</v>
      </c>
      <c r="H47" s="65" t="s">
        <v>267</v>
      </c>
    </row>
    <row r="48" customFormat="false" ht="14.25" hidden="false" customHeight="true" outlineLevel="0" collapsed="false">
      <c r="A48" s="59" t="s">
        <v>321</v>
      </c>
      <c r="B48" s="52" t="s">
        <v>324</v>
      </c>
      <c r="C48" s="71"/>
      <c r="D48" s="71" t="n">
        <v>7000</v>
      </c>
      <c r="E48" s="72" t="n">
        <v>634003.39</v>
      </c>
      <c r="F48" s="56" t="s">
        <v>266</v>
      </c>
      <c r="G48" s="52" t="s">
        <v>130</v>
      </c>
      <c r="H48" s="65" t="s">
        <v>267</v>
      </c>
    </row>
    <row r="49" customFormat="false" ht="14.25" hidden="false" customHeight="true" outlineLevel="0" collapsed="false">
      <c r="A49" s="59" t="s">
        <v>321</v>
      </c>
      <c r="B49" s="52" t="s">
        <v>325</v>
      </c>
      <c r="C49" s="71"/>
      <c r="D49" s="71" t="n">
        <v>4000</v>
      </c>
      <c r="E49" s="72" t="n">
        <v>630003.39</v>
      </c>
      <c r="F49" s="56" t="s">
        <v>266</v>
      </c>
      <c r="G49" s="52" t="s">
        <v>130</v>
      </c>
      <c r="H49" s="65" t="s">
        <v>267</v>
      </c>
    </row>
    <row r="50" customFormat="false" ht="14.25" hidden="false" customHeight="true" outlineLevel="0" collapsed="false">
      <c r="A50" s="59" t="s">
        <v>321</v>
      </c>
      <c r="B50" s="52" t="s">
        <v>326</v>
      </c>
      <c r="C50" s="71"/>
      <c r="D50" s="71" t="n">
        <v>3000</v>
      </c>
      <c r="E50" s="72" t="n">
        <v>627003.39</v>
      </c>
      <c r="F50" s="56" t="s">
        <v>266</v>
      </c>
      <c r="G50" s="52" t="s">
        <v>130</v>
      </c>
      <c r="H50" s="65" t="s">
        <v>267</v>
      </c>
    </row>
    <row r="51" customFormat="false" ht="14.25" hidden="false" customHeight="true" outlineLevel="0" collapsed="false">
      <c r="A51" s="59" t="s">
        <v>321</v>
      </c>
      <c r="B51" s="52" t="s">
        <v>327</v>
      </c>
      <c r="C51" s="71"/>
      <c r="D51" s="71" t="n">
        <v>4000</v>
      </c>
      <c r="E51" s="72" t="n">
        <v>623003.39</v>
      </c>
      <c r="F51" s="56" t="s">
        <v>266</v>
      </c>
      <c r="G51" s="52" t="s">
        <v>130</v>
      </c>
      <c r="H51" s="65" t="s">
        <v>267</v>
      </c>
    </row>
    <row r="52" customFormat="false" ht="14.25" hidden="false" customHeight="true" outlineLevel="0" collapsed="false">
      <c r="A52" s="59" t="s">
        <v>328</v>
      </c>
      <c r="B52" s="52" t="s">
        <v>329</v>
      </c>
      <c r="C52" s="71"/>
      <c r="D52" s="71" t="n">
        <v>10418.52</v>
      </c>
      <c r="E52" s="72" t="n">
        <v>612584.87</v>
      </c>
      <c r="F52" s="56"/>
      <c r="G52" s="52" t="s">
        <v>130</v>
      </c>
      <c r="H52" s="65" t="s">
        <v>267</v>
      </c>
    </row>
    <row r="53" customFormat="false" ht="14.25" hidden="false" customHeight="true" outlineLevel="0" collapsed="false">
      <c r="A53" s="59" t="s">
        <v>328</v>
      </c>
      <c r="B53" s="52" t="s">
        <v>270</v>
      </c>
      <c r="C53" s="71"/>
      <c r="D53" s="71" t="n">
        <v>10284.2</v>
      </c>
      <c r="E53" s="72" t="n">
        <v>602300.67</v>
      </c>
      <c r="F53" s="56" t="s">
        <v>266</v>
      </c>
      <c r="G53" s="52" t="s">
        <v>130</v>
      </c>
      <c r="H53" s="65" t="s">
        <v>267</v>
      </c>
    </row>
    <row r="54" customFormat="false" ht="14.25" hidden="false" customHeight="true" outlineLevel="0" collapsed="false">
      <c r="A54" s="59" t="s">
        <v>328</v>
      </c>
      <c r="B54" s="52" t="s">
        <v>268</v>
      </c>
      <c r="C54" s="71"/>
      <c r="D54" s="71" t="n">
        <v>174.21</v>
      </c>
      <c r="E54" s="72" t="n">
        <v>602126.46</v>
      </c>
      <c r="F54" s="56"/>
      <c r="G54" s="52" t="s">
        <v>130</v>
      </c>
      <c r="H54" s="65" t="s">
        <v>267</v>
      </c>
    </row>
    <row r="55" customFormat="false" ht="14.25" hidden="false" customHeight="true" outlineLevel="0" collapsed="false">
      <c r="A55" s="73" t="s">
        <v>328</v>
      </c>
      <c r="B55" s="46" t="s">
        <v>330</v>
      </c>
      <c r="C55" s="74"/>
      <c r="D55" s="74" t="n">
        <v>16520</v>
      </c>
      <c r="E55" s="75" t="n">
        <v>585606.46</v>
      </c>
      <c r="F55" s="50"/>
      <c r="G55" s="46" t="s">
        <v>127</v>
      </c>
      <c r="H55" s="63" t="s">
        <v>267</v>
      </c>
    </row>
    <row r="56" customFormat="false" ht="14.25" hidden="false" customHeight="true" outlineLevel="0" collapsed="false">
      <c r="A56" s="33" t="s">
        <v>331</v>
      </c>
      <c r="B56" s="6" t="s">
        <v>332</v>
      </c>
      <c r="C56" s="8" t="n">
        <v>50703.26</v>
      </c>
      <c r="D56" s="8"/>
      <c r="E56" s="76" t="n">
        <v>636309.72</v>
      </c>
      <c r="F56" s="11" t="s">
        <v>333</v>
      </c>
      <c r="G56" s="6" t="s">
        <v>140</v>
      </c>
      <c r="H56" s="67"/>
    </row>
    <row r="57" customFormat="false" ht="14.25" hidden="false" customHeight="true" outlineLevel="0" collapsed="false">
      <c r="A57" s="33" t="s">
        <v>331</v>
      </c>
      <c r="B57" s="6" t="s">
        <v>334</v>
      </c>
      <c r="C57" s="8" t="n">
        <v>81389</v>
      </c>
      <c r="D57" s="8"/>
      <c r="E57" s="76" t="n">
        <v>717698.72</v>
      </c>
      <c r="F57" s="11"/>
      <c r="G57" s="6" t="s">
        <v>140</v>
      </c>
      <c r="H57" s="67"/>
    </row>
    <row r="58" customFormat="false" ht="14.25" hidden="false" customHeight="true" outlineLevel="0" collapsed="false">
      <c r="A58" s="33" t="s">
        <v>331</v>
      </c>
      <c r="B58" s="6" t="s">
        <v>335</v>
      </c>
      <c r="C58" s="8" t="n">
        <v>36064</v>
      </c>
      <c r="D58" s="8"/>
      <c r="E58" s="76" t="n">
        <v>753762.72</v>
      </c>
      <c r="F58" s="11"/>
      <c r="G58" s="6" t="s">
        <v>140</v>
      </c>
      <c r="H58" s="67"/>
    </row>
    <row r="59" customFormat="false" ht="14.25" hidden="false" customHeight="true" outlineLevel="0" collapsed="false">
      <c r="A59" s="33" t="s">
        <v>331</v>
      </c>
      <c r="B59" s="6" t="s">
        <v>336</v>
      </c>
      <c r="C59" s="8" t="n">
        <v>16425</v>
      </c>
      <c r="D59" s="8"/>
      <c r="E59" s="76" t="n">
        <v>770187.72</v>
      </c>
      <c r="F59" s="11" t="s">
        <v>337</v>
      </c>
      <c r="G59" s="6" t="s">
        <v>140</v>
      </c>
      <c r="H59" s="67"/>
    </row>
    <row r="60" customFormat="false" ht="14.25" hidden="false" customHeight="true" outlineLevel="0" collapsed="false">
      <c r="A60" s="59" t="s">
        <v>331</v>
      </c>
      <c r="B60" s="52" t="s">
        <v>223</v>
      </c>
      <c r="C60" s="71"/>
      <c r="D60" s="71" t="n">
        <v>1357</v>
      </c>
      <c r="E60" s="72" t="n">
        <v>768830.72</v>
      </c>
      <c r="F60" s="56" t="s">
        <v>266</v>
      </c>
      <c r="G60" s="52" t="s">
        <v>130</v>
      </c>
      <c r="H60" s="65" t="s">
        <v>267</v>
      </c>
    </row>
    <row r="61" customFormat="false" ht="14.25" hidden="false" customHeight="true" outlineLevel="0" collapsed="false">
      <c r="A61" s="73" t="s">
        <v>331</v>
      </c>
      <c r="B61" s="46" t="s">
        <v>338</v>
      </c>
      <c r="C61" s="74"/>
      <c r="D61" s="74" t="n">
        <v>10113.67</v>
      </c>
      <c r="E61" s="75" t="n">
        <v>758717.05</v>
      </c>
      <c r="F61" s="50"/>
      <c r="G61" s="46" t="s">
        <v>127</v>
      </c>
      <c r="H61" s="63" t="s">
        <v>267</v>
      </c>
    </row>
    <row r="62" customFormat="false" ht="14.25" hidden="false" customHeight="true" outlineLevel="0" collapsed="false">
      <c r="A62" s="77" t="s">
        <v>339</v>
      </c>
      <c r="B62" s="63" t="s">
        <v>264</v>
      </c>
      <c r="C62" s="78"/>
      <c r="D62" s="78" t="n">
        <v>206.95</v>
      </c>
      <c r="E62" s="79" t="n">
        <v>758510.1</v>
      </c>
      <c r="F62" s="63" t="s">
        <v>340</v>
      </c>
      <c r="G62" s="80" t="s">
        <v>127</v>
      </c>
      <c r="H62" s="63" t="s">
        <v>267</v>
      </c>
    </row>
    <row r="63" customFormat="false" ht="14.25" hidden="false" customHeight="true" outlineLevel="0" collapsed="false">
      <c r="A63" s="81" t="s">
        <v>339</v>
      </c>
      <c r="B63" s="63" t="s">
        <v>341</v>
      </c>
      <c r="C63" s="78"/>
      <c r="D63" s="78" t="n">
        <v>5489</v>
      </c>
      <c r="E63" s="82" t="n">
        <v>753021.1</v>
      </c>
      <c r="F63" s="63"/>
      <c r="G63" s="80" t="s">
        <v>127</v>
      </c>
      <c r="H63" s="63" t="s">
        <v>267</v>
      </c>
    </row>
    <row r="64" customFormat="false" ht="14.25" hidden="false" customHeight="true" outlineLevel="0" collapsed="false">
      <c r="A64" s="81" t="s">
        <v>339</v>
      </c>
      <c r="B64" s="63" t="s">
        <v>342</v>
      </c>
      <c r="C64" s="78"/>
      <c r="D64" s="78" t="n">
        <v>492998.1</v>
      </c>
      <c r="E64" s="82" t="n">
        <v>260023</v>
      </c>
      <c r="F64" s="63"/>
      <c r="G64" s="80" t="s">
        <v>127</v>
      </c>
      <c r="H64" s="63" t="s">
        <v>267</v>
      </c>
    </row>
    <row r="65" customFormat="false" ht="14.25" hidden="false" customHeight="true" outlineLevel="0" collapsed="false">
      <c r="A65" s="81" t="s">
        <v>339</v>
      </c>
      <c r="B65" s="63" t="s">
        <v>343</v>
      </c>
      <c r="C65" s="78"/>
      <c r="D65" s="78" t="n">
        <v>3.85</v>
      </c>
      <c r="E65" s="82" t="n">
        <v>260019.15</v>
      </c>
      <c r="F65" s="63" t="s">
        <v>344</v>
      </c>
      <c r="G65" s="80" t="s">
        <v>127</v>
      </c>
      <c r="H65" s="63" t="s">
        <v>267</v>
      </c>
    </row>
    <row r="66" customFormat="false" ht="14.25" hidden="false" customHeight="true" outlineLevel="0" collapsed="false">
      <c r="A66" s="81" t="s">
        <v>339</v>
      </c>
      <c r="B66" s="63" t="s">
        <v>345</v>
      </c>
      <c r="C66" s="78"/>
      <c r="D66" s="78" t="n">
        <v>48883.26</v>
      </c>
      <c r="E66" s="82" t="n">
        <v>211135.89</v>
      </c>
      <c r="F66" s="63"/>
      <c r="G66" s="80" t="s">
        <v>127</v>
      </c>
      <c r="H66" s="63"/>
    </row>
    <row r="67" customFormat="false" ht="14.25" hidden="false" customHeight="true" outlineLevel="0" collapsed="false">
      <c r="A67" s="67" t="s">
        <v>346</v>
      </c>
      <c r="B67" s="67" t="s">
        <v>347</v>
      </c>
      <c r="C67" s="67" t="n">
        <v>50000</v>
      </c>
      <c r="D67" s="67"/>
      <c r="E67" s="83" t="n">
        <v>261135.89</v>
      </c>
      <c r="F67" s="67" t="s">
        <v>348</v>
      </c>
      <c r="G67" s="84" t="s">
        <v>140</v>
      </c>
      <c r="H67" s="67"/>
    </row>
    <row r="68" customFormat="false" ht="14.25" hidden="false" customHeight="true" outlineLevel="0" collapsed="false">
      <c r="A68" s="67" t="s">
        <v>346</v>
      </c>
      <c r="B68" s="67" t="s">
        <v>349</v>
      </c>
      <c r="C68" s="67" t="n">
        <v>35000</v>
      </c>
      <c r="D68" s="67"/>
      <c r="E68" s="83" t="n">
        <v>296135.89</v>
      </c>
      <c r="F68" s="67"/>
      <c r="G68" s="84" t="s">
        <v>140</v>
      </c>
      <c r="H68" s="67"/>
    </row>
    <row r="69" customFormat="false" ht="14.25" hidden="false" customHeight="true" outlineLevel="0" collapsed="false">
      <c r="A69" s="63" t="s">
        <v>346</v>
      </c>
      <c r="B69" s="63" t="s">
        <v>350</v>
      </c>
      <c r="C69" s="63"/>
      <c r="D69" s="63" t="n">
        <v>2832</v>
      </c>
      <c r="E69" s="85" t="n">
        <v>293303.89</v>
      </c>
      <c r="F69" s="63"/>
      <c r="G69" s="80" t="s">
        <v>127</v>
      </c>
      <c r="H69" s="63" t="s">
        <v>267</v>
      </c>
    </row>
    <row r="70" customFormat="false" ht="14.25" hidden="false" customHeight="true" outlineLevel="0" collapsed="false">
      <c r="A70" s="63" t="s">
        <v>346</v>
      </c>
      <c r="B70" s="63" t="s">
        <v>351</v>
      </c>
      <c r="C70" s="63"/>
      <c r="D70" s="63" t="n">
        <v>69822.72</v>
      </c>
      <c r="E70" s="85" t="n">
        <v>223481.17</v>
      </c>
      <c r="F70" s="63" t="s">
        <v>352</v>
      </c>
      <c r="G70" s="80" t="s">
        <v>127</v>
      </c>
      <c r="H70" s="63" t="s">
        <v>267</v>
      </c>
    </row>
    <row r="71" customFormat="false" ht="14.25" hidden="false" customHeight="true" outlineLevel="0" collapsed="false">
      <c r="A71" s="63" t="s">
        <v>353</v>
      </c>
      <c r="B71" s="63" t="s">
        <v>228</v>
      </c>
      <c r="C71" s="63"/>
      <c r="D71" s="63" t="n">
        <v>4141.44</v>
      </c>
      <c r="E71" s="85" t="n">
        <v>219339.73</v>
      </c>
      <c r="F71" s="63"/>
      <c r="G71" s="80" t="s">
        <v>127</v>
      </c>
      <c r="H71" s="63" t="s">
        <v>267</v>
      </c>
    </row>
    <row r="72" customFormat="false" ht="14.25" hidden="false" customHeight="true" outlineLevel="0" collapsed="false">
      <c r="A72" s="63" t="s">
        <v>354</v>
      </c>
      <c r="B72" s="63" t="s">
        <v>355</v>
      </c>
      <c r="C72" s="63"/>
      <c r="D72" s="63" t="n">
        <v>1825</v>
      </c>
      <c r="E72" s="85" t="n">
        <v>217514.73</v>
      </c>
      <c r="F72" s="63"/>
      <c r="G72" s="80" t="s">
        <v>127</v>
      </c>
      <c r="H72" s="63" t="s">
        <v>267</v>
      </c>
    </row>
    <row r="73" customFormat="false" ht="14.25" hidden="false" customHeight="true" outlineLevel="0" collapsed="false">
      <c r="A73" s="63" t="s">
        <v>354</v>
      </c>
      <c r="B73" s="63" t="s">
        <v>356</v>
      </c>
      <c r="C73" s="63"/>
      <c r="D73" s="63" t="n">
        <v>94801.79</v>
      </c>
      <c r="E73" s="85" t="n">
        <v>122712.94</v>
      </c>
      <c r="F73" s="63"/>
      <c r="G73" s="80" t="s">
        <v>127</v>
      </c>
      <c r="H73" s="63" t="s">
        <v>267</v>
      </c>
    </row>
    <row r="74" customFormat="false" ht="14.25" hidden="false" customHeight="true" outlineLevel="0" collapsed="false">
      <c r="A74" s="63" t="s">
        <v>354</v>
      </c>
      <c r="B74" s="63" t="s">
        <v>357</v>
      </c>
      <c r="C74" s="63"/>
      <c r="D74" s="63" t="n">
        <v>25869.7</v>
      </c>
      <c r="E74" s="85" t="n">
        <v>96843.24</v>
      </c>
      <c r="F74" s="63"/>
      <c r="G74" s="80" t="s">
        <v>127</v>
      </c>
      <c r="H74" s="63" t="s">
        <v>267</v>
      </c>
    </row>
    <row r="75" customFormat="false" ht="14.25" hidden="false" customHeight="true" outlineLevel="0" collapsed="false">
      <c r="A75" s="67" t="s">
        <v>354</v>
      </c>
      <c r="B75" s="67" t="s">
        <v>358</v>
      </c>
      <c r="C75" s="67" t="n">
        <v>9166.24</v>
      </c>
      <c r="D75" s="67"/>
      <c r="E75" s="83" t="n">
        <v>106009.48</v>
      </c>
      <c r="F75" s="67"/>
      <c r="G75" s="84" t="s">
        <v>140</v>
      </c>
      <c r="H75" s="67"/>
    </row>
    <row r="76" customFormat="false" ht="14.25" hidden="false" customHeight="true" outlineLevel="0" collapsed="false">
      <c r="A76" s="67" t="s">
        <v>359</v>
      </c>
      <c r="B76" s="67" t="s">
        <v>347</v>
      </c>
      <c r="C76" s="67" t="n">
        <v>28642</v>
      </c>
      <c r="D76" s="67"/>
      <c r="E76" s="83" t="n">
        <v>134651.48</v>
      </c>
      <c r="F76" s="67" t="s">
        <v>360</v>
      </c>
      <c r="G76" s="84" t="s">
        <v>140</v>
      </c>
      <c r="H76" s="67"/>
    </row>
    <row r="77" customFormat="false" ht="14.25" hidden="false" customHeight="true" outlineLevel="0" collapsed="false">
      <c r="A77" s="67" t="s">
        <v>359</v>
      </c>
      <c r="B77" s="67" t="s">
        <v>361</v>
      </c>
      <c r="C77" s="67" t="n">
        <v>20000</v>
      </c>
      <c r="D77" s="67"/>
      <c r="E77" s="83" t="n">
        <v>154651.48</v>
      </c>
      <c r="F77" s="67"/>
      <c r="G77" s="84" t="s">
        <v>140</v>
      </c>
      <c r="H77" s="67"/>
    </row>
    <row r="78" customFormat="false" ht="14.25" hidden="false" customHeight="true" outlineLevel="0" collapsed="false">
      <c r="A78" s="67" t="s">
        <v>359</v>
      </c>
      <c r="B78" s="67" t="s">
        <v>362</v>
      </c>
      <c r="C78" s="67" t="n">
        <v>58826</v>
      </c>
      <c r="D78" s="67"/>
      <c r="E78" s="83" t="n">
        <v>213477.48</v>
      </c>
      <c r="F78" s="67" t="s">
        <v>363</v>
      </c>
      <c r="G78" s="84" t="s">
        <v>140</v>
      </c>
      <c r="H78" s="67"/>
    </row>
    <row r="79" customFormat="false" ht="14.25" hidden="false" customHeight="true" outlineLevel="0" collapsed="false">
      <c r="A79" s="63" t="s">
        <v>359</v>
      </c>
      <c r="B79" s="63" t="s">
        <v>364</v>
      </c>
      <c r="C79" s="63"/>
      <c r="D79" s="63" t="n">
        <v>600</v>
      </c>
      <c r="E79" s="85" t="n">
        <v>212877.48</v>
      </c>
      <c r="F79" s="63"/>
      <c r="G79" s="80" t="s">
        <v>127</v>
      </c>
      <c r="H79" s="63" t="s">
        <v>267</v>
      </c>
    </row>
    <row r="80" customFormat="false" ht="14.25" hidden="false" customHeight="true" outlineLevel="0" collapsed="false">
      <c r="A80" s="63" t="s">
        <v>359</v>
      </c>
      <c r="B80" s="63" t="s">
        <v>365</v>
      </c>
      <c r="C80" s="63"/>
      <c r="D80" s="63" t="n">
        <v>300</v>
      </c>
      <c r="E80" s="85" t="n">
        <v>212577.48</v>
      </c>
      <c r="F80" s="63"/>
      <c r="G80" s="80" t="s">
        <v>127</v>
      </c>
      <c r="H80" s="63" t="s">
        <v>267</v>
      </c>
    </row>
    <row r="81" customFormat="false" ht="14.25" hidden="false" customHeight="true" outlineLevel="0" collapsed="false">
      <c r="A81" s="81" t="s">
        <v>366</v>
      </c>
      <c r="B81" s="63" t="s">
        <v>367</v>
      </c>
      <c r="C81" s="63"/>
      <c r="D81" s="63" t="n">
        <v>132000</v>
      </c>
      <c r="E81" s="85" t="n">
        <v>80577.48</v>
      </c>
      <c r="F81" s="63"/>
      <c r="G81" s="80" t="s">
        <v>127</v>
      </c>
      <c r="H81" s="63" t="s">
        <v>309</v>
      </c>
    </row>
    <row r="82" customFormat="false" ht="14.25" hidden="false" customHeight="true" outlineLevel="0" collapsed="false">
      <c r="A82" s="81" t="s">
        <v>366</v>
      </c>
      <c r="B82" s="63" t="s">
        <v>368</v>
      </c>
      <c r="C82" s="63"/>
      <c r="D82" s="63" t="n">
        <v>40000</v>
      </c>
      <c r="E82" s="85" t="n">
        <v>40577.48</v>
      </c>
      <c r="F82" s="63"/>
      <c r="G82" s="80" t="s">
        <v>127</v>
      </c>
      <c r="H82" s="63" t="s">
        <v>267</v>
      </c>
    </row>
    <row r="83" customFormat="false" ht="14.25" hidden="false" customHeight="true" outlineLevel="0" collapsed="false">
      <c r="A83" s="81" t="s">
        <v>369</v>
      </c>
      <c r="B83" s="63" t="s">
        <v>370</v>
      </c>
      <c r="C83" s="63"/>
      <c r="D83" s="63" t="n">
        <v>58836</v>
      </c>
      <c r="E83" s="85" t="n">
        <v>-18258.52</v>
      </c>
      <c r="F83" s="63" t="s">
        <v>371</v>
      </c>
      <c r="G83" s="80" t="s">
        <v>127</v>
      </c>
      <c r="H83" s="63" t="s">
        <v>309</v>
      </c>
    </row>
    <row r="84" customFormat="false" ht="14.25" hidden="false" customHeight="true" outlineLevel="0" collapsed="false">
      <c r="A84" s="81" t="s">
        <v>369</v>
      </c>
      <c r="B84" s="63" t="s">
        <v>372</v>
      </c>
      <c r="C84" s="63"/>
      <c r="D84" s="63" t="n">
        <v>44156</v>
      </c>
      <c r="E84" s="85" t="n">
        <v>-62414.52</v>
      </c>
      <c r="F84" s="63"/>
      <c r="G84" s="80" t="s">
        <v>127</v>
      </c>
      <c r="H84" s="63" t="s">
        <v>267</v>
      </c>
    </row>
    <row r="85" customFormat="false" ht="14.25" hidden="false" customHeight="true" outlineLevel="0" collapsed="false">
      <c r="A85" s="81" t="s">
        <v>373</v>
      </c>
      <c r="B85" s="63" t="s">
        <v>254</v>
      </c>
      <c r="C85" s="63"/>
      <c r="D85" s="63" t="n">
        <v>27839</v>
      </c>
      <c r="E85" s="85" t="n">
        <v>-90253.52</v>
      </c>
      <c r="F85" s="63" t="s">
        <v>374</v>
      </c>
      <c r="G85" s="80" t="s">
        <v>130</v>
      </c>
      <c r="H85" s="63" t="s">
        <v>267</v>
      </c>
    </row>
    <row r="86" customFormat="false" ht="14.25" hidden="false" customHeight="true" outlineLevel="0" collapsed="false">
      <c r="A86" s="81" t="s">
        <v>373</v>
      </c>
      <c r="B86" s="63" t="s">
        <v>278</v>
      </c>
      <c r="C86" s="63"/>
      <c r="D86" s="63" t="n">
        <v>8168</v>
      </c>
      <c r="E86" s="85" t="n">
        <v>-98421.52</v>
      </c>
      <c r="F86" s="63" t="s">
        <v>375</v>
      </c>
      <c r="G86" s="80" t="s">
        <v>130</v>
      </c>
      <c r="H86" s="63" t="s">
        <v>267</v>
      </c>
    </row>
    <row r="87" customFormat="false" ht="14.25" hidden="false" customHeight="true" outlineLevel="0" collapsed="false">
      <c r="A87" s="86" t="s">
        <v>373</v>
      </c>
      <c r="B87" s="67" t="s">
        <v>376</v>
      </c>
      <c r="C87" s="67" t="n">
        <v>50000</v>
      </c>
      <c r="D87" s="67"/>
      <c r="E87" s="83" t="n">
        <v>-48421.52</v>
      </c>
      <c r="F87" s="67" t="s">
        <v>377</v>
      </c>
      <c r="G87" s="84" t="s">
        <v>140</v>
      </c>
      <c r="H87" s="67"/>
    </row>
    <row r="88" customFormat="false" ht="14.25" hidden="false" customHeight="true" outlineLevel="0" collapsed="false">
      <c r="A88" s="86" t="s">
        <v>378</v>
      </c>
      <c r="B88" s="67" t="s">
        <v>376</v>
      </c>
      <c r="C88" s="67" t="n">
        <v>30000</v>
      </c>
      <c r="D88" s="67"/>
      <c r="E88" s="83" t="n">
        <v>-18421.52</v>
      </c>
      <c r="F88" s="67" t="s">
        <v>379</v>
      </c>
      <c r="G88" s="84" t="s">
        <v>140</v>
      </c>
      <c r="H88" s="67"/>
    </row>
    <row r="89" customFormat="false" ht="14.25" hidden="false" customHeight="true" outlineLevel="0" collapsed="false">
      <c r="A89" s="81" t="s">
        <v>95</v>
      </c>
      <c r="B89" s="63" t="s">
        <v>380</v>
      </c>
      <c r="C89" s="63"/>
      <c r="D89" s="63" t="n">
        <v>6.89</v>
      </c>
      <c r="E89" s="85" t="n">
        <v>-18428.41</v>
      </c>
      <c r="F89" s="63" t="s">
        <v>381</v>
      </c>
      <c r="G89" s="80" t="s">
        <v>127</v>
      </c>
      <c r="H89" s="63" t="s">
        <v>267</v>
      </c>
    </row>
    <row r="90" customFormat="false" ht="14.25" hidden="false" customHeight="true" outlineLevel="0" collapsed="false">
      <c r="A90" s="86" t="s">
        <v>95</v>
      </c>
      <c r="B90" s="67" t="s">
        <v>382</v>
      </c>
      <c r="C90" s="67" t="n">
        <v>2077.7</v>
      </c>
      <c r="D90" s="67"/>
      <c r="E90" s="83" t="n">
        <v>-16350.71</v>
      </c>
      <c r="F90" s="67" t="s">
        <v>383</v>
      </c>
      <c r="G90" s="84" t="s">
        <v>140</v>
      </c>
      <c r="H90" s="67"/>
    </row>
    <row r="91" customFormat="false" ht="14.25" hidden="false" customHeight="true" outlineLevel="0" collapsed="false">
      <c r="A91" s="81" t="s">
        <v>40</v>
      </c>
      <c r="B91" s="63" t="s">
        <v>384</v>
      </c>
      <c r="C91" s="63"/>
      <c r="D91" s="63" t="n">
        <v>5056</v>
      </c>
      <c r="E91" s="85" t="n">
        <v>-21406.71</v>
      </c>
      <c r="F91" s="63"/>
      <c r="G91" s="80" t="s">
        <v>130</v>
      </c>
      <c r="H91" s="63" t="s">
        <v>267</v>
      </c>
    </row>
    <row r="92" customFormat="false" ht="14.25" hidden="false" customHeight="true" outlineLevel="0" collapsed="false">
      <c r="A92" s="1" t="s">
        <v>385</v>
      </c>
      <c r="E92" s="87" t="n">
        <v>-21406.71</v>
      </c>
    </row>
    <row r="93" customFormat="false" ht="14.25" hidden="false" customHeight="true" outlineLevel="0" collapsed="false">
      <c r="A93" s="1" t="s">
        <v>386</v>
      </c>
    </row>
    <row r="94" customFormat="false" ht="14.25" hidden="false" customHeight="true" outlineLevel="0" collapsed="false"/>
    <row r="95" customFormat="false" ht="14.25" hidden="false" customHeight="true" outlineLevel="0" collapsed="false">
      <c r="A95" s="88" t="s">
        <v>387</v>
      </c>
      <c r="B95" s="89"/>
      <c r="C95" s="89"/>
      <c r="D95" s="89"/>
    </row>
    <row r="96" customFormat="false" ht="14.25" hidden="false" customHeight="true" outlineLevel="0" collapsed="false">
      <c r="A96" s="89" t="s">
        <v>388</v>
      </c>
      <c r="B96" s="89"/>
      <c r="C96" s="89"/>
      <c r="D96" s="90" t="n">
        <v>1047718.29</v>
      </c>
    </row>
    <row r="97" customFormat="false" ht="14.25" hidden="false" customHeight="true" outlineLevel="0" collapsed="false">
      <c r="A97" s="89" t="s">
        <v>389</v>
      </c>
      <c r="B97" s="89"/>
      <c r="C97" s="89"/>
      <c r="D97" s="90" t="n">
        <v>273787</v>
      </c>
    </row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  <row r="1003" customFormat="false" ht="14.25" hidden="false" customHeight="true" outlineLevel="0" collapsed="false"/>
  </sheetData>
  <mergeCells count="2">
    <mergeCell ref="A1:G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6" activeCellId="0" sqref="B6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7.37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8" min="8" style="1" width="17.76"/>
  </cols>
  <sheetData>
    <row r="1" customFormat="false" ht="24" hidden="false" customHeight="true" outlineLevel="0" collapsed="false">
      <c r="A1" s="2" t="s">
        <v>390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391</v>
      </c>
      <c r="B2" s="43"/>
      <c r="C2" s="43"/>
      <c r="D2" s="43"/>
      <c r="E2" s="44" t="n">
        <v>-21406.71</v>
      </c>
      <c r="F2" s="31"/>
      <c r="G2" s="31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119</v>
      </c>
      <c r="C4" s="5" t="s">
        <v>120</v>
      </c>
      <c r="D4" s="5" t="s">
        <v>121</v>
      </c>
      <c r="E4" s="37" t="s">
        <v>8</v>
      </c>
      <c r="F4" s="5" t="s">
        <v>122</v>
      </c>
      <c r="G4" s="5" t="s">
        <v>123</v>
      </c>
      <c r="H4" s="61" t="s">
        <v>262</v>
      </c>
    </row>
    <row r="5" customFormat="false" ht="14.25" hidden="false" customHeight="true" outlineLevel="0" collapsed="false">
      <c r="A5" s="59" t="s">
        <v>392</v>
      </c>
      <c r="B5" s="52" t="s">
        <v>271</v>
      </c>
      <c r="C5" s="53"/>
      <c r="D5" s="54" t="n">
        <v>9209</v>
      </c>
      <c r="E5" s="64" t="n">
        <f aca="false">E2+N(C5)-N(D5)</f>
        <v>-30615.71</v>
      </c>
      <c r="F5" s="56" t="s">
        <v>393</v>
      </c>
      <c r="G5" s="51" t="s">
        <v>130</v>
      </c>
      <c r="H5" s="65" t="s">
        <v>267</v>
      </c>
    </row>
    <row r="6" customFormat="false" ht="14.25" hidden="false" customHeight="true" outlineLevel="0" collapsed="false">
      <c r="A6" s="59" t="s">
        <v>392</v>
      </c>
      <c r="B6" s="52" t="s">
        <v>131</v>
      </c>
      <c r="C6" s="53"/>
      <c r="D6" s="54" t="n">
        <v>110.55</v>
      </c>
      <c r="E6" s="64" t="n">
        <f aca="false">E5+N(C6)-N(D6)</f>
        <v>-30726.26</v>
      </c>
      <c r="F6" s="56" t="s">
        <v>266</v>
      </c>
      <c r="G6" s="51" t="s">
        <v>130</v>
      </c>
      <c r="H6" s="65" t="s">
        <v>267</v>
      </c>
    </row>
    <row r="7" customFormat="false" ht="14.25" hidden="false" customHeight="true" outlineLevel="0" collapsed="false">
      <c r="A7" s="59" t="s">
        <v>394</v>
      </c>
      <c r="B7" s="52" t="s">
        <v>133</v>
      </c>
      <c r="C7" s="53"/>
      <c r="D7" s="54" t="n">
        <v>2224.49</v>
      </c>
      <c r="E7" s="64" t="n">
        <f aca="false">E6+N(C7)-N(D7)</f>
        <v>-32950.75</v>
      </c>
      <c r="F7" s="56" t="s">
        <v>266</v>
      </c>
      <c r="G7" s="51" t="s">
        <v>130</v>
      </c>
      <c r="H7" s="65" t="s">
        <v>267</v>
      </c>
    </row>
    <row r="8" customFormat="false" ht="14.25" hidden="false" customHeight="true" outlineLevel="0" collapsed="false">
      <c r="A8" s="59" t="s">
        <v>394</v>
      </c>
      <c r="B8" s="52" t="s">
        <v>278</v>
      </c>
      <c r="C8" s="53"/>
      <c r="D8" s="54" t="n">
        <v>3956</v>
      </c>
      <c r="E8" s="64" t="n">
        <f aca="false">E7+N(C8)-N(D8)</f>
        <v>-36906.75</v>
      </c>
      <c r="F8" s="56" t="s">
        <v>266</v>
      </c>
      <c r="G8" s="51" t="s">
        <v>130</v>
      </c>
      <c r="H8" s="65" t="s">
        <v>267</v>
      </c>
    </row>
    <row r="9" customFormat="false" ht="14.25" hidden="false" customHeight="true" outlineLevel="0" collapsed="false">
      <c r="A9" s="59" t="s">
        <v>394</v>
      </c>
      <c r="B9" s="52" t="s">
        <v>134</v>
      </c>
      <c r="C9" s="53"/>
      <c r="D9" s="54" t="n">
        <v>191.5</v>
      </c>
      <c r="E9" s="64" t="n">
        <f aca="false">E8+N(C9)-N(D9)</f>
        <v>-37098.25</v>
      </c>
      <c r="F9" s="56" t="s">
        <v>266</v>
      </c>
      <c r="G9" s="51" t="s">
        <v>130</v>
      </c>
      <c r="H9" s="65" t="s">
        <v>267</v>
      </c>
    </row>
    <row r="10" customFormat="false" ht="14.25" hidden="false" customHeight="true" outlineLevel="0" collapsed="false">
      <c r="A10" s="59" t="s">
        <v>394</v>
      </c>
      <c r="B10" s="52" t="s">
        <v>135</v>
      </c>
      <c r="C10" s="53"/>
      <c r="D10" s="54" t="n">
        <v>5709.09</v>
      </c>
      <c r="E10" s="64" t="n">
        <f aca="false">E9+N(C10)-N(D10)</f>
        <v>-42807.34</v>
      </c>
      <c r="F10" s="56" t="s">
        <v>266</v>
      </c>
      <c r="G10" s="51" t="s">
        <v>130</v>
      </c>
      <c r="H10" s="65" t="s">
        <v>267</v>
      </c>
    </row>
    <row r="11" customFormat="false" ht="14.25" hidden="false" customHeight="true" outlineLevel="0" collapsed="false">
      <c r="A11" s="33" t="s">
        <v>394</v>
      </c>
      <c r="B11" s="6" t="s">
        <v>138</v>
      </c>
      <c r="C11" s="9" t="n">
        <v>16000</v>
      </c>
      <c r="D11" s="57"/>
      <c r="E11" s="68" t="n">
        <f aca="false">E10+N(C11)-N(D11)</f>
        <v>-26807.34</v>
      </c>
      <c r="F11" s="11" t="s">
        <v>395</v>
      </c>
      <c r="G11" s="7" t="s">
        <v>140</v>
      </c>
      <c r="H11" s="67"/>
    </row>
    <row r="12" customFormat="false" ht="14.25" hidden="false" customHeight="true" outlineLevel="0" collapsed="false">
      <c r="A12" s="33" t="s">
        <v>394</v>
      </c>
      <c r="B12" s="6" t="s">
        <v>396</v>
      </c>
      <c r="C12" s="9" t="n">
        <v>40223</v>
      </c>
      <c r="D12" s="57"/>
      <c r="E12" s="68" t="n">
        <f aca="false">E11+N(C12)-N(D12)</f>
        <v>13415.66</v>
      </c>
      <c r="F12" s="11" t="s">
        <v>397</v>
      </c>
      <c r="G12" s="7" t="s">
        <v>140</v>
      </c>
      <c r="H12" s="67"/>
    </row>
    <row r="13" customFormat="false" ht="14.25" hidden="false" customHeight="true" outlineLevel="0" collapsed="false">
      <c r="A13" s="33" t="s">
        <v>394</v>
      </c>
      <c r="B13" s="6" t="s">
        <v>398</v>
      </c>
      <c r="C13" s="9" t="n">
        <v>25772</v>
      </c>
      <c r="D13" s="57"/>
      <c r="E13" s="68" t="n">
        <f aca="false">E12+N(C13)-N(D13)</f>
        <v>39187.66</v>
      </c>
      <c r="F13" s="11" t="s">
        <v>397</v>
      </c>
      <c r="G13" s="7" t="s">
        <v>140</v>
      </c>
      <c r="H13" s="67"/>
    </row>
    <row r="14" customFormat="false" ht="14.25" hidden="false" customHeight="true" outlineLevel="0" collapsed="false">
      <c r="A14" s="33" t="s">
        <v>399</v>
      </c>
      <c r="B14" s="6" t="s">
        <v>400</v>
      </c>
      <c r="C14" s="9" t="n">
        <v>41069</v>
      </c>
      <c r="D14" s="57"/>
      <c r="E14" s="68" t="n">
        <f aca="false">E13+N(C14)-N(D14)</f>
        <v>80256.66</v>
      </c>
      <c r="F14" s="11" t="s">
        <v>401</v>
      </c>
      <c r="G14" s="7" t="s">
        <v>140</v>
      </c>
      <c r="H14" s="67"/>
    </row>
    <row r="15" customFormat="false" ht="14.25" hidden="false" customHeight="true" outlineLevel="0" collapsed="false">
      <c r="A15" s="33" t="s">
        <v>399</v>
      </c>
      <c r="B15" s="6" t="s">
        <v>402</v>
      </c>
      <c r="C15" s="9" t="n">
        <v>64849.85</v>
      </c>
      <c r="D15" s="57"/>
      <c r="E15" s="68" t="n">
        <f aca="false">E14+N(C15)-N(D15)</f>
        <v>145106.51</v>
      </c>
      <c r="F15" s="11" t="s">
        <v>403</v>
      </c>
      <c r="G15" s="7" t="s">
        <v>140</v>
      </c>
      <c r="H15" s="67"/>
    </row>
    <row r="16" customFormat="false" ht="14.25" hidden="false" customHeight="true" outlineLevel="0" collapsed="false">
      <c r="A16" s="59" t="s">
        <v>399</v>
      </c>
      <c r="B16" s="52" t="s">
        <v>404</v>
      </c>
      <c r="C16" s="53"/>
      <c r="D16" s="54" t="n">
        <v>2500</v>
      </c>
      <c r="E16" s="64" t="n">
        <f aca="false">E15+N(C16)-N(D16)</f>
        <v>142606.51</v>
      </c>
      <c r="F16" s="56" t="s">
        <v>405</v>
      </c>
      <c r="G16" s="51" t="s">
        <v>130</v>
      </c>
      <c r="H16" s="65" t="s">
        <v>267</v>
      </c>
    </row>
    <row r="17" customFormat="false" ht="14.25" hidden="false" customHeight="true" outlineLevel="0" collapsed="false">
      <c r="A17" s="59" t="s">
        <v>399</v>
      </c>
      <c r="B17" s="52" t="s">
        <v>286</v>
      </c>
      <c r="C17" s="53"/>
      <c r="D17" s="54" t="n">
        <v>18290</v>
      </c>
      <c r="E17" s="64" t="n">
        <f aca="false">E16+N(C17)-N(D17)</f>
        <v>124316.51</v>
      </c>
      <c r="F17" s="56" t="s">
        <v>266</v>
      </c>
      <c r="G17" s="51" t="s">
        <v>130</v>
      </c>
      <c r="H17" s="65" t="s">
        <v>267</v>
      </c>
    </row>
    <row r="18" customFormat="false" ht="14.25" hidden="false" customHeight="true" outlineLevel="0" collapsed="false">
      <c r="A18" s="73" t="s">
        <v>406</v>
      </c>
      <c r="B18" s="46" t="s">
        <v>407</v>
      </c>
      <c r="C18" s="47"/>
      <c r="D18" s="48" t="n">
        <v>37541.7</v>
      </c>
      <c r="E18" s="70" t="n">
        <f aca="false">E17+N(C18)-N(D18)</f>
        <v>86774.81</v>
      </c>
      <c r="F18" s="50" t="s">
        <v>408</v>
      </c>
      <c r="G18" s="45" t="s">
        <v>127</v>
      </c>
      <c r="H18" s="63" t="s">
        <v>267</v>
      </c>
    </row>
    <row r="19" customFormat="false" ht="14.25" hidden="false" customHeight="true" outlineLevel="0" collapsed="false">
      <c r="A19" s="73" t="s">
        <v>406</v>
      </c>
      <c r="B19" s="46" t="s">
        <v>409</v>
      </c>
      <c r="C19" s="47"/>
      <c r="D19" s="48" t="n">
        <v>1475</v>
      </c>
      <c r="E19" s="70" t="n">
        <f aca="false">E18+N(C19)-N(D19)</f>
        <v>85299.81</v>
      </c>
      <c r="F19" s="50" t="s">
        <v>410</v>
      </c>
      <c r="G19" s="45" t="s">
        <v>127</v>
      </c>
      <c r="H19" s="63" t="s">
        <v>267</v>
      </c>
    </row>
    <row r="20" customFormat="false" ht="14.25" hidden="false" customHeight="true" outlineLevel="0" collapsed="false">
      <c r="A20" s="59" t="s">
        <v>411</v>
      </c>
      <c r="B20" s="52" t="s">
        <v>270</v>
      </c>
      <c r="C20" s="53"/>
      <c r="D20" s="54" t="n">
        <v>45.9</v>
      </c>
      <c r="E20" s="64" t="n">
        <f aca="false">E19+N(C20)-N(D20)</f>
        <v>85253.91</v>
      </c>
      <c r="F20" s="56" t="s">
        <v>266</v>
      </c>
      <c r="G20" s="51" t="s">
        <v>130</v>
      </c>
      <c r="H20" s="65" t="s">
        <v>267</v>
      </c>
    </row>
    <row r="21" customFormat="false" ht="14.25" hidden="false" customHeight="true" outlineLevel="0" collapsed="false">
      <c r="A21" s="33" t="s">
        <v>74</v>
      </c>
      <c r="B21" s="6" t="s">
        <v>412</v>
      </c>
      <c r="C21" s="9" t="n">
        <v>1298</v>
      </c>
      <c r="D21" s="57"/>
      <c r="E21" s="68" t="n">
        <f aca="false">E20+N(C21)-N(D21)</f>
        <v>86551.91</v>
      </c>
      <c r="F21" s="11"/>
      <c r="G21" s="7" t="s">
        <v>140</v>
      </c>
      <c r="H21" s="67"/>
    </row>
    <row r="22" customFormat="false" ht="14.25" hidden="false" customHeight="true" outlineLevel="0" collapsed="false">
      <c r="A22" s="59" t="s">
        <v>74</v>
      </c>
      <c r="B22" s="52" t="s">
        <v>413</v>
      </c>
      <c r="C22" s="53"/>
      <c r="D22" s="54" t="n">
        <v>2500</v>
      </c>
      <c r="E22" s="64" t="n">
        <f aca="false">E21+N(C22)-N(D22)</f>
        <v>84051.91</v>
      </c>
      <c r="F22" s="56" t="s">
        <v>414</v>
      </c>
      <c r="G22" s="51" t="s">
        <v>130</v>
      </c>
      <c r="H22" s="65" t="s">
        <v>267</v>
      </c>
    </row>
    <row r="23" customFormat="false" ht="14.25" hidden="false" customHeight="true" outlineLevel="0" collapsed="false">
      <c r="A23" s="33" t="s">
        <v>415</v>
      </c>
      <c r="B23" s="6" t="s">
        <v>416</v>
      </c>
      <c r="C23" s="9" t="n">
        <v>55238</v>
      </c>
      <c r="D23" s="57"/>
      <c r="E23" s="68" t="n">
        <f aca="false">E22+N(C23)-N(D23)</f>
        <v>139289.91</v>
      </c>
      <c r="F23" s="11" t="s">
        <v>417</v>
      </c>
      <c r="G23" s="7" t="s">
        <v>140</v>
      </c>
      <c r="H23" s="67"/>
    </row>
    <row r="24" customFormat="false" ht="14.25" hidden="false" customHeight="true" outlineLevel="0" collapsed="false">
      <c r="A24" s="73" t="s">
        <v>415</v>
      </c>
      <c r="B24" s="46" t="s">
        <v>138</v>
      </c>
      <c r="C24" s="47"/>
      <c r="D24" s="48" t="n">
        <v>19700</v>
      </c>
      <c r="E24" s="70" t="n">
        <f aca="false">E23+N(C24)-N(D24)</f>
        <v>119589.91</v>
      </c>
      <c r="F24" s="50" t="s">
        <v>418</v>
      </c>
      <c r="G24" s="45" t="s">
        <v>419</v>
      </c>
      <c r="H24" s="63" t="s">
        <v>309</v>
      </c>
    </row>
    <row r="25" customFormat="false" ht="14.25" hidden="false" customHeight="true" outlineLevel="0" collapsed="false">
      <c r="A25" s="73" t="s">
        <v>415</v>
      </c>
      <c r="B25" s="46" t="s">
        <v>420</v>
      </c>
      <c r="C25" s="47"/>
      <c r="D25" s="48" t="n">
        <v>1180</v>
      </c>
      <c r="E25" s="70" t="n">
        <f aca="false">E24+N(C25)-N(D25)</f>
        <v>118409.91</v>
      </c>
      <c r="F25" s="50" t="s">
        <v>421</v>
      </c>
      <c r="G25" s="45" t="s">
        <v>127</v>
      </c>
      <c r="H25" s="63" t="s">
        <v>267</v>
      </c>
    </row>
    <row r="26" customFormat="false" ht="14.25" hidden="false" customHeight="true" outlineLevel="0" collapsed="false">
      <c r="A26" s="33" t="s">
        <v>422</v>
      </c>
      <c r="B26" s="6" t="s">
        <v>423</v>
      </c>
      <c r="C26" s="9" t="n">
        <v>96620</v>
      </c>
      <c r="D26" s="57"/>
      <c r="E26" s="68" t="n">
        <f aca="false">E25+N(C26)-N(D26)</f>
        <v>215029.91</v>
      </c>
      <c r="F26" s="11"/>
      <c r="G26" s="7" t="s">
        <v>140</v>
      </c>
      <c r="H26" s="67"/>
    </row>
    <row r="27" customFormat="false" ht="14.25" hidden="false" customHeight="true" outlineLevel="0" collapsed="false">
      <c r="A27" s="33" t="s">
        <v>422</v>
      </c>
      <c r="B27" s="6" t="s">
        <v>424</v>
      </c>
      <c r="C27" s="9" t="n">
        <v>5036</v>
      </c>
      <c r="D27" s="57"/>
      <c r="E27" s="68" t="n">
        <f aca="false">E26+N(C27)-N(D27)</f>
        <v>220065.91</v>
      </c>
      <c r="F27" s="11"/>
      <c r="G27" s="7" t="s">
        <v>140</v>
      </c>
      <c r="H27" s="67"/>
    </row>
    <row r="28" customFormat="false" ht="14.25" hidden="false" customHeight="true" outlineLevel="0" collapsed="false">
      <c r="A28" s="33" t="s">
        <v>422</v>
      </c>
      <c r="B28" s="6" t="s">
        <v>425</v>
      </c>
      <c r="C28" s="9" t="n">
        <v>23069</v>
      </c>
      <c r="D28" s="57"/>
      <c r="E28" s="68" t="n">
        <f aca="false">E27+N(C28)-N(D28)</f>
        <v>243134.91</v>
      </c>
      <c r="F28" s="11"/>
      <c r="G28" s="7" t="s">
        <v>140</v>
      </c>
      <c r="H28" s="67"/>
    </row>
    <row r="29" customFormat="false" ht="14.25" hidden="false" customHeight="true" outlineLevel="0" collapsed="false">
      <c r="A29" s="33" t="s">
        <v>422</v>
      </c>
      <c r="B29" s="6" t="s">
        <v>426</v>
      </c>
      <c r="C29" s="9" t="n">
        <v>18990</v>
      </c>
      <c r="D29" s="57"/>
      <c r="E29" s="68" t="n">
        <f aca="false">E28+N(C29)-N(D29)</f>
        <v>262124.91</v>
      </c>
      <c r="F29" s="11" t="s">
        <v>427</v>
      </c>
      <c r="G29" s="7" t="s">
        <v>140</v>
      </c>
      <c r="H29" s="67"/>
    </row>
    <row r="30" customFormat="false" ht="14.25" hidden="false" customHeight="true" outlineLevel="0" collapsed="false">
      <c r="A30" s="33" t="s">
        <v>422</v>
      </c>
      <c r="B30" s="6" t="s">
        <v>396</v>
      </c>
      <c r="C30" s="9" t="n">
        <v>82721.75</v>
      </c>
      <c r="D30" s="57"/>
      <c r="E30" s="68" t="n">
        <f aca="false">E29+N(C30)-N(D30)</f>
        <v>344846.66</v>
      </c>
      <c r="F30" s="11" t="s">
        <v>428</v>
      </c>
      <c r="G30" s="7" t="s">
        <v>140</v>
      </c>
      <c r="H30" s="67"/>
    </row>
    <row r="31" customFormat="false" ht="14.25" hidden="false" customHeight="true" outlineLevel="0" collapsed="false">
      <c r="A31" s="73" t="s">
        <v>422</v>
      </c>
      <c r="B31" s="46" t="s">
        <v>429</v>
      </c>
      <c r="C31" s="47"/>
      <c r="D31" s="48" t="n">
        <v>169845.3</v>
      </c>
      <c r="E31" s="70" t="n">
        <f aca="false">E30+N(C31)-N(D31)</f>
        <v>175001.36</v>
      </c>
      <c r="F31" s="50" t="s">
        <v>430</v>
      </c>
      <c r="G31" s="45" t="s">
        <v>127</v>
      </c>
      <c r="H31" s="63" t="s">
        <v>309</v>
      </c>
    </row>
    <row r="32" customFormat="false" ht="14.25" hidden="false" customHeight="true" outlineLevel="0" collapsed="false">
      <c r="A32" s="33" t="s">
        <v>422</v>
      </c>
      <c r="B32" s="6" t="s">
        <v>431</v>
      </c>
      <c r="C32" s="9" t="n">
        <v>5000</v>
      </c>
      <c r="D32" s="57"/>
      <c r="E32" s="68" t="n">
        <f aca="false">E31+N(C32)-N(D32)</f>
        <v>180001.36</v>
      </c>
      <c r="F32" s="11" t="s">
        <v>432</v>
      </c>
      <c r="G32" s="7" t="s">
        <v>140</v>
      </c>
      <c r="H32" s="67"/>
    </row>
    <row r="33" customFormat="false" ht="14.25" hidden="false" customHeight="true" outlineLevel="0" collapsed="false">
      <c r="A33" s="73" t="s">
        <v>422</v>
      </c>
      <c r="B33" s="46" t="s">
        <v>433</v>
      </c>
      <c r="C33" s="47"/>
      <c r="D33" s="48" t="n">
        <v>75065</v>
      </c>
      <c r="E33" s="70" t="n">
        <f aca="false">E32+N(C33)-N(D33)</f>
        <v>104936.36</v>
      </c>
      <c r="F33" s="50" t="s">
        <v>434</v>
      </c>
      <c r="G33" s="45" t="s">
        <v>127</v>
      </c>
      <c r="H33" s="63" t="s">
        <v>267</v>
      </c>
    </row>
    <row r="34" customFormat="false" ht="14.25" hidden="false" customHeight="true" outlineLevel="0" collapsed="false">
      <c r="A34" s="33" t="s">
        <v>422</v>
      </c>
      <c r="B34" s="6" t="s">
        <v>435</v>
      </c>
      <c r="C34" s="9" t="n">
        <v>129446</v>
      </c>
      <c r="D34" s="57"/>
      <c r="E34" s="68" t="n">
        <f aca="false">E33+N(C34)-N(D34)</f>
        <v>234382.36</v>
      </c>
      <c r="F34" s="11" t="s">
        <v>436</v>
      </c>
      <c r="G34" s="7" t="s">
        <v>140</v>
      </c>
      <c r="H34" s="67"/>
    </row>
    <row r="35" customFormat="false" ht="14.25" hidden="false" customHeight="true" outlineLevel="0" collapsed="false">
      <c r="A35" s="59" t="s">
        <v>437</v>
      </c>
      <c r="B35" s="52" t="s">
        <v>438</v>
      </c>
      <c r="C35" s="53"/>
      <c r="D35" s="54" t="n">
        <v>12635</v>
      </c>
      <c r="E35" s="64" t="n">
        <f aca="false">E34+N(C35)-N(D35)</f>
        <v>221747.36</v>
      </c>
      <c r="F35" s="56" t="s">
        <v>439</v>
      </c>
      <c r="G35" s="51" t="s">
        <v>130</v>
      </c>
      <c r="H35" s="65" t="s">
        <v>267</v>
      </c>
    </row>
    <row r="36" customFormat="false" ht="14.25" hidden="false" customHeight="true" outlineLevel="0" collapsed="false">
      <c r="A36" s="59" t="s">
        <v>437</v>
      </c>
      <c r="B36" s="52" t="s">
        <v>440</v>
      </c>
      <c r="C36" s="53"/>
      <c r="D36" s="54" t="n">
        <v>11755</v>
      </c>
      <c r="E36" s="64" t="n">
        <f aca="false">E35+N(C36)-N(D36)</f>
        <v>209992.36</v>
      </c>
      <c r="F36" s="56" t="s">
        <v>441</v>
      </c>
      <c r="G36" s="51" t="s">
        <v>130</v>
      </c>
      <c r="H36" s="65" t="s">
        <v>267</v>
      </c>
    </row>
    <row r="37" customFormat="false" ht="14.25" hidden="false" customHeight="true" outlineLevel="0" collapsed="false">
      <c r="A37" s="59" t="s">
        <v>437</v>
      </c>
      <c r="B37" s="52" t="s">
        <v>442</v>
      </c>
      <c r="C37" s="53"/>
      <c r="D37" s="54" t="n">
        <v>12514</v>
      </c>
      <c r="E37" s="64" t="n">
        <f aca="false">E36+N(C37)-N(D37)</f>
        <v>197478.36</v>
      </c>
      <c r="F37" s="56" t="s">
        <v>443</v>
      </c>
      <c r="G37" s="51" t="s">
        <v>130</v>
      </c>
      <c r="H37" s="65" t="s">
        <v>267</v>
      </c>
    </row>
    <row r="38" customFormat="false" ht="14.25" hidden="false" customHeight="true" outlineLevel="0" collapsed="false">
      <c r="A38" s="33" t="s">
        <v>437</v>
      </c>
      <c r="B38" s="6" t="s">
        <v>444</v>
      </c>
      <c r="C38" s="9" t="n">
        <v>29500</v>
      </c>
      <c r="D38" s="57"/>
      <c r="E38" s="68" t="n">
        <f aca="false">E37+N(C38)-N(D38)</f>
        <v>226978.36</v>
      </c>
      <c r="F38" s="11" t="s">
        <v>445</v>
      </c>
      <c r="G38" s="7" t="s">
        <v>140</v>
      </c>
      <c r="H38" s="67"/>
    </row>
    <row r="39" customFormat="false" ht="14.25" hidden="false" customHeight="true" outlineLevel="0" collapsed="false">
      <c r="A39" s="33" t="s">
        <v>437</v>
      </c>
      <c r="B39" s="6" t="s">
        <v>446</v>
      </c>
      <c r="C39" s="9" t="n">
        <v>15340</v>
      </c>
      <c r="D39" s="57"/>
      <c r="E39" s="68" t="n">
        <f aca="false">E38+N(C39)-N(D39)</f>
        <v>242318.36</v>
      </c>
      <c r="F39" s="11" t="s">
        <v>447</v>
      </c>
      <c r="G39" s="7" t="s">
        <v>140</v>
      </c>
      <c r="H39" s="67"/>
    </row>
    <row r="40" customFormat="false" ht="14.25" hidden="false" customHeight="true" outlineLevel="0" collapsed="false">
      <c r="A40" s="33" t="s">
        <v>437</v>
      </c>
      <c r="B40" s="6" t="s">
        <v>448</v>
      </c>
      <c r="C40" s="9" t="n">
        <v>12675</v>
      </c>
      <c r="D40" s="57"/>
      <c r="E40" s="68" t="n">
        <f aca="false">E39+N(C40)-N(D40)</f>
        <v>254993.36</v>
      </c>
      <c r="F40" s="11" t="s">
        <v>449</v>
      </c>
      <c r="G40" s="7" t="s">
        <v>140</v>
      </c>
      <c r="H40" s="67"/>
    </row>
    <row r="41" customFormat="false" ht="14.25" hidden="false" customHeight="true" outlineLevel="0" collapsed="false">
      <c r="A41" s="59" t="s">
        <v>437</v>
      </c>
      <c r="B41" s="52" t="s">
        <v>303</v>
      </c>
      <c r="C41" s="53"/>
      <c r="D41" s="54" t="n">
        <v>6928.76</v>
      </c>
      <c r="E41" s="64" t="n">
        <f aca="false">E40+N(C41)-N(D41)</f>
        <v>248064.6</v>
      </c>
      <c r="F41" s="56" t="s">
        <v>304</v>
      </c>
      <c r="G41" s="51" t="s">
        <v>130</v>
      </c>
      <c r="H41" s="65" t="s">
        <v>267</v>
      </c>
    </row>
    <row r="42" customFormat="false" ht="14.25" hidden="false" customHeight="true" outlineLevel="0" collapsed="false">
      <c r="A42" s="33" t="s">
        <v>437</v>
      </c>
      <c r="B42" s="6" t="s">
        <v>396</v>
      </c>
      <c r="C42" s="9" t="n">
        <v>142805.25</v>
      </c>
      <c r="D42" s="57"/>
      <c r="E42" s="68" t="n">
        <f aca="false">E41+N(C42)-N(D42)</f>
        <v>390869.85</v>
      </c>
      <c r="F42" s="11" t="s">
        <v>450</v>
      </c>
      <c r="G42" s="7" t="s">
        <v>140</v>
      </c>
      <c r="H42" s="67"/>
    </row>
    <row r="43" customFormat="false" ht="14.25" hidden="false" customHeight="true" outlineLevel="0" collapsed="false">
      <c r="A43" s="73" t="s">
        <v>451</v>
      </c>
      <c r="B43" s="46" t="s">
        <v>452</v>
      </c>
      <c r="C43" s="47"/>
      <c r="D43" s="48" t="n">
        <v>5000</v>
      </c>
      <c r="E43" s="70" t="n">
        <f aca="false">E42+N(C43)-N(D43)</f>
        <v>385869.85</v>
      </c>
      <c r="F43" s="50" t="s">
        <v>453</v>
      </c>
      <c r="G43" s="45" t="s">
        <v>127</v>
      </c>
      <c r="H43" s="63"/>
    </row>
    <row r="44" customFormat="false" ht="14.25" hidden="false" customHeight="true" outlineLevel="0" collapsed="false">
      <c r="A44" s="73" t="s">
        <v>111</v>
      </c>
      <c r="B44" s="46" t="s">
        <v>454</v>
      </c>
      <c r="C44" s="47"/>
      <c r="D44" s="48" t="n">
        <v>45602.49</v>
      </c>
      <c r="E44" s="70" t="n">
        <f aca="false">E43+N(C44)-N(D44)</f>
        <v>340267.36</v>
      </c>
      <c r="F44" s="50" t="s">
        <v>320</v>
      </c>
      <c r="G44" s="45" t="s">
        <v>127</v>
      </c>
      <c r="H44" s="63"/>
    </row>
    <row r="45" customFormat="false" ht="14.25" hidden="false" customHeight="true" outlineLevel="0" collapsed="false">
      <c r="A45" s="33" t="s">
        <v>111</v>
      </c>
      <c r="B45" s="6" t="s">
        <v>191</v>
      </c>
      <c r="C45" s="9" t="n">
        <v>45599.41</v>
      </c>
      <c r="D45" s="57"/>
      <c r="E45" s="68" t="n">
        <f aca="false">E44+N(C45)-N(D45)</f>
        <v>385866.77</v>
      </c>
      <c r="F45" s="11" t="s">
        <v>455</v>
      </c>
      <c r="G45" s="7" t="s">
        <v>140</v>
      </c>
      <c r="H45" s="67"/>
    </row>
    <row r="46" customFormat="false" ht="14.25" hidden="false" customHeight="true" outlineLevel="0" collapsed="false">
      <c r="A46" s="33" t="s">
        <v>111</v>
      </c>
      <c r="B46" s="6" t="s">
        <v>189</v>
      </c>
      <c r="C46" s="9" t="n">
        <v>3.08</v>
      </c>
      <c r="D46" s="57"/>
      <c r="E46" s="68" t="n">
        <f aca="false">E45+N(C46)-N(D46)</f>
        <v>385869.85</v>
      </c>
      <c r="F46" s="11"/>
      <c r="G46" s="7" t="s">
        <v>140</v>
      </c>
      <c r="H46" s="67"/>
    </row>
    <row r="47" customFormat="false" ht="14.25" hidden="false" customHeight="true" outlineLevel="0" collapsed="false">
      <c r="A47" s="33" t="s">
        <v>111</v>
      </c>
      <c r="B47" s="6" t="s">
        <v>456</v>
      </c>
      <c r="C47" s="9" t="n">
        <v>286847</v>
      </c>
      <c r="D47" s="57"/>
      <c r="E47" s="68" t="n">
        <f aca="false">E46+N(C47)-N(D47)</f>
        <v>672716.85</v>
      </c>
      <c r="F47" s="11" t="s">
        <v>457</v>
      </c>
      <c r="G47" s="7" t="s">
        <v>140</v>
      </c>
      <c r="H47" s="67"/>
    </row>
    <row r="48" customFormat="false" ht="14.25" hidden="false" customHeight="true" outlineLevel="0" collapsed="false">
      <c r="A48" s="73" t="s">
        <v>111</v>
      </c>
      <c r="B48" s="46" t="s">
        <v>458</v>
      </c>
      <c r="C48" s="47"/>
      <c r="D48" s="48" t="n">
        <v>16250</v>
      </c>
      <c r="E48" s="70" t="n">
        <f aca="false">E47+N(C48)-N(D48)</f>
        <v>656466.85</v>
      </c>
      <c r="F48" s="50" t="s">
        <v>453</v>
      </c>
      <c r="G48" s="45" t="s">
        <v>127</v>
      </c>
      <c r="H48" s="63"/>
    </row>
    <row r="49" customFormat="false" ht="14.25" hidden="false" customHeight="true" outlineLevel="0" collapsed="false">
      <c r="A49" s="33" t="s">
        <v>111</v>
      </c>
      <c r="B49" s="6" t="s">
        <v>459</v>
      </c>
      <c r="C49" s="9" t="n">
        <v>42772</v>
      </c>
      <c r="D49" s="57"/>
      <c r="E49" s="68" t="n">
        <f aca="false">E48+N(C49)-N(D49)</f>
        <v>699238.85</v>
      </c>
      <c r="F49" s="11"/>
      <c r="G49" s="7" t="s">
        <v>140</v>
      </c>
      <c r="H49" s="67"/>
    </row>
    <row r="50" customFormat="false" ht="14.25" hidden="false" customHeight="true" outlineLevel="0" collapsed="false">
      <c r="A50" s="59" t="s">
        <v>460</v>
      </c>
      <c r="B50" s="52" t="s">
        <v>461</v>
      </c>
      <c r="C50" s="53"/>
      <c r="D50" s="54" t="n">
        <v>171</v>
      </c>
      <c r="E50" s="64" t="n">
        <f aca="false">E49+N(C50)-N(D50)</f>
        <v>699067.85</v>
      </c>
      <c r="F50" s="56" t="s">
        <v>266</v>
      </c>
      <c r="G50" s="51" t="s">
        <v>130</v>
      </c>
      <c r="H50" s="65" t="s">
        <v>267</v>
      </c>
    </row>
    <row r="51" customFormat="false" ht="14.25" hidden="false" customHeight="true" outlineLevel="0" collapsed="false">
      <c r="A51" s="59" t="s">
        <v>460</v>
      </c>
      <c r="B51" s="52" t="s">
        <v>462</v>
      </c>
      <c r="C51" s="53"/>
      <c r="D51" s="54" t="n">
        <v>12926.98</v>
      </c>
      <c r="E51" s="64" t="n">
        <f aca="false">E50+N(C51)-N(D51)</f>
        <v>686140.87</v>
      </c>
      <c r="F51" s="56" t="s">
        <v>266</v>
      </c>
      <c r="G51" s="51" t="s">
        <v>130</v>
      </c>
      <c r="H51" s="65" t="s">
        <v>267</v>
      </c>
    </row>
    <row r="52" customFormat="false" ht="14.25" hidden="false" customHeight="true" outlineLevel="0" collapsed="false">
      <c r="A52" s="59" t="s">
        <v>460</v>
      </c>
      <c r="B52" s="52" t="s">
        <v>463</v>
      </c>
      <c r="C52" s="53"/>
      <c r="D52" s="54" t="n">
        <v>9600</v>
      </c>
      <c r="E52" s="64" t="n">
        <f aca="false">E51+N(C52)-N(D52)</f>
        <v>676540.87</v>
      </c>
      <c r="F52" s="56" t="s">
        <v>266</v>
      </c>
      <c r="G52" s="51" t="s">
        <v>130</v>
      </c>
      <c r="H52" s="65" t="s">
        <v>267</v>
      </c>
    </row>
    <row r="53" customFormat="false" ht="14.25" hidden="false" customHeight="true" outlineLevel="0" collapsed="false">
      <c r="A53" s="59" t="s">
        <v>460</v>
      </c>
      <c r="B53" s="52" t="s">
        <v>200</v>
      </c>
      <c r="C53" s="53"/>
      <c r="D53" s="54" t="n">
        <v>4000</v>
      </c>
      <c r="E53" s="64" t="n">
        <f aca="false">E52+N(C53)-N(D53)</f>
        <v>672540.87</v>
      </c>
      <c r="F53" s="56" t="s">
        <v>266</v>
      </c>
      <c r="G53" s="51" t="s">
        <v>130</v>
      </c>
      <c r="H53" s="65" t="s">
        <v>267</v>
      </c>
    </row>
    <row r="54" customFormat="false" ht="14.25" hidden="false" customHeight="true" outlineLevel="0" collapsed="false">
      <c r="A54" s="59" t="s">
        <v>460</v>
      </c>
      <c r="B54" s="52" t="s">
        <v>196</v>
      </c>
      <c r="C54" s="53"/>
      <c r="D54" s="54" t="n">
        <v>7000</v>
      </c>
      <c r="E54" s="64" t="n">
        <f aca="false">E53+N(C54)-N(D54)</f>
        <v>665540.87</v>
      </c>
      <c r="F54" s="56" t="s">
        <v>266</v>
      </c>
      <c r="G54" s="51" t="s">
        <v>130</v>
      </c>
      <c r="H54" s="65" t="s">
        <v>267</v>
      </c>
    </row>
    <row r="55" customFormat="false" ht="14.25" hidden="false" customHeight="true" outlineLevel="0" collapsed="false">
      <c r="A55" s="59" t="s">
        <v>460</v>
      </c>
      <c r="B55" s="52" t="s">
        <v>204</v>
      </c>
      <c r="C55" s="53"/>
      <c r="D55" s="54" t="n">
        <v>3000</v>
      </c>
      <c r="E55" s="64" t="n">
        <f aca="false">E54+N(C55)-N(D55)</f>
        <v>662540.87</v>
      </c>
      <c r="F55" s="56" t="s">
        <v>266</v>
      </c>
      <c r="G55" s="51" t="s">
        <v>130</v>
      </c>
      <c r="H55" s="65" t="s">
        <v>267</v>
      </c>
    </row>
    <row r="56" customFormat="false" ht="14.25" hidden="false" customHeight="true" outlineLevel="0" collapsed="false">
      <c r="A56" s="59" t="s">
        <v>460</v>
      </c>
      <c r="B56" s="52" t="s">
        <v>207</v>
      </c>
      <c r="C56" s="53"/>
      <c r="D56" s="54" t="n">
        <v>4700</v>
      </c>
      <c r="E56" s="64" t="n">
        <f aca="false">E55+N(C56)-N(D56)</f>
        <v>657840.87</v>
      </c>
      <c r="F56" s="56" t="s">
        <v>266</v>
      </c>
      <c r="G56" s="51" t="s">
        <v>130</v>
      </c>
      <c r="H56" s="65" t="s">
        <v>267</v>
      </c>
    </row>
    <row r="57" customFormat="false" ht="14.25" hidden="false" customHeight="true" outlineLevel="0" collapsed="false">
      <c r="A57" s="59" t="s">
        <v>460</v>
      </c>
      <c r="B57" s="52" t="s">
        <v>464</v>
      </c>
      <c r="C57" s="53"/>
      <c r="D57" s="54" t="n">
        <v>8850</v>
      </c>
      <c r="E57" s="64" t="n">
        <f aca="false">E56+N(C57)-N(D57)</f>
        <v>648990.87</v>
      </c>
      <c r="F57" s="56" t="s">
        <v>266</v>
      </c>
      <c r="G57" s="51" t="s">
        <v>130</v>
      </c>
      <c r="H57" s="65" t="s">
        <v>267</v>
      </c>
    </row>
    <row r="58" customFormat="false" ht="14.25" hidden="false" customHeight="true" outlineLevel="0" collapsed="false">
      <c r="A58" s="59" t="s">
        <v>460</v>
      </c>
      <c r="B58" s="52" t="s">
        <v>465</v>
      </c>
      <c r="C58" s="53"/>
      <c r="D58" s="54" t="n">
        <v>12980</v>
      </c>
      <c r="E58" s="64" t="n">
        <f aca="false">E57+N(C58)-N(D58)</f>
        <v>636010.87</v>
      </c>
      <c r="F58" s="56" t="s">
        <v>266</v>
      </c>
      <c r="G58" s="51" t="s">
        <v>130</v>
      </c>
      <c r="H58" s="65" t="s">
        <v>267</v>
      </c>
    </row>
    <row r="59" customFormat="false" ht="14.25" hidden="false" customHeight="true" outlineLevel="0" collapsed="false">
      <c r="A59" s="59" t="s">
        <v>460</v>
      </c>
      <c r="B59" s="52" t="s">
        <v>466</v>
      </c>
      <c r="C59" s="53"/>
      <c r="D59" s="54" t="n">
        <v>10782.64</v>
      </c>
      <c r="E59" s="64" t="n">
        <f aca="false">E58+N(C59)-N(D59)</f>
        <v>625228.23</v>
      </c>
      <c r="F59" s="56" t="s">
        <v>467</v>
      </c>
      <c r="G59" s="51" t="s">
        <v>130</v>
      </c>
      <c r="H59" s="65" t="s">
        <v>267</v>
      </c>
    </row>
    <row r="60" customFormat="false" ht="14.25" hidden="false" customHeight="true" outlineLevel="0" collapsed="false">
      <c r="A60" s="59" t="s">
        <v>460</v>
      </c>
      <c r="B60" s="52" t="s">
        <v>468</v>
      </c>
      <c r="C60" s="53"/>
      <c r="D60" s="54" t="n">
        <v>3540</v>
      </c>
      <c r="E60" s="64" t="n">
        <f aca="false">E59+N(C60)-N(D60)</f>
        <v>621688.23</v>
      </c>
      <c r="F60" s="56" t="s">
        <v>469</v>
      </c>
      <c r="G60" s="51" t="s">
        <v>130</v>
      </c>
      <c r="H60" s="65" t="s">
        <v>267</v>
      </c>
    </row>
    <row r="61" customFormat="false" ht="14.25" hidden="false" customHeight="true" outlineLevel="0" collapsed="false">
      <c r="A61" s="59" t="s">
        <v>470</v>
      </c>
      <c r="B61" s="52" t="s">
        <v>471</v>
      </c>
      <c r="C61" s="53" t="n">
        <v>4839</v>
      </c>
      <c r="D61" s="54"/>
      <c r="E61" s="64" t="n">
        <f aca="false">E60+N(C61)-N(D61)</f>
        <v>626527.23</v>
      </c>
      <c r="F61" s="56" t="s">
        <v>472</v>
      </c>
      <c r="G61" s="51" t="s">
        <v>140</v>
      </c>
      <c r="H61" s="65"/>
    </row>
    <row r="62" customFormat="false" ht="14.25" hidden="false" customHeight="true" outlineLevel="0" collapsed="false">
      <c r="A62" s="59" t="s">
        <v>470</v>
      </c>
      <c r="B62" s="52" t="s">
        <v>138</v>
      </c>
      <c r="C62" s="53"/>
      <c r="D62" s="54" t="n">
        <v>19770</v>
      </c>
      <c r="E62" s="64" t="n">
        <f aca="false">E61+N(C62)-N(D62)</f>
        <v>606757.23</v>
      </c>
      <c r="F62" s="56" t="s">
        <v>418</v>
      </c>
      <c r="G62" s="51" t="s">
        <v>419</v>
      </c>
      <c r="H62" s="65" t="s">
        <v>309</v>
      </c>
    </row>
    <row r="63" customFormat="false" ht="14.25" hidden="false" customHeight="true" outlineLevel="0" collapsed="false">
      <c r="A63" s="59" t="s">
        <v>470</v>
      </c>
      <c r="B63" s="52" t="s">
        <v>396</v>
      </c>
      <c r="C63" s="53" t="n">
        <v>30000</v>
      </c>
      <c r="D63" s="54"/>
      <c r="E63" s="64" t="n">
        <f aca="false">E62+N(C63)-N(D63)</f>
        <v>636757.23</v>
      </c>
      <c r="F63" s="56" t="s">
        <v>473</v>
      </c>
      <c r="G63" s="51" t="s">
        <v>140</v>
      </c>
      <c r="H63" s="65"/>
    </row>
    <row r="64" customFormat="false" ht="14.25" hidden="false" customHeight="true" outlineLevel="0" collapsed="false">
      <c r="A64" s="59" t="s">
        <v>470</v>
      </c>
      <c r="B64" s="52" t="s">
        <v>474</v>
      </c>
      <c r="C64" s="53"/>
      <c r="D64" s="54" t="n">
        <v>1357</v>
      </c>
      <c r="E64" s="64" t="n">
        <f aca="false">E63+N(C64)-N(D64)</f>
        <v>635400.23</v>
      </c>
      <c r="F64" s="56" t="s">
        <v>475</v>
      </c>
      <c r="G64" s="51" t="s">
        <v>130</v>
      </c>
      <c r="H64" s="65" t="s">
        <v>267</v>
      </c>
    </row>
    <row r="65" customFormat="false" ht="14.25" hidden="false" customHeight="true" outlineLevel="0" collapsed="false">
      <c r="A65" s="59" t="s">
        <v>476</v>
      </c>
      <c r="B65" s="52" t="s">
        <v>477</v>
      </c>
      <c r="C65" s="53"/>
      <c r="D65" s="54" t="n">
        <v>13770</v>
      </c>
      <c r="E65" s="64" t="n">
        <f aca="false">E64+N(C65)-N(D65)</f>
        <v>621630.23</v>
      </c>
      <c r="F65" s="56"/>
      <c r="G65" s="51" t="s">
        <v>127</v>
      </c>
      <c r="H65" s="65"/>
    </row>
    <row r="66" customFormat="false" ht="14.25" hidden="false" customHeight="true" outlineLevel="0" collapsed="false">
      <c r="A66" s="59" t="s">
        <v>476</v>
      </c>
      <c r="B66" s="52" t="s">
        <v>478</v>
      </c>
      <c r="C66" s="53"/>
      <c r="D66" s="54" t="n">
        <v>19770</v>
      </c>
      <c r="E66" s="64" t="n">
        <f aca="false">E65+N(C66)-N(D66)</f>
        <v>601860.23</v>
      </c>
      <c r="F66" s="56" t="s">
        <v>479</v>
      </c>
      <c r="G66" s="51" t="s">
        <v>130</v>
      </c>
      <c r="H66" s="65" t="s">
        <v>267</v>
      </c>
    </row>
    <row r="67" customFormat="false" ht="14.25" hidden="false" customHeight="true" outlineLevel="0" collapsed="false">
      <c r="A67" s="59" t="s">
        <v>480</v>
      </c>
      <c r="B67" s="52" t="s">
        <v>228</v>
      </c>
      <c r="C67" s="53"/>
      <c r="D67" s="54" t="n">
        <v>4193.64</v>
      </c>
      <c r="E67" s="64" t="n">
        <f aca="false">E66+N(C67)-N(D67)</f>
        <v>597666.59</v>
      </c>
      <c r="F67" s="56" t="s">
        <v>481</v>
      </c>
      <c r="G67" s="51" t="s">
        <v>130</v>
      </c>
      <c r="H67" s="65" t="s">
        <v>267</v>
      </c>
    </row>
    <row r="68" customFormat="false" ht="14.25" hidden="false" customHeight="true" outlineLevel="0" collapsed="false">
      <c r="A68" s="59" t="s">
        <v>480</v>
      </c>
      <c r="B68" s="52" t="s">
        <v>482</v>
      </c>
      <c r="C68" s="53"/>
      <c r="D68" s="54" t="n">
        <v>92498.4</v>
      </c>
      <c r="E68" s="64" t="n">
        <f aca="false">E67+N(C68)-N(D68)</f>
        <v>505168.19</v>
      </c>
      <c r="F68" s="56" t="s">
        <v>483</v>
      </c>
      <c r="G68" s="51" t="s">
        <v>127</v>
      </c>
      <c r="H68" s="65" t="s">
        <v>267</v>
      </c>
    </row>
    <row r="69" customFormat="false" ht="14.25" hidden="false" customHeight="true" outlineLevel="0" collapsed="false">
      <c r="A69" s="59" t="s">
        <v>480</v>
      </c>
      <c r="B69" s="52" t="s">
        <v>484</v>
      </c>
      <c r="C69" s="53"/>
      <c r="D69" s="54" t="n">
        <v>1825</v>
      </c>
      <c r="E69" s="64" t="n">
        <f aca="false">E68+N(C69)-N(D69)</f>
        <v>503343.19</v>
      </c>
      <c r="F69" s="56" t="s">
        <v>485</v>
      </c>
      <c r="G69" s="51" t="s">
        <v>130</v>
      </c>
      <c r="H69" s="65" t="s">
        <v>267</v>
      </c>
    </row>
    <row r="70" customFormat="false" ht="14.25" hidden="false" customHeight="true" outlineLevel="0" collapsed="false">
      <c r="A70" s="59" t="s">
        <v>480</v>
      </c>
      <c r="B70" s="52" t="s">
        <v>486</v>
      </c>
      <c r="C70" s="53"/>
      <c r="D70" s="54" t="n">
        <v>35758.81</v>
      </c>
      <c r="E70" s="64" t="n">
        <f aca="false">E69+N(C70)-N(D70)</f>
        <v>467584.38</v>
      </c>
      <c r="F70" s="56" t="s">
        <v>487</v>
      </c>
      <c r="G70" s="51" t="s">
        <v>127</v>
      </c>
      <c r="H70" s="65" t="s">
        <v>267</v>
      </c>
    </row>
    <row r="71" customFormat="false" ht="14.25" hidden="false" customHeight="true" outlineLevel="0" collapsed="false">
      <c r="A71" s="59" t="s">
        <v>480</v>
      </c>
      <c r="B71" s="52" t="s">
        <v>488</v>
      </c>
      <c r="C71" s="53"/>
      <c r="D71" s="54" t="n">
        <v>190858.51</v>
      </c>
      <c r="E71" s="64" t="n">
        <f aca="false">E70+N(C71)-N(D71)</f>
        <v>276725.87</v>
      </c>
      <c r="F71" s="56" t="s">
        <v>489</v>
      </c>
      <c r="G71" s="51" t="s">
        <v>127</v>
      </c>
      <c r="H71" s="65" t="s">
        <v>267</v>
      </c>
    </row>
    <row r="72" customFormat="false" ht="14.25" hidden="false" customHeight="true" outlineLevel="0" collapsed="false">
      <c r="A72" s="59" t="s">
        <v>480</v>
      </c>
      <c r="B72" s="52" t="s">
        <v>490</v>
      </c>
      <c r="C72" s="53"/>
      <c r="D72" s="54" t="n">
        <v>4085</v>
      </c>
      <c r="E72" s="64" t="n">
        <f aca="false">E71+N(C72)-N(D72)</f>
        <v>272640.87</v>
      </c>
      <c r="F72" s="56" t="s">
        <v>491</v>
      </c>
      <c r="G72" s="51" t="s">
        <v>127</v>
      </c>
      <c r="H72" s="65" t="s">
        <v>267</v>
      </c>
    </row>
    <row r="73" customFormat="false" ht="14.25" hidden="false" customHeight="true" outlineLevel="0" collapsed="false">
      <c r="A73" s="59" t="s">
        <v>480</v>
      </c>
      <c r="B73" s="52" t="s">
        <v>492</v>
      </c>
      <c r="C73" s="53"/>
      <c r="D73" s="54" t="n">
        <v>25965</v>
      </c>
      <c r="E73" s="64" t="n">
        <f aca="false">E72+N(C73)-N(D73)</f>
        <v>246675.87</v>
      </c>
      <c r="F73" s="56" t="s">
        <v>493</v>
      </c>
      <c r="G73" s="51" t="s">
        <v>127</v>
      </c>
      <c r="H73" s="65" t="s">
        <v>267</v>
      </c>
    </row>
    <row r="74" customFormat="false" ht="14.25" hidden="false" customHeight="true" outlineLevel="0" collapsed="false">
      <c r="A74" s="59" t="s">
        <v>494</v>
      </c>
      <c r="B74" s="52" t="s">
        <v>495</v>
      </c>
      <c r="C74" s="53"/>
      <c r="D74" s="54" t="n">
        <v>1260</v>
      </c>
      <c r="E74" s="64" t="n">
        <f aca="false">E73+N(C74)-N(D74)</f>
        <v>245415.87</v>
      </c>
      <c r="F74" s="56" t="s">
        <v>496</v>
      </c>
      <c r="G74" s="51" t="s">
        <v>127</v>
      </c>
      <c r="H74" s="65"/>
    </row>
    <row r="75" customFormat="false" ht="14.25" hidden="false" customHeight="true" outlineLevel="0" collapsed="false">
      <c r="A75" s="59" t="s">
        <v>494</v>
      </c>
      <c r="B75" s="52" t="s">
        <v>497</v>
      </c>
      <c r="C75" s="53"/>
      <c r="D75" s="54" t="n">
        <v>2580</v>
      </c>
      <c r="E75" s="64" t="n">
        <f aca="false">E74+N(C75)-N(D75)</f>
        <v>242835.87</v>
      </c>
      <c r="F75" s="56" t="s">
        <v>496</v>
      </c>
      <c r="G75" s="51" t="s">
        <v>127</v>
      </c>
      <c r="H75" s="65"/>
    </row>
    <row r="76" customFormat="false" ht="14.25" hidden="false" customHeight="true" outlineLevel="0" collapsed="false">
      <c r="A76" s="59" t="s">
        <v>494</v>
      </c>
      <c r="B76" s="52" t="s">
        <v>254</v>
      </c>
      <c r="C76" s="53"/>
      <c r="D76" s="54" t="n">
        <v>5056</v>
      </c>
      <c r="E76" s="64" t="n">
        <f aca="false">E75+N(C76)-N(D76)</f>
        <v>237779.87</v>
      </c>
      <c r="F76" s="56" t="s">
        <v>481</v>
      </c>
      <c r="G76" s="51" t="s">
        <v>130</v>
      </c>
      <c r="H76" s="65" t="s">
        <v>267</v>
      </c>
    </row>
    <row r="77" customFormat="false" ht="14.25" hidden="false" customHeight="true" outlineLevel="0" collapsed="false">
      <c r="A77" s="59" t="s">
        <v>494</v>
      </c>
      <c r="B77" s="52" t="s">
        <v>498</v>
      </c>
      <c r="C77" s="53" t="n">
        <v>47973.78</v>
      </c>
      <c r="D77" s="54"/>
      <c r="E77" s="64" t="n">
        <f aca="false">E76+N(C77)-N(D77)</f>
        <v>285753.65</v>
      </c>
      <c r="F77" s="56" t="s">
        <v>499</v>
      </c>
      <c r="G77" s="51" t="s">
        <v>140</v>
      </c>
      <c r="H77" s="65"/>
    </row>
    <row r="78" customFormat="false" ht="14.25" hidden="false" customHeight="true" outlineLevel="0" collapsed="false">
      <c r="A78" s="59" t="s">
        <v>494</v>
      </c>
      <c r="B78" s="52" t="s">
        <v>500</v>
      </c>
      <c r="C78" s="53"/>
      <c r="D78" s="54" t="n">
        <v>125000</v>
      </c>
      <c r="E78" s="64" t="n">
        <f aca="false">E77+N(C78)-N(D78)</f>
        <v>160753.65</v>
      </c>
      <c r="F78" s="56" t="s">
        <v>501</v>
      </c>
      <c r="G78" s="51" t="s">
        <v>127</v>
      </c>
      <c r="H78" s="65" t="s">
        <v>309</v>
      </c>
    </row>
    <row r="79" customFormat="false" ht="14.25" hidden="false" customHeight="true" outlineLevel="0" collapsed="false">
      <c r="A79" s="59" t="s">
        <v>494</v>
      </c>
      <c r="B79" s="52" t="s">
        <v>502</v>
      </c>
      <c r="C79" s="53"/>
      <c r="D79" s="54" t="n">
        <v>67944</v>
      </c>
      <c r="E79" s="64" t="n">
        <f aca="false">E78+N(C79)-N(D79)</f>
        <v>92809.65</v>
      </c>
      <c r="F79" s="56" t="s">
        <v>489</v>
      </c>
      <c r="G79" s="51" t="s">
        <v>127</v>
      </c>
      <c r="H79" s="65" t="s">
        <v>267</v>
      </c>
    </row>
    <row r="80" customFormat="false" ht="14.25" hidden="false" customHeight="true" outlineLevel="0" collapsed="false">
      <c r="A80" s="59" t="s">
        <v>503</v>
      </c>
      <c r="B80" s="52" t="s">
        <v>504</v>
      </c>
      <c r="C80" s="53" t="n">
        <v>25000</v>
      </c>
      <c r="D80" s="54"/>
      <c r="E80" s="64" t="n">
        <f aca="false">E79+N(C80)-N(D80)</f>
        <v>117809.65</v>
      </c>
      <c r="F80" s="56" t="s">
        <v>505</v>
      </c>
      <c r="G80" s="51" t="s">
        <v>140</v>
      </c>
      <c r="H80" s="65"/>
    </row>
    <row r="81" customFormat="false" ht="14.25" hidden="false" customHeight="true" outlineLevel="0" collapsed="false">
      <c r="A81" s="59" t="s">
        <v>506</v>
      </c>
      <c r="B81" s="52" t="s">
        <v>380</v>
      </c>
      <c r="C81" s="53"/>
      <c r="D81" s="54" t="n">
        <v>5.5</v>
      </c>
      <c r="E81" s="64" t="n">
        <f aca="false">E80+N(C81)-N(D81)</f>
        <v>117804.15</v>
      </c>
      <c r="F81" s="56" t="s">
        <v>381</v>
      </c>
      <c r="G81" s="51" t="s">
        <v>127</v>
      </c>
      <c r="H81" s="65" t="s">
        <v>267</v>
      </c>
    </row>
    <row r="82" customFormat="false" ht="14.25" hidden="false" customHeight="true" outlineLevel="0" collapsed="false">
      <c r="A82" s="59" t="s">
        <v>507</v>
      </c>
      <c r="B82" s="52" t="s">
        <v>508</v>
      </c>
      <c r="C82" s="53"/>
      <c r="D82" s="54" t="n">
        <v>145.49</v>
      </c>
      <c r="E82" s="64" t="n">
        <f aca="false">E81+N(C82)-N(D82)</f>
        <v>117658.66</v>
      </c>
      <c r="F82" s="56" t="s">
        <v>481</v>
      </c>
      <c r="G82" s="51" t="s">
        <v>127</v>
      </c>
      <c r="H82" s="65" t="s">
        <v>267</v>
      </c>
    </row>
    <row r="83" customFormat="false" ht="14.25" hidden="false" customHeight="true" outlineLevel="0" collapsed="false">
      <c r="A83" s="1" t="s">
        <v>509</v>
      </c>
      <c r="C83" s="91"/>
      <c r="D83" s="91"/>
      <c r="E83" s="92" t="n">
        <f aca="false">E82</f>
        <v>117658.66</v>
      </c>
    </row>
    <row r="84" customFormat="false" ht="30" hidden="false" customHeight="true" outlineLevel="0" collapsed="false">
      <c r="A84" s="93" t="s">
        <v>510</v>
      </c>
      <c r="B84" s="93"/>
      <c r="C84" s="93"/>
      <c r="D84" s="93"/>
      <c r="E84" s="93"/>
      <c r="F84" s="93"/>
      <c r="G84" s="93"/>
      <c r="H84" s="93"/>
    </row>
    <row r="85" customFormat="false" ht="14.25" hidden="false" customHeight="true" outlineLevel="0" collapsed="false">
      <c r="C85" s="91"/>
      <c r="D85" s="91"/>
      <c r="E85" s="91"/>
    </row>
    <row r="86" customFormat="false" ht="14.25" hidden="false" customHeight="true" outlineLevel="0" collapsed="false">
      <c r="A86" s="94" t="s">
        <v>387</v>
      </c>
      <c r="B86" s="94"/>
      <c r="C86" s="94"/>
      <c r="D86" s="94"/>
      <c r="E86" s="94"/>
      <c r="F86" s="94"/>
      <c r="G86" s="94"/>
      <c r="H86" s="94"/>
    </row>
    <row r="87" customFormat="false" ht="14.25" hidden="false" customHeight="true" outlineLevel="0" collapsed="false">
      <c r="A87" s="95" t="s">
        <v>511</v>
      </c>
      <c r="B87" s="95"/>
      <c r="C87" s="96"/>
      <c r="D87" s="90" t="n">
        <f aca="false">SUMIF(H5:H82,"כן",D5:D82)</f>
        <v>730843.96</v>
      </c>
      <c r="E87" s="91"/>
    </row>
    <row r="88" customFormat="false" ht="14.25" hidden="false" customHeight="true" outlineLevel="0" collapsed="false">
      <c r="A88" s="95" t="s">
        <v>512</v>
      </c>
      <c r="B88" s="95"/>
      <c r="C88" s="96"/>
      <c r="D88" s="90" t="n">
        <f aca="false">SUMIF(H5:H82,"לא",D5:D82)</f>
        <v>334315.3</v>
      </c>
      <c r="E88" s="91"/>
    </row>
    <row r="89" customFormat="false" ht="14.25" hidden="false" customHeight="true" outlineLevel="0" collapsed="false">
      <c r="A89" s="95" t="s">
        <v>513</v>
      </c>
      <c r="B89" s="95"/>
      <c r="C89" s="96"/>
      <c r="D89" s="90" t="n">
        <f aca="false">SUM(C5:C82)</f>
        <v>1288687.12</v>
      </c>
      <c r="E89" s="91"/>
    </row>
    <row r="90" customFormat="false" ht="14.25" hidden="false" customHeight="true" outlineLevel="0" collapsed="false">
      <c r="C90" s="91"/>
      <c r="D90" s="91"/>
      <c r="E90" s="91"/>
    </row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</sheetData>
  <mergeCells count="4">
    <mergeCell ref="A1:G1"/>
    <mergeCell ref="A2:D2"/>
    <mergeCell ref="A84:H84"/>
    <mergeCell ref="A86:H8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44" activePane="bottomLeft" state="frozen"/>
      <selection pane="topLeft" activeCell="A1" activeCellId="0" sqref="A1"/>
      <selection pane="bottomLeft" activeCell="A58" activeCellId="0" sqref="A58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8"/>
    <col collapsed="false" customWidth="true" hidden="false" outlineLevel="0" max="3" min="3" style="1" width="17.37"/>
    <col collapsed="false" customWidth="true" hidden="false" outlineLevel="0" max="4" min="4" style="1" width="13.5"/>
    <col collapsed="false" customWidth="true" hidden="false" outlineLevel="0" max="5" min="5" style="1" width="14.5"/>
    <col collapsed="false" customWidth="true" hidden="false" outlineLevel="0" max="6" min="6" style="1" width="42"/>
    <col collapsed="false" customWidth="true" hidden="false" outlineLevel="0" max="7" min="7" style="1" width="12"/>
    <col collapsed="false" customWidth="true" hidden="false" outlineLevel="0" max="8" min="8" style="1" width="17.76"/>
  </cols>
  <sheetData>
    <row r="1" customFormat="false" ht="24" hidden="false" customHeight="true" outlineLevel="0" collapsed="false">
      <c r="A1" s="2" t="s">
        <v>514</v>
      </c>
      <c r="B1" s="2"/>
      <c r="C1" s="2"/>
      <c r="D1" s="2"/>
      <c r="E1" s="2"/>
      <c r="F1" s="2"/>
      <c r="G1" s="2"/>
    </row>
    <row r="2" customFormat="false" ht="14.25" hidden="false" customHeight="true" outlineLevel="0" collapsed="false">
      <c r="A2" s="43" t="s">
        <v>515</v>
      </c>
      <c r="B2" s="43"/>
      <c r="C2" s="43"/>
      <c r="D2" s="43"/>
      <c r="E2" s="44" t="n">
        <f aca="false">'תזרים ספטמבר 2026'!E83</f>
        <v>117658.66</v>
      </c>
      <c r="F2" s="31"/>
      <c r="G2" s="31"/>
    </row>
    <row r="3" customFormat="false" ht="14.25" hidden="false" customHeight="true" outlineLevel="0" collapsed="false"/>
    <row r="4" customFormat="false" ht="14.25" hidden="false" customHeight="true" outlineLevel="0" collapsed="false">
      <c r="A4" s="5" t="s">
        <v>5</v>
      </c>
      <c r="B4" s="5" t="s">
        <v>119</v>
      </c>
      <c r="C4" s="5" t="s">
        <v>120</v>
      </c>
      <c r="D4" s="5" t="s">
        <v>121</v>
      </c>
      <c r="E4" s="37" t="s">
        <v>8</v>
      </c>
      <c r="F4" s="5" t="s">
        <v>122</v>
      </c>
      <c r="G4" s="5" t="s">
        <v>123</v>
      </c>
      <c r="H4" s="61" t="s">
        <v>262</v>
      </c>
    </row>
    <row r="5" customFormat="false" ht="14.25" hidden="false" customHeight="true" outlineLevel="0" collapsed="false">
      <c r="A5" s="59" t="s">
        <v>516</v>
      </c>
      <c r="B5" s="52" t="s">
        <v>125</v>
      </c>
      <c r="C5" s="53"/>
      <c r="D5" s="54" t="n">
        <v>90</v>
      </c>
      <c r="E5" s="64" t="n">
        <f aca="false">E2+N(C5)-N(D5)</f>
        <v>117568.66</v>
      </c>
      <c r="F5" s="56" t="s">
        <v>517</v>
      </c>
      <c r="G5" s="51" t="s">
        <v>127</v>
      </c>
      <c r="H5" s="65" t="s">
        <v>267</v>
      </c>
    </row>
    <row r="6" customFormat="false" ht="14.25" hidden="false" customHeight="true" outlineLevel="0" collapsed="false">
      <c r="A6" s="59" t="s">
        <v>516</v>
      </c>
      <c r="B6" s="52" t="s">
        <v>271</v>
      </c>
      <c r="C6" s="53"/>
      <c r="D6" s="54" t="n">
        <v>9149</v>
      </c>
      <c r="E6" s="64" t="n">
        <f aca="false">E5+N(C6)-N(D6)</f>
        <v>108419.66</v>
      </c>
      <c r="F6" s="56" t="s">
        <v>518</v>
      </c>
      <c r="G6" s="51" t="s">
        <v>130</v>
      </c>
      <c r="H6" s="65" t="s">
        <v>267</v>
      </c>
    </row>
    <row r="7" customFormat="false" ht="14.25" hidden="false" customHeight="true" outlineLevel="0" collapsed="false">
      <c r="A7" s="59" t="s">
        <v>516</v>
      </c>
      <c r="B7" s="52" t="s">
        <v>131</v>
      </c>
      <c r="C7" s="53"/>
      <c r="D7" s="54" t="n">
        <v>100.65</v>
      </c>
      <c r="E7" s="64" t="n">
        <f aca="false">E6+N(C7)-N(D7)</f>
        <v>108319.01</v>
      </c>
      <c r="F7" s="56" t="s">
        <v>266</v>
      </c>
      <c r="G7" s="51" t="s">
        <v>130</v>
      </c>
      <c r="H7" s="65" t="s">
        <v>267</v>
      </c>
    </row>
    <row r="8" customFormat="false" ht="14.25" hidden="false" customHeight="true" outlineLevel="0" collapsed="false">
      <c r="A8" s="59" t="s">
        <v>516</v>
      </c>
      <c r="B8" s="52" t="s">
        <v>519</v>
      </c>
      <c r="C8" s="53"/>
      <c r="D8" s="54" t="n">
        <v>11</v>
      </c>
      <c r="E8" s="64" t="n">
        <f aca="false">E7+N(C8)-N(D8)</f>
        <v>108308.01</v>
      </c>
      <c r="F8" s="56" t="s">
        <v>517</v>
      </c>
      <c r="G8" s="51" t="s">
        <v>127</v>
      </c>
      <c r="H8" s="65" t="s">
        <v>267</v>
      </c>
    </row>
    <row r="9" customFormat="false" ht="14.25" hidden="false" customHeight="true" outlineLevel="0" collapsed="false">
      <c r="A9" s="59" t="s">
        <v>520</v>
      </c>
      <c r="B9" s="52" t="s">
        <v>133</v>
      </c>
      <c r="C9" s="53"/>
      <c r="D9" s="54" t="n">
        <v>3154.19</v>
      </c>
      <c r="E9" s="64" t="n">
        <f aca="false">E8+N(C9)-N(D9)</f>
        <v>105153.82</v>
      </c>
      <c r="F9" s="56" t="s">
        <v>266</v>
      </c>
      <c r="G9" s="51" t="s">
        <v>130</v>
      </c>
      <c r="H9" s="65" t="s">
        <v>267</v>
      </c>
    </row>
    <row r="10" customFormat="false" ht="14.25" hidden="false" customHeight="true" outlineLevel="0" collapsed="false">
      <c r="A10" s="59" t="s">
        <v>520</v>
      </c>
      <c r="B10" s="52" t="s">
        <v>278</v>
      </c>
      <c r="C10" s="53"/>
      <c r="D10" s="54" t="n">
        <v>3956</v>
      </c>
      <c r="E10" s="64" t="n">
        <f aca="false">E9+N(C10)-N(D10)</f>
        <v>101197.82</v>
      </c>
      <c r="F10" s="56" t="s">
        <v>266</v>
      </c>
      <c r="G10" s="51" t="s">
        <v>130</v>
      </c>
      <c r="H10" s="65" t="s">
        <v>267</v>
      </c>
    </row>
    <row r="11" customFormat="false" ht="14.25" hidden="false" customHeight="true" outlineLevel="0" collapsed="false">
      <c r="A11" s="33" t="s">
        <v>520</v>
      </c>
      <c r="B11" s="6" t="s">
        <v>134</v>
      </c>
      <c r="C11" s="9"/>
      <c r="D11" s="57" t="n">
        <v>191.5</v>
      </c>
      <c r="E11" s="68" t="n">
        <f aca="false">E10+N(C11)-N(D11)</f>
        <v>101006.32</v>
      </c>
      <c r="F11" s="11" t="s">
        <v>266</v>
      </c>
      <c r="G11" s="7" t="s">
        <v>130</v>
      </c>
      <c r="H11" s="67" t="s">
        <v>267</v>
      </c>
    </row>
    <row r="12" customFormat="false" ht="14.25" hidden="false" customHeight="true" outlineLevel="0" collapsed="false">
      <c r="A12" s="33" t="s">
        <v>520</v>
      </c>
      <c r="B12" s="6" t="s">
        <v>135</v>
      </c>
      <c r="C12" s="9"/>
      <c r="D12" s="57" t="n">
        <v>3028.4</v>
      </c>
      <c r="E12" s="68" t="n">
        <f aca="false">E11+N(C12)-N(D12)</f>
        <v>97977.92</v>
      </c>
      <c r="F12" s="11" t="s">
        <v>266</v>
      </c>
      <c r="G12" s="7" t="s">
        <v>130</v>
      </c>
      <c r="H12" s="67" t="s">
        <v>267</v>
      </c>
    </row>
    <row r="13" customFormat="false" ht="14.25" hidden="false" customHeight="true" outlineLevel="0" collapsed="false">
      <c r="A13" s="33" t="s">
        <v>521</v>
      </c>
      <c r="B13" s="6" t="s">
        <v>522</v>
      </c>
      <c r="C13" s="9"/>
      <c r="D13" s="57" t="n">
        <v>6789</v>
      </c>
      <c r="E13" s="68" t="n">
        <f aca="false">E12+N(C13)-N(D13)</f>
        <v>91188.92</v>
      </c>
      <c r="F13" s="11" t="s">
        <v>481</v>
      </c>
      <c r="G13" s="7" t="s">
        <v>130</v>
      </c>
      <c r="H13" s="67" t="s">
        <v>267</v>
      </c>
    </row>
    <row r="14" customFormat="false" ht="14.25" hidden="false" customHeight="true" outlineLevel="0" collapsed="false">
      <c r="A14" s="29" t="n">
        <v>46300</v>
      </c>
      <c r="B14" s="6" t="s">
        <v>278</v>
      </c>
      <c r="C14" s="9"/>
      <c r="D14" s="57" t="n">
        <v>453</v>
      </c>
      <c r="E14" s="68" t="n">
        <f aca="false">E13+N(C14)-N(D14)</f>
        <v>90735.92</v>
      </c>
      <c r="F14" s="11" t="s">
        <v>266</v>
      </c>
      <c r="G14" s="7" t="s">
        <v>130</v>
      </c>
      <c r="H14" s="67" t="s">
        <v>267</v>
      </c>
    </row>
    <row r="15" customFormat="false" ht="14.25" hidden="false" customHeight="true" outlineLevel="0" collapsed="false">
      <c r="A15" s="29" t="n">
        <v>46300</v>
      </c>
      <c r="B15" s="6" t="s">
        <v>278</v>
      </c>
      <c r="C15" s="9"/>
      <c r="D15" s="57" t="n">
        <v>6469</v>
      </c>
      <c r="E15" s="68" t="n">
        <f aca="false">E14+N(C15)-N(D15)</f>
        <v>84266.92</v>
      </c>
      <c r="F15" s="11" t="s">
        <v>266</v>
      </c>
      <c r="G15" s="7" t="s">
        <v>130</v>
      </c>
      <c r="H15" s="67" t="s">
        <v>267</v>
      </c>
    </row>
    <row r="16" customFormat="false" ht="14.25" hidden="false" customHeight="true" outlineLevel="0" collapsed="false">
      <c r="A16" s="29" t="n">
        <v>46300</v>
      </c>
      <c r="B16" s="6" t="s">
        <v>402</v>
      </c>
      <c r="C16" s="9" t="n">
        <v>83515</v>
      </c>
      <c r="D16" s="57"/>
      <c r="E16" s="68" t="n">
        <f aca="false">E15+N(C16)-N(D16)</f>
        <v>167781.92</v>
      </c>
      <c r="F16" s="11" t="s">
        <v>523</v>
      </c>
      <c r="G16" s="7" t="s">
        <v>140</v>
      </c>
      <c r="H16" s="67"/>
    </row>
    <row r="17" customFormat="false" ht="14.25" hidden="false" customHeight="true" outlineLevel="0" collapsed="false">
      <c r="A17" s="29" t="n">
        <v>46300</v>
      </c>
      <c r="B17" s="6" t="s">
        <v>398</v>
      </c>
      <c r="C17" s="9" t="n">
        <v>25772</v>
      </c>
      <c r="D17" s="57"/>
      <c r="E17" s="68" t="n">
        <f aca="false">E16+N(C17)-N(D17)</f>
        <v>193553.92</v>
      </c>
      <c r="F17" s="11" t="s">
        <v>524</v>
      </c>
      <c r="G17" s="7" t="s">
        <v>140</v>
      </c>
      <c r="H17" s="67"/>
    </row>
    <row r="18" customFormat="false" ht="14.25" hidden="false" customHeight="true" outlineLevel="0" collapsed="false">
      <c r="A18" s="29" t="n">
        <v>46300</v>
      </c>
      <c r="B18" s="6" t="s">
        <v>525</v>
      </c>
      <c r="C18" s="9"/>
      <c r="D18" s="57" t="n">
        <v>69702.01</v>
      </c>
      <c r="E18" s="68" t="n">
        <f aca="false">E17+N(C18)-N(D18)</f>
        <v>123851.91</v>
      </c>
      <c r="F18" s="11" t="s">
        <v>526</v>
      </c>
      <c r="G18" s="7" t="s">
        <v>127</v>
      </c>
      <c r="H18" s="67" t="s">
        <v>309</v>
      </c>
    </row>
    <row r="19" customFormat="false" ht="14.25" hidden="false" customHeight="true" outlineLevel="0" collapsed="false">
      <c r="A19" s="29" t="n">
        <v>46300</v>
      </c>
      <c r="B19" s="6" t="s">
        <v>527</v>
      </c>
      <c r="C19" s="9"/>
      <c r="D19" s="57" t="n">
        <v>18920</v>
      </c>
      <c r="E19" s="68" t="n">
        <f aca="false">E18+N(C19)-N(D19)</f>
        <v>104931.91</v>
      </c>
      <c r="F19" s="11" t="s">
        <v>528</v>
      </c>
      <c r="G19" s="7" t="s">
        <v>130</v>
      </c>
      <c r="H19" s="67" t="s">
        <v>267</v>
      </c>
    </row>
    <row r="20" customFormat="false" ht="14.25" hidden="false" customHeight="true" outlineLevel="0" collapsed="false">
      <c r="A20" s="29" t="n">
        <v>46301</v>
      </c>
      <c r="B20" s="6" t="s">
        <v>529</v>
      </c>
      <c r="C20" s="9" t="n">
        <v>34618</v>
      </c>
      <c r="D20" s="57"/>
      <c r="E20" s="68" t="n">
        <f aca="false">E19+N(C20)-N(D20)</f>
        <v>139549.91</v>
      </c>
      <c r="F20" s="11" t="s">
        <v>530</v>
      </c>
      <c r="G20" s="7" t="s">
        <v>140</v>
      </c>
      <c r="H20" s="67"/>
    </row>
    <row r="21" customFormat="false" ht="14.25" hidden="false" customHeight="true" outlineLevel="0" collapsed="false">
      <c r="A21" s="29" t="n">
        <v>46301</v>
      </c>
      <c r="B21" s="6" t="s">
        <v>133</v>
      </c>
      <c r="C21" s="9"/>
      <c r="D21" s="57" t="n">
        <v>54.9</v>
      </c>
      <c r="E21" s="68" t="n">
        <f aca="false">E20+N(C21)-N(D21)</f>
        <v>139495.01</v>
      </c>
      <c r="F21" s="11" t="s">
        <v>266</v>
      </c>
      <c r="G21" s="7" t="s">
        <v>130</v>
      </c>
      <c r="H21" s="67" t="s">
        <v>267</v>
      </c>
    </row>
    <row r="22" customFormat="false" ht="14.25" hidden="false" customHeight="true" outlineLevel="0" collapsed="false">
      <c r="A22" s="29" t="n">
        <v>46301</v>
      </c>
      <c r="B22" s="6" t="s">
        <v>504</v>
      </c>
      <c r="C22" s="9" t="n">
        <v>80000</v>
      </c>
      <c r="D22" s="57"/>
      <c r="E22" s="68" t="n">
        <f aca="false">E21+N(C22)-N(D22)</f>
        <v>219495.01</v>
      </c>
      <c r="F22" s="11" t="s">
        <v>531</v>
      </c>
      <c r="G22" s="7" t="s">
        <v>140</v>
      </c>
      <c r="H22" s="67"/>
    </row>
    <row r="23" customFormat="false" ht="14.25" hidden="false" customHeight="true" outlineLevel="0" collapsed="false">
      <c r="A23" s="29" t="n">
        <v>46301</v>
      </c>
      <c r="B23" s="6" t="s">
        <v>396</v>
      </c>
      <c r="C23" s="9" t="n">
        <v>13541</v>
      </c>
      <c r="D23" s="57"/>
      <c r="E23" s="68" t="n">
        <f aca="false">E22+N(C23)-N(D23)</f>
        <v>233036.01</v>
      </c>
      <c r="F23" s="11" t="s">
        <v>532</v>
      </c>
      <c r="G23" s="7" t="s">
        <v>140</v>
      </c>
      <c r="H23" s="67"/>
    </row>
    <row r="24" customFormat="false" ht="14.25" hidden="false" customHeight="true" outlineLevel="0" collapsed="false">
      <c r="A24" s="29" t="n">
        <v>46301</v>
      </c>
      <c r="B24" s="6" t="s">
        <v>533</v>
      </c>
      <c r="C24" s="9"/>
      <c r="D24" s="57" t="n">
        <v>12685.71</v>
      </c>
      <c r="E24" s="68" t="n">
        <f aca="false">E23+N(C24)-N(D24)</f>
        <v>220350.3</v>
      </c>
      <c r="F24" s="11" t="s">
        <v>534</v>
      </c>
      <c r="G24" s="7" t="s">
        <v>127</v>
      </c>
      <c r="H24" s="67" t="s">
        <v>309</v>
      </c>
    </row>
    <row r="25" customFormat="false" ht="14.25" hidden="false" customHeight="true" outlineLevel="0" collapsed="false">
      <c r="A25" s="29" t="n">
        <v>46302</v>
      </c>
      <c r="B25" s="6" t="s">
        <v>535</v>
      </c>
      <c r="C25" s="9" t="n">
        <v>5063</v>
      </c>
      <c r="D25" s="57"/>
      <c r="E25" s="68" t="n">
        <f aca="false">E24+N(C25)-N(D25)</f>
        <v>225413.3</v>
      </c>
      <c r="F25" s="11" t="s">
        <v>472</v>
      </c>
      <c r="G25" s="7" t="s">
        <v>140</v>
      </c>
      <c r="H25" s="67"/>
    </row>
    <row r="26" customFormat="false" ht="14.25" hidden="false" customHeight="true" outlineLevel="0" collapsed="false">
      <c r="A26" s="29" t="n">
        <v>46302</v>
      </c>
      <c r="B26" s="6" t="s">
        <v>536</v>
      </c>
      <c r="C26" s="9"/>
      <c r="D26" s="57" t="n">
        <v>230000</v>
      </c>
      <c r="E26" s="68" t="n">
        <f aca="false">E25+N(C26)-N(D26)</f>
        <v>-4586.69999999995</v>
      </c>
      <c r="F26" s="11" t="s">
        <v>537</v>
      </c>
      <c r="G26" s="7" t="s">
        <v>127</v>
      </c>
      <c r="H26" s="67" t="s">
        <v>309</v>
      </c>
    </row>
    <row r="27" customFormat="false" ht="14.25" hidden="false" customHeight="true" outlineLevel="0" collapsed="false">
      <c r="A27" s="29" t="n">
        <v>46303</v>
      </c>
      <c r="B27" s="6" t="s">
        <v>138</v>
      </c>
      <c r="C27" s="9" t="n">
        <v>20000</v>
      </c>
      <c r="D27" s="57"/>
      <c r="E27" s="68" t="n">
        <f aca="false">E26+N(C27)-N(D27)</f>
        <v>15413.3</v>
      </c>
      <c r="F27" s="11" t="s">
        <v>538</v>
      </c>
      <c r="G27" s="7" t="s">
        <v>140</v>
      </c>
      <c r="H27" s="67"/>
    </row>
    <row r="28" customFormat="false" ht="14.25" hidden="false" customHeight="true" outlineLevel="0" collapsed="false">
      <c r="A28" s="29" t="n">
        <v>46303</v>
      </c>
      <c r="B28" s="6" t="s">
        <v>539</v>
      </c>
      <c r="C28" s="9" t="n">
        <v>77278</v>
      </c>
      <c r="D28" s="57"/>
      <c r="E28" s="68" t="n">
        <f aca="false">E27+N(C28)-N(D28)</f>
        <v>92691.3000000001</v>
      </c>
      <c r="F28" s="11" t="s">
        <v>540</v>
      </c>
      <c r="G28" s="7" t="s">
        <v>140</v>
      </c>
      <c r="H28" s="67"/>
    </row>
    <row r="29" customFormat="false" ht="14.25" hidden="false" customHeight="true" outlineLevel="0" collapsed="false">
      <c r="A29" s="29" t="n">
        <v>46303</v>
      </c>
      <c r="B29" s="6" t="s">
        <v>541</v>
      </c>
      <c r="C29" s="9"/>
      <c r="D29" s="57" t="n">
        <v>5310</v>
      </c>
      <c r="E29" s="68" t="n">
        <f aca="false">E28+N(C29)-N(D29)</f>
        <v>87381.3000000001</v>
      </c>
      <c r="F29" s="11" t="s">
        <v>542</v>
      </c>
      <c r="G29" s="7" t="s">
        <v>130</v>
      </c>
      <c r="H29" s="67" t="s">
        <v>267</v>
      </c>
    </row>
    <row r="30" customFormat="false" ht="14.25" hidden="false" customHeight="true" outlineLevel="0" collapsed="false">
      <c r="A30" s="29" t="n">
        <v>46304</v>
      </c>
      <c r="B30" s="6" t="s">
        <v>543</v>
      </c>
      <c r="C30" s="9" t="n">
        <v>16400</v>
      </c>
      <c r="D30" s="57"/>
      <c r="E30" s="68" t="n">
        <f aca="false">E29+N(C30)-N(D30)</f>
        <v>103781.3</v>
      </c>
      <c r="F30" s="11" t="s">
        <v>544</v>
      </c>
      <c r="G30" s="7" t="s">
        <v>140</v>
      </c>
      <c r="H30" s="67"/>
    </row>
    <row r="31" customFormat="false" ht="14.25" hidden="false" customHeight="true" outlineLevel="0" collapsed="false">
      <c r="A31" s="29" t="n">
        <v>46306</v>
      </c>
      <c r="B31" s="6" t="s">
        <v>303</v>
      </c>
      <c r="C31" s="9"/>
      <c r="D31" s="57" t="n">
        <v>6974.85</v>
      </c>
      <c r="E31" s="68" t="n">
        <f aca="false">E30+N(C31)-N(D31)</f>
        <v>96806.45</v>
      </c>
      <c r="F31" s="11" t="s">
        <v>545</v>
      </c>
      <c r="G31" s="7" t="s">
        <v>130</v>
      </c>
      <c r="H31" s="67" t="s">
        <v>267</v>
      </c>
    </row>
    <row r="32" customFormat="false" ht="14.25" hidden="false" customHeight="true" outlineLevel="0" collapsed="false">
      <c r="A32" s="29" t="n">
        <v>46306</v>
      </c>
      <c r="B32" s="6" t="s">
        <v>546</v>
      </c>
      <c r="C32" s="9" t="n">
        <v>13570</v>
      </c>
      <c r="D32" s="57"/>
      <c r="E32" s="68" t="n">
        <f aca="false">E31+N(C32)-N(D32)</f>
        <v>110376.45</v>
      </c>
      <c r="F32" s="11" t="s">
        <v>547</v>
      </c>
      <c r="G32" s="7" t="s">
        <v>140</v>
      </c>
      <c r="H32" s="67"/>
    </row>
    <row r="33" customFormat="false" ht="14.25" hidden="false" customHeight="true" outlineLevel="0" collapsed="false">
      <c r="A33" s="29" t="n">
        <v>46306</v>
      </c>
      <c r="B33" s="6" t="s">
        <v>548</v>
      </c>
      <c r="C33" s="9" t="n">
        <v>15340</v>
      </c>
      <c r="D33" s="57"/>
      <c r="E33" s="68" t="n">
        <f aca="false">E32+N(C33)-N(D33)</f>
        <v>125716.45</v>
      </c>
      <c r="F33" s="11" t="s">
        <v>549</v>
      </c>
      <c r="G33" s="7" t="s">
        <v>140</v>
      </c>
      <c r="H33" s="67"/>
    </row>
    <row r="34" customFormat="false" ht="14.25" hidden="false" customHeight="true" outlineLevel="0" collapsed="false">
      <c r="A34" s="29" t="n">
        <v>46306</v>
      </c>
      <c r="B34" s="6" t="s">
        <v>550</v>
      </c>
      <c r="C34" s="9" t="n">
        <v>29500</v>
      </c>
      <c r="D34" s="57"/>
      <c r="E34" s="68" t="n">
        <f aca="false">E33+N(C34)-N(D34)</f>
        <v>155216.45</v>
      </c>
      <c r="F34" s="11" t="s">
        <v>551</v>
      </c>
      <c r="G34" s="7" t="s">
        <v>140</v>
      </c>
      <c r="H34" s="67"/>
    </row>
    <row r="35" customFormat="false" ht="14.25" hidden="false" customHeight="true" outlineLevel="0" collapsed="false">
      <c r="A35" s="29" t="n">
        <v>46306</v>
      </c>
      <c r="B35" s="6" t="s">
        <v>552</v>
      </c>
      <c r="C35" s="9"/>
      <c r="D35" s="57" t="n">
        <v>20000</v>
      </c>
      <c r="E35" s="68" t="n">
        <f aca="false">E34+N(C35)-N(D35)</f>
        <v>135216.45</v>
      </c>
      <c r="F35" s="11" t="s">
        <v>553</v>
      </c>
      <c r="G35" s="7" t="s">
        <v>419</v>
      </c>
      <c r="H35" s="67" t="s">
        <v>309</v>
      </c>
    </row>
    <row r="36" customFormat="false" ht="14.25" hidden="false" customHeight="true" outlineLevel="0" collapsed="false">
      <c r="A36" s="29" t="n">
        <v>46306</v>
      </c>
      <c r="B36" s="6" t="s">
        <v>554</v>
      </c>
      <c r="C36" s="9"/>
      <c r="D36" s="57" t="n">
        <v>10814</v>
      </c>
      <c r="E36" s="68" t="n">
        <f aca="false">E35+N(C36)-N(D36)</f>
        <v>124402.45</v>
      </c>
      <c r="F36" s="11" t="s">
        <v>555</v>
      </c>
      <c r="G36" s="7" t="s">
        <v>130</v>
      </c>
      <c r="H36" s="67" t="s">
        <v>267</v>
      </c>
    </row>
    <row r="37" customFormat="false" ht="14.25" hidden="false" customHeight="true" outlineLevel="0" collapsed="false">
      <c r="A37" s="29" t="n">
        <v>46306</v>
      </c>
      <c r="B37" s="6" t="s">
        <v>442</v>
      </c>
      <c r="C37" s="9"/>
      <c r="D37" s="57" t="n">
        <v>3218</v>
      </c>
      <c r="E37" s="68" t="n">
        <f aca="false">E36+N(C37)-N(D37)</f>
        <v>121184.45</v>
      </c>
      <c r="F37" s="11" t="s">
        <v>556</v>
      </c>
      <c r="G37" s="7" t="s">
        <v>130</v>
      </c>
      <c r="H37" s="67" t="s">
        <v>267</v>
      </c>
    </row>
    <row r="38" customFormat="false" ht="14.25" hidden="false" customHeight="true" outlineLevel="0" collapsed="false">
      <c r="A38" s="29" t="n">
        <v>46306</v>
      </c>
      <c r="B38" s="6" t="s">
        <v>557</v>
      </c>
      <c r="C38" s="9"/>
      <c r="D38" s="57" t="n">
        <v>10483</v>
      </c>
      <c r="E38" s="68" t="n">
        <f aca="false">E37+N(C38)-N(D38)</f>
        <v>110701.45</v>
      </c>
      <c r="F38" s="11" t="s">
        <v>558</v>
      </c>
      <c r="G38" s="7" t="s">
        <v>130</v>
      </c>
      <c r="H38" s="67" t="s">
        <v>267</v>
      </c>
    </row>
    <row r="39" customFormat="false" ht="14.25" hidden="false" customHeight="true" outlineLevel="0" collapsed="false">
      <c r="A39" s="29" t="n">
        <v>46306</v>
      </c>
      <c r="B39" s="6" t="s">
        <v>559</v>
      </c>
      <c r="C39" s="9"/>
      <c r="D39" s="57" t="n">
        <v>20000</v>
      </c>
      <c r="E39" s="68" t="n">
        <f aca="false">E38+N(C39)-N(D39)</f>
        <v>90701.45</v>
      </c>
      <c r="F39" s="11" t="s">
        <v>560</v>
      </c>
      <c r="G39" s="7" t="s">
        <v>419</v>
      </c>
      <c r="H39" s="67" t="s">
        <v>309</v>
      </c>
    </row>
    <row r="40" customFormat="false" ht="14.25" hidden="false" customHeight="true" outlineLevel="0" collapsed="false">
      <c r="A40" s="29" t="n">
        <v>46307</v>
      </c>
      <c r="B40" s="6" t="s">
        <v>464</v>
      </c>
      <c r="C40" s="9"/>
      <c r="D40" s="57" t="n">
        <v>8850</v>
      </c>
      <c r="E40" s="68" t="n">
        <f aca="false">E39+N(C40)-N(D40)</f>
        <v>81851.45</v>
      </c>
      <c r="F40" s="11" t="s">
        <v>266</v>
      </c>
      <c r="G40" s="7" t="s">
        <v>130</v>
      </c>
      <c r="H40" s="67" t="s">
        <v>267</v>
      </c>
    </row>
    <row r="41" customFormat="false" ht="14.25" hidden="false" customHeight="true" outlineLevel="0" collapsed="false">
      <c r="A41" s="29" t="n">
        <v>46307</v>
      </c>
      <c r="B41" s="6" t="s">
        <v>465</v>
      </c>
      <c r="C41" s="9"/>
      <c r="D41" s="57" t="n">
        <v>12980</v>
      </c>
      <c r="E41" s="68" t="n">
        <f aca="false">E40+N(C41)-N(D41)</f>
        <v>68871.45</v>
      </c>
      <c r="F41" s="11" t="s">
        <v>266</v>
      </c>
      <c r="G41" s="7" t="s">
        <v>130</v>
      </c>
      <c r="H41" s="67" t="s">
        <v>267</v>
      </c>
    </row>
    <row r="42" customFormat="false" ht="15" hidden="false" customHeight="true" outlineLevel="0" collapsed="false">
      <c r="A42" s="29" t="n">
        <v>46307</v>
      </c>
      <c r="B42" s="6" t="s">
        <v>561</v>
      </c>
      <c r="C42" s="9" t="n">
        <v>15741</v>
      </c>
      <c r="D42" s="57"/>
      <c r="E42" s="68" t="n">
        <f aca="false">E41+N(C42)-N(D42)</f>
        <v>84612.45</v>
      </c>
      <c r="F42" s="11" t="s">
        <v>562</v>
      </c>
      <c r="G42" s="7" t="s">
        <v>140</v>
      </c>
      <c r="H42" s="67"/>
    </row>
    <row r="43" customFormat="false" ht="15" hidden="false" customHeight="true" outlineLevel="0" collapsed="false">
      <c r="A43" s="29" t="n">
        <v>46307</v>
      </c>
      <c r="B43" s="6" t="s">
        <v>396</v>
      </c>
      <c r="C43" s="9" t="n">
        <v>20000</v>
      </c>
      <c r="D43" s="57"/>
      <c r="E43" s="68" t="n">
        <f aca="false">E42+N(C43)-N(D43)</f>
        <v>104612.45</v>
      </c>
      <c r="F43" s="11" t="s">
        <v>563</v>
      </c>
      <c r="G43" s="7" t="s">
        <v>140</v>
      </c>
      <c r="H43" s="67"/>
    </row>
    <row r="44" customFormat="false" ht="15" hidden="false" customHeight="true" outlineLevel="0" collapsed="false">
      <c r="A44" s="29" t="n">
        <v>46308</v>
      </c>
      <c r="B44" s="6" t="s">
        <v>564</v>
      </c>
      <c r="C44" s="9" t="n">
        <v>156403</v>
      </c>
      <c r="D44" s="57"/>
      <c r="E44" s="68" t="n">
        <f aca="false">E43+N(C44)-N(D44)</f>
        <v>261015.45</v>
      </c>
      <c r="F44" s="11" t="s">
        <v>565</v>
      </c>
      <c r="G44" s="7" t="s">
        <v>140</v>
      </c>
      <c r="H44" s="67"/>
    </row>
    <row r="45" customFormat="false" ht="15" hidden="false" customHeight="true" outlineLevel="0" collapsed="false">
      <c r="A45" s="29" t="n">
        <v>46308</v>
      </c>
      <c r="B45" s="6" t="s">
        <v>566</v>
      </c>
      <c r="C45" s="9"/>
      <c r="D45" s="57" t="n">
        <v>16520</v>
      </c>
      <c r="E45" s="68" t="n">
        <f aca="false">E44+N(C45)-N(D45)</f>
        <v>244495.45</v>
      </c>
      <c r="F45" s="11" t="s">
        <v>567</v>
      </c>
      <c r="G45" s="7" t="s">
        <v>127</v>
      </c>
      <c r="H45" s="67" t="s">
        <v>267</v>
      </c>
    </row>
    <row r="46" customFormat="false" ht="15" hidden="false" customHeight="true" outlineLevel="0" collapsed="false">
      <c r="A46" s="29" t="n">
        <v>46308</v>
      </c>
      <c r="B46" s="6" t="s">
        <v>396</v>
      </c>
      <c r="C46" s="9" t="n">
        <v>6513</v>
      </c>
      <c r="D46" s="57"/>
      <c r="E46" s="68" t="n">
        <f aca="false">E45+N(C46)-N(D46)</f>
        <v>251008.45</v>
      </c>
      <c r="F46" s="11" t="s">
        <v>568</v>
      </c>
      <c r="G46" s="7" t="s">
        <v>140</v>
      </c>
      <c r="H46" s="67"/>
    </row>
    <row r="47" customFormat="false" ht="15" hidden="false" customHeight="true" outlineLevel="0" collapsed="false">
      <c r="A47" s="29" t="n">
        <v>46309</v>
      </c>
      <c r="B47" s="6" t="s">
        <v>454</v>
      </c>
      <c r="C47" s="9"/>
      <c r="D47" s="57" t="n">
        <v>45605.38</v>
      </c>
      <c r="E47" s="68" t="n">
        <f aca="false">E46+N(C47)-N(D47)</f>
        <v>205403.07</v>
      </c>
      <c r="F47" s="11" t="s">
        <v>320</v>
      </c>
      <c r="G47" s="7" t="s">
        <v>127</v>
      </c>
      <c r="H47" s="67"/>
    </row>
    <row r="48" customFormat="false" ht="15" hidden="false" customHeight="true" outlineLevel="0" collapsed="false">
      <c r="A48" s="29" t="n">
        <v>46309</v>
      </c>
      <c r="B48" s="6" t="s">
        <v>191</v>
      </c>
      <c r="C48" s="9" t="n">
        <v>45602.49</v>
      </c>
      <c r="D48" s="57"/>
      <c r="E48" s="68" t="n">
        <f aca="false">E47+N(C48)-N(D48)</f>
        <v>251005.56</v>
      </c>
      <c r="F48" s="11" t="s">
        <v>569</v>
      </c>
      <c r="G48" s="7" t="s">
        <v>140</v>
      </c>
      <c r="H48" s="67"/>
    </row>
    <row r="49" customFormat="false" ht="15" hidden="false" customHeight="true" outlineLevel="0" collapsed="false">
      <c r="A49" s="29" t="n">
        <v>46309</v>
      </c>
      <c r="B49" s="6" t="s">
        <v>189</v>
      </c>
      <c r="C49" s="9" t="n">
        <v>2.89</v>
      </c>
      <c r="D49" s="57"/>
      <c r="E49" s="68" t="n">
        <f aca="false">E48+N(C49)-N(D49)</f>
        <v>251008.45</v>
      </c>
      <c r="F49" s="11"/>
      <c r="G49" s="7" t="s">
        <v>140</v>
      </c>
      <c r="H49" s="67"/>
    </row>
    <row r="50" customFormat="false" ht="15" hidden="false" customHeight="true" outlineLevel="0" collapsed="false">
      <c r="A50" s="29" t="n">
        <v>46309</v>
      </c>
      <c r="B50" s="6" t="s">
        <v>570</v>
      </c>
      <c r="C50" s="9"/>
      <c r="D50" s="57" t="n">
        <v>30647</v>
      </c>
      <c r="E50" s="68" t="n">
        <f aca="false">E49+N(C50)-N(D50)</f>
        <v>220361.45</v>
      </c>
      <c r="F50" s="11" t="s">
        <v>571</v>
      </c>
      <c r="G50" s="7" t="s">
        <v>127</v>
      </c>
      <c r="H50" s="67"/>
    </row>
    <row r="51" customFormat="false" ht="15" hidden="false" customHeight="true" outlineLevel="0" collapsed="false">
      <c r="A51" s="29" t="n">
        <v>46309</v>
      </c>
      <c r="B51" s="6" t="s">
        <v>478</v>
      </c>
      <c r="C51" s="9"/>
      <c r="D51" s="57" t="n">
        <v>19770</v>
      </c>
      <c r="E51" s="68" t="n">
        <f aca="false">E50+N(C51)-N(D51)</f>
        <v>200591.45</v>
      </c>
      <c r="F51" s="11" t="s">
        <v>572</v>
      </c>
      <c r="G51" s="7" t="s">
        <v>130</v>
      </c>
      <c r="H51" s="67" t="s">
        <v>267</v>
      </c>
    </row>
    <row r="52" customFormat="false" ht="15" hidden="false" customHeight="true" outlineLevel="0" collapsed="false">
      <c r="A52" s="29" t="n">
        <v>46309</v>
      </c>
      <c r="B52" s="6" t="s">
        <v>573</v>
      </c>
      <c r="C52" s="9"/>
      <c r="D52" s="57" t="n">
        <v>3678</v>
      </c>
      <c r="E52" s="68" t="n">
        <f aca="false">E51+N(C52)-N(D52)</f>
        <v>196913.45</v>
      </c>
      <c r="F52" s="11" t="s">
        <v>574</v>
      </c>
      <c r="G52" s="7" t="s">
        <v>127</v>
      </c>
      <c r="H52" s="67" t="s">
        <v>267</v>
      </c>
    </row>
    <row r="53" customFormat="false" ht="15" hidden="false" customHeight="true" outlineLevel="0" collapsed="false">
      <c r="A53" s="29" t="n">
        <v>46309</v>
      </c>
      <c r="B53" s="6" t="s">
        <v>207</v>
      </c>
      <c r="C53" s="9"/>
      <c r="D53" s="57" t="n">
        <v>4700</v>
      </c>
      <c r="E53" s="68" t="n">
        <f aca="false">E52+N(C53)-N(D53)</f>
        <v>192213.45</v>
      </c>
      <c r="F53" s="11" t="s">
        <v>266</v>
      </c>
      <c r="G53" s="7" t="s">
        <v>130</v>
      </c>
      <c r="H53" s="67" t="s">
        <v>267</v>
      </c>
    </row>
    <row r="54" customFormat="false" ht="15" hidden="false" customHeight="true" outlineLevel="0" collapsed="false">
      <c r="A54" s="29" t="n">
        <v>46309</v>
      </c>
      <c r="B54" s="6" t="s">
        <v>200</v>
      </c>
      <c r="C54" s="9"/>
      <c r="D54" s="57" t="n">
        <v>4000</v>
      </c>
      <c r="E54" s="68" t="n">
        <f aca="false">E53+N(C54)-N(D54)</f>
        <v>188213.45</v>
      </c>
      <c r="F54" s="11" t="s">
        <v>266</v>
      </c>
      <c r="G54" s="7" t="s">
        <v>130</v>
      </c>
      <c r="H54" s="67" t="s">
        <v>267</v>
      </c>
    </row>
    <row r="55" customFormat="false" ht="15" hidden="false" customHeight="true" outlineLevel="0" collapsed="false">
      <c r="A55" s="29" t="n">
        <v>46309</v>
      </c>
      <c r="B55" s="6" t="s">
        <v>463</v>
      </c>
      <c r="C55" s="9"/>
      <c r="D55" s="57" t="n">
        <v>9600</v>
      </c>
      <c r="E55" s="68" t="n">
        <f aca="false">E54+N(C55)-N(D55)</f>
        <v>178613.45</v>
      </c>
      <c r="F55" s="11" t="s">
        <v>266</v>
      </c>
      <c r="G55" s="7" t="s">
        <v>130</v>
      </c>
      <c r="H55" s="67" t="s">
        <v>267</v>
      </c>
    </row>
    <row r="56" customFormat="false" ht="15" hidden="false" customHeight="true" outlineLevel="0" collapsed="false">
      <c r="A56" s="29" t="n">
        <v>46309</v>
      </c>
      <c r="B56" s="6" t="s">
        <v>196</v>
      </c>
      <c r="C56" s="9"/>
      <c r="D56" s="57" t="n">
        <v>7000</v>
      </c>
      <c r="E56" s="68" t="n">
        <f aca="false">E55+N(C56)-N(D56)</f>
        <v>171613.45</v>
      </c>
      <c r="F56" s="11" t="s">
        <v>266</v>
      </c>
      <c r="G56" s="7" t="s">
        <v>130</v>
      </c>
      <c r="H56" s="67" t="s">
        <v>267</v>
      </c>
    </row>
    <row r="57" customFormat="false" ht="15" hidden="false" customHeight="true" outlineLevel="0" collapsed="false">
      <c r="A57" s="29" t="n">
        <v>46309</v>
      </c>
      <c r="B57" s="6" t="s">
        <v>204</v>
      </c>
      <c r="C57" s="9"/>
      <c r="D57" s="57" t="n">
        <v>3000</v>
      </c>
      <c r="E57" s="68" t="n">
        <f aca="false">E56+N(C57)-N(D57)</f>
        <v>168613.45</v>
      </c>
      <c r="F57" s="11" t="s">
        <v>266</v>
      </c>
      <c r="G57" s="7" t="s">
        <v>130</v>
      </c>
      <c r="H57" s="67" t="s">
        <v>267</v>
      </c>
    </row>
    <row r="58" customFormat="false" ht="15" hidden="false" customHeight="true" outlineLevel="0" collapsed="false">
      <c r="A58" s="29" t="n">
        <v>46309</v>
      </c>
      <c r="B58" s="6" t="s">
        <v>575</v>
      </c>
      <c r="C58" s="9"/>
      <c r="D58" s="57" t="n">
        <v>2418</v>
      </c>
      <c r="E58" s="68" t="n">
        <f aca="false">E57+N(C58)-N(D58)</f>
        <v>166195.45</v>
      </c>
      <c r="F58" s="11" t="s">
        <v>576</v>
      </c>
      <c r="G58" s="7" t="s">
        <v>127</v>
      </c>
      <c r="H58" s="67" t="s">
        <v>267</v>
      </c>
    </row>
    <row r="59" customFormat="false" ht="15" hidden="false" customHeight="true" outlineLevel="0" collapsed="false">
      <c r="A59" s="29" t="n">
        <v>46309</v>
      </c>
      <c r="B59" s="6" t="s">
        <v>577</v>
      </c>
      <c r="C59" s="9"/>
      <c r="D59" s="57" t="n">
        <v>400</v>
      </c>
      <c r="E59" s="68" t="n">
        <f aca="false">E58+N(C59)-N(D59)</f>
        <v>165795.45</v>
      </c>
      <c r="F59" s="11" t="s">
        <v>578</v>
      </c>
      <c r="G59" s="7" t="s">
        <v>127</v>
      </c>
      <c r="H59" s="67"/>
    </row>
    <row r="60" customFormat="false" ht="15" hidden="false" customHeight="true" outlineLevel="0" collapsed="false">
      <c r="A60" s="29" t="n">
        <v>46310</v>
      </c>
      <c r="B60" s="6" t="s">
        <v>210</v>
      </c>
      <c r="C60" s="9"/>
      <c r="D60" s="57" t="n">
        <v>5712.18</v>
      </c>
      <c r="E60" s="68" t="n">
        <f aca="false">E59+N(C60)-N(D60)</f>
        <v>160083.27</v>
      </c>
      <c r="F60" s="11" t="s">
        <v>579</v>
      </c>
      <c r="G60" s="7" t="s">
        <v>130</v>
      </c>
      <c r="H60" s="67" t="s">
        <v>267</v>
      </c>
    </row>
    <row r="61" customFormat="false" ht="15" hidden="false" customHeight="true" outlineLevel="0" collapsed="false">
      <c r="A61" s="29" t="n">
        <v>46310</v>
      </c>
      <c r="B61" s="6" t="s">
        <v>580</v>
      </c>
      <c r="C61" s="9"/>
      <c r="D61" s="57" t="n">
        <v>171</v>
      </c>
      <c r="E61" s="68" t="n">
        <f aca="false">E60+N(C61)-N(D61)</f>
        <v>159912.27</v>
      </c>
      <c r="F61" s="11" t="s">
        <v>581</v>
      </c>
      <c r="G61" s="7" t="s">
        <v>130</v>
      </c>
      <c r="H61" s="67" t="s">
        <v>267</v>
      </c>
    </row>
    <row r="62" customFormat="false" ht="14.25" hidden="false" customHeight="true" outlineLevel="0" collapsed="false">
      <c r="A62" s="1" t="s">
        <v>582</v>
      </c>
      <c r="C62" s="91"/>
      <c r="D62" s="91"/>
      <c r="E62" s="92" t="n">
        <f aca="false">E61</f>
        <v>159912.27</v>
      </c>
    </row>
    <row r="63" customFormat="false" ht="30" hidden="false" customHeight="true" outlineLevel="0" collapsed="false">
      <c r="A63" s="93" t="s">
        <v>583</v>
      </c>
      <c r="B63" s="93"/>
      <c r="C63" s="93"/>
      <c r="D63" s="93"/>
      <c r="E63" s="93"/>
      <c r="F63" s="93"/>
      <c r="G63" s="93"/>
      <c r="H63" s="93"/>
    </row>
    <row r="64" customFormat="false" ht="14.25" hidden="false" customHeight="true" outlineLevel="0" collapsed="false"/>
    <row r="65" customFormat="false" ht="14.25" hidden="false" customHeight="true" outlineLevel="0" collapsed="false">
      <c r="A65" s="94" t="s">
        <v>387</v>
      </c>
      <c r="B65" s="94"/>
      <c r="C65" s="94"/>
      <c r="D65" s="94"/>
      <c r="E65" s="94"/>
      <c r="F65" s="94"/>
      <c r="G65" s="94"/>
      <c r="H65" s="94"/>
    </row>
    <row r="66" customFormat="false" ht="14.25" hidden="false" customHeight="true" outlineLevel="0" collapsed="false">
      <c r="A66" s="95" t="s">
        <v>584</v>
      </c>
      <c r="B66" s="95"/>
      <c r="C66" s="96"/>
      <c r="D66" s="90" t="n">
        <f aca="false">SUMIF(H5:H61,"כן",D5:D61)</f>
        <v>187565.67</v>
      </c>
      <c r="E66" s="91"/>
    </row>
    <row r="67" customFormat="false" ht="14.25" hidden="false" customHeight="true" outlineLevel="0" collapsed="false">
      <c r="A67" s="95" t="s">
        <v>512</v>
      </c>
      <c r="B67" s="95"/>
      <c r="C67" s="96"/>
      <c r="D67" s="90" t="n">
        <f aca="false">SUMIF(H5:H61,"לא",D5:D61)</f>
        <v>352387.72</v>
      </c>
      <c r="E67" s="91"/>
    </row>
    <row r="68" customFormat="false" ht="14.25" hidden="false" customHeight="true" outlineLevel="0" collapsed="false">
      <c r="A68" s="95" t="s">
        <v>585</v>
      </c>
      <c r="B68" s="95"/>
      <c r="C68" s="96"/>
      <c r="D68" s="90" t="n">
        <f aca="false">SUM(C5:C61)</f>
        <v>658859.38</v>
      </c>
      <c r="E68" s="91"/>
    </row>
    <row r="69" customFormat="false" ht="14.25" hidden="false" customHeight="true" outlineLevel="0" collapsed="false"/>
    <row r="70" customFormat="false" ht="14.25" hidden="false" customHeight="true" outlineLevel="0" collapsed="false">
      <c r="A70" s="94" t="s">
        <v>586</v>
      </c>
      <c r="B70" s="94"/>
      <c r="C70" s="94"/>
      <c r="D70" s="94"/>
      <c r="E70" s="94"/>
      <c r="F70" s="94"/>
      <c r="G70" s="94"/>
      <c r="H70" s="94"/>
    </row>
    <row r="71" customFormat="false" ht="15" hidden="false" customHeight="true" outlineLevel="0" collapsed="false">
      <c r="A71" s="5" t="s">
        <v>5</v>
      </c>
      <c r="B71" s="5" t="s">
        <v>119</v>
      </c>
      <c r="C71" s="38" t="s">
        <v>120</v>
      </c>
      <c r="D71" s="38" t="s">
        <v>121</v>
      </c>
      <c r="E71" s="97" t="s">
        <v>8</v>
      </c>
      <c r="F71" s="5" t="s">
        <v>122</v>
      </c>
      <c r="G71" s="5" t="s">
        <v>123</v>
      </c>
      <c r="H71" s="61" t="s">
        <v>262</v>
      </c>
    </row>
    <row r="72" customFormat="false" ht="14.25" hidden="false" customHeight="true" outlineLevel="0" collapsed="false">
      <c r="A72" s="98" t="n">
        <v>46315</v>
      </c>
      <c r="B72" s="99" t="s">
        <v>228</v>
      </c>
      <c r="C72" s="100"/>
      <c r="D72" s="101" t="n">
        <v>4044.58</v>
      </c>
      <c r="E72" s="102" t="n">
        <f aca="false">E62+N(C72)-N(D72)</f>
        <v>155867.69</v>
      </c>
      <c r="F72" s="103" t="s">
        <v>587</v>
      </c>
      <c r="G72" s="104" t="s">
        <v>130</v>
      </c>
      <c r="H72" s="105" t="s">
        <v>267</v>
      </c>
    </row>
    <row r="73" customFormat="false" ht="14.25" hidden="false" customHeight="true" outlineLevel="0" collapsed="false">
      <c r="A73" s="98" t="n">
        <v>46315</v>
      </c>
      <c r="B73" s="99" t="s">
        <v>588</v>
      </c>
      <c r="C73" s="100"/>
      <c r="D73" s="101" t="n">
        <v>1825</v>
      </c>
      <c r="E73" s="102" t="n">
        <f aca="false">E72+N(C73)-N(D73)</f>
        <v>154042.69</v>
      </c>
      <c r="F73" s="103" t="s">
        <v>589</v>
      </c>
      <c r="G73" s="104" t="s">
        <v>130</v>
      </c>
      <c r="H73" s="105" t="s">
        <v>267</v>
      </c>
    </row>
    <row r="74" customFormat="false" ht="14.25" hidden="false" customHeight="true" outlineLevel="0" collapsed="false">
      <c r="A74" s="98" t="n">
        <v>46315</v>
      </c>
      <c r="B74" s="99" t="s">
        <v>590</v>
      </c>
      <c r="C74" s="100"/>
      <c r="D74" s="101" t="n">
        <v>35432.57</v>
      </c>
      <c r="E74" s="102" t="n">
        <f aca="false">E73+N(C74)-N(D74)</f>
        <v>118610.12</v>
      </c>
      <c r="F74" s="103" t="s">
        <v>591</v>
      </c>
      <c r="G74" s="104" t="s">
        <v>127</v>
      </c>
      <c r="H74" s="105" t="s">
        <v>309</v>
      </c>
    </row>
    <row r="75" customFormat="false" ht="14.25" hidden="false" customHeight="true" outlineLevel="0" collapsed="false">
      <c r="A75" s="98" t="n">
        <v>46320</v>
      </c>
      <c r="B75" s="99" t="s">
        <v>592</v>
      </c>
      <c r="C75" s="100"/>
      <c r="D75" s="101" t="n">
        <v>18262.9</v>
      </c>
      <c r="E75" s="102" t="n">
        <f aca="false">E74+N(C75)-N(D75)</f>
        <v>100347.22</v>
      </c>
      <c r="F75" s="103" t="s">
        <v>593</v>
      </c>
      <c r="G75" s="104" t="s">
        <v>127</v>
      </c>
      <c r="H75" s="105" t="s">
        <v>309</v>
      </c>
    </row>
    <row r="76" customFormat="false" ht="14.25" hidden="false" customHeight="true" outlineLevel="0" collapsed="false">
      <c r="A76" s="98" t="n">
        <v>46320</v>
      </c>
      <c r="B76" s="99" t="s">
        <v>594</v>
      </c>
      <c r="C76" s="100"/>
      <c r="D76" s="101" t="n">
        <v>44571</v>
      </c>
      <c r="E76" s="102" t="n">
        <f aca="false">E75+N(C76)-N(D76)</f>
        <v>55776.2200000001</v>
      </c>
      <c r="F76" s="103" t="s">
        <v>595</v>
      </c>
      <c r="G76" s="104" t="s">
        <v>127</v>
      </c>
      <c r="H76" s="105" t="s">
        <v>309</v>
      </c>
    </row>
    <row r="77" customFormat="false" ht="14.25" hidden="false" customHeight="true" outlineLevel="0" collapsed="false">
      <c r="A77" s="98" t="n">
        <v>46320</v>
      </c>
      <c r="B77" s="99" t="s">
        <v>596</v>
      </c>
      <c r="C77" s="100"/>
      <c r="D77" s="101" t="n">
        <v>125000</v>
      </c>
      <c r="E77" s="102" t="n">
        <f aca="false">E76+N(C77)-N(D77)</f>
        <v>-69223.7799999999</v>
      </c>
      <c r="F77" s="103" t="s">
        <v>597</v>
      </c>
      <c r="G77" s="104" t="s">
        <v>127</v>
      </c>
      <c r="H77" s="105" t="s">
        <v>309</v>
      </c>
    </row>
    <row r="78" customFormat="false" ht="14.25" hidden="false" customHeight="true" outlineLevel="0" collapsed="false">
      <c r="A78" s="1" t="s">
        <v>598</v>
      </c>
      <c r="C78" s="91"/>
      <c r="D78" s="91"/>
      <c r="E78" s="92" t="n">
        <f aca="false">E77</f>
        <v>-69223.7799999999</v>
      </c>
    </row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</sheetData>
  <mergeCells count="5">
    <mergeCell ref="A1:G1"/>
    <mergeCell ref="A2:D2"/>
    <mergeCell ref="A63:H63"/>
    <mergeCell ref="A65:H65"/>
    <mergeCell ref="A70:H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24" activeCellId="0" sqref="A24"/>
    </sheetView>
  </sheetViews>
  <sheetFormatPr defaultColWidth="12.625" defaultRowHeight="15" zeroHeight="false" outlineLevelRow="0" outlineLevelCol="0"/>
  <cols>
    <col collapsed="false" customWidth="true" hidden="false" outlineLevel="0" max="1" min="1" style="1" width="41.38"/>
    <col collapsed="false" customWidth="true" hidden="false" outlineLevel="0" max="2" min="2" style="1" width="43.25"/>
    <col collapsed="false" customWidth="true" hidden="false" outlineLevel="0" max="3" min="3" style="1" width="20.26"/>
    <col collapsed="false" customWidth="true" hidden="false" outlineLevel="0" max="4" min="4" style="1" width="23.25"/>
    <col collapsed="false" customWidth="true" hidden="false" outlineLevel="0" max="5" min="5" style="1" width="46.75"/>
    <col collapsed="false" customWidth="true" hidden="false" outlineLevel="0" max="26" min="6" style="1" width="8.62"/>
  </cols>
  <sheetData>
    <row r="1" customFormat="false" ht="24" hidden="false" customHeight="true" outlineLevel="0" collapsed="false">
      <c r="A1" s="2" t="s">
        <v>599</v>
      </c>
      <c r="B1" s="2"/>
      <c r="C1" s="2"/>
      <c r="D1" s="2"/>
      <c r="E1" s="2"/>
    </row>
    <row r="2" customFormat="false" ht="14.25" hidden="false" customHeight="true" outlineLevel="0" collapsed="false"/>
    <row r="3" customFormat="false" ht="14.25" hidden="false" customHeight="true" outlineLevel="0" collapsed="false">
      <c r="A3" s="43" t="s">
        <v>600</v>
      </c>
      <c r="B3" s="43"/>
      <c r="C3" s="43"/>
      <c r="D3" s="43"/>
      <c r="E3" s="43"/>
    </row>
    <row r="4" customFormat="false" ht="14.25" hidden="false" customHeight="true" outlineLevel="0" collapsed="false">
      <c r="A4" s="5" t="s">
        <v>601</v>
      </c>
      <c r="B4" s="5" t="s">
        <v>602</v>
      </c>
      <c r="C4" s="5" t="s">
        <v>4</v>
      </c>
      <c r="D4" s="5" t="s">
        <v>603</v>
      </c>
      <c r="E4" s="5" t="s">
        <v>122</v>
      </c>
    </row>
    <row r="5" customFormat="false" ht="14.25" hidden="false" customHeight="true" outlineLevel="0" collapsed="false">
      <c r="A5" s="106" t="s">
        <v>604</v>
      </c>
      <c r="B5" s="107" t="s">
        <v>30</v>
      </c>
      <c r="C5" s="107" t="s">
        <v>67</v>
      </c>
      <c r="D5" s="108" t="n">
        <v>125000</v>
      </c>
      <c r="E5" s="109" t="s">
        <v>605</v>
      </c>
    </row>
    <row r="6" customFormat="false" ht="14.25" hidden="false" customHeight="true" outlineLevel="0" collapsed="false">
      <c r="A6" s="106" t="s">
        <v>604</v>
      </c>
      <c r="B6" s="107" t="s">
        <v>38</v>
      </c>
      <c r="C6" s="107" t="s">
        <v>73</v>
      </c>
      <c r="D6" s="108" t="n">
        <v>208316.3</v>
      </c>
      <c r="E6" s="109" t="s">
        <v>606</v>
      </c>
    </row>
    <row r="7" customFormat="false" ht="14.25" hidden="false" customHeight="true" outlineLevel="0" collapsed="false">
      <c r="A7" s="106" t="s">
        <v>607</v>
      </c>
      <c r="B7" s="107" t="s">
        <v>42</v>
      </c>
      <c r="C7" s="107" t="s">
        <v>43</v>
      </c>
      <c r="D7" s="108" t="n">
        <v>18262.9</v>
      </c>
      <c r="E7" s="109" t="s">
        <v>608</v>
      </c>
    </row>
    <row r="8" customFormat="false" ht="14.25" hidden="false" customHeight="true" outlineLevel="0" collapsed="false">
      <c r="A8" s="106" t="s">
        <v>609</v>
      </c>
      <c r="B8" s="107" t="s">
        <v>42</v>
      </c>
      <c r="C8" s="107" t="n">
        <v>230747</v>
      </c>
      <c r="D8" s="108" t="n">
        <v>44571</v>
      </c>
      <c r="E8" s="109" t="s">
        <v>610</v>
      </c>
    </row>
    <row r="9" customFormat="false" ht="14.25" hidden="false" customHeight="true" outlineLevel="0" collapsed="false">
      <c r="A9" s="106" t="s">
        <v>235</v>
      </c>
      <c r="B9" s="107" t="s">
        <v>42</v>
      </c>
      <c r="C9" s="107" t="s">
        <v>61</v>
      </c>
      <c r="D9" s="108" t="n">
        <v>107834.3</v>
      </c>
      <c r="E9" s="109" t="s">
        <v>611</v>
      </c>
    </row>
    <row r="10" customFormat="false" ht="14.25" hidden="false" customHeight="true" outlineLevel="0" collapsed="false">
      <c r="A10" s="106" t="s">
        <v>612</v>
      </c>
      <c r="B10" s="107" t="s">
        <v>42</v>
      </c>
      <c r="C10" s="107" t="s">
        <v>105</v>
      </c>
      <c r="D10" s="108" t="n">
        <v>35432.57</v>
      </c>
      <c r="E10" s="109" t="s">
        <v>106</v>
      </c>
    </row>
    <row r="11" customFormat="false" ht="14.25" hidden="false" customHeight="true" outlineLevel="0" collapsed="false">
      <c r="A11" s="110" t="s">
        <v>613</v>
      </c>
      <c r="B11" s="110"/>
      <c r="C11" s="110"/>
      <c r="D11" s="21" t="n">
        <f aca="false">SUM(D6:D10)</f>
        <v>414417.07</v>
      </c>
      <c r="E11" s="111"/>
    </row>
    <row r="12" customFormat="false" ht="14.25" hidden="false" customHeight="true" outlineLevel="0" collapsed="false">
      <c r="A12" s="43" t="s">
        <v>614</v>
      </c>
      <c r="B12" s="43"/>
      <c r="C12" s="43"/>
      <c r="D12" s="43"/>
      <c r="E12" s="43"/>
    </row>
    <row r="13" customFormat="false" ht="14.25" hidden="false" customHeight="true" outlineLevel="0" collapsed="false">
      <c r="A13" s="5" t="s">
        <v>119</v>
      </c>
      <c r="B13" s="5"/>
      <c r="C13" s="5"/>
      <c r="D13" s="5" t="s">
        <v>603</v>
      </c>
      <c r="E13" s="5"/>
    </row>
    <row r="14" customFormat="false" ht="14.25" hidden="false" customHeight="true" outlineLevel="0" collapsed="false">
      <c r="A14" s="106" t="s">
        <v>615</v>
      </c>
      <c r="B14" s="107"/>
      <c r="C14" s="107"/>
      <c r="D14" s="108" t="n">
        <v>23427</v>
      </c>
      <c r="E14" s="109"/>
    </row>
    <row r="15" customFormat="false" ht="14.25" hidden="false" customHeight="true" outlineLevel="0" collapsed="false"/>
    <row r="16" customFormat="false" ht="14.25" hidden="false" customHeight="true" outlineLevel="0" collapsed="false">
      <c r="A16" s="112"/>
    </row>
    <row r="17" customFormat="false" ht="14.25" hidden="false" customHeight="true" outlineLevel="0" collapsed="false">
      <c r="A17" s="5" t="s">
        <v>5</v>
      </c>
      <c r="B17" s="5" t="s">
        <v>119</v>
      </c>
      <c r="C17" s="5" t="s">
        <v>603</v>
      </c>
      <c r="D17" s="5" t="s">
        <v>616</v>
      </c>
      <c r="E17" s="5"/>
    </row>
    <row r="18" customFormat="false" ht="14.25" hidden="false" customHeight="true" outlineLevel="0" collapsed="false">
      <c r="A18" s="107" t="s">
        <v>38</v>
      </c>
      <c r="B18" s="106" t="s">
        <v>617</v>
      </c>
      <c r="C18" s="108" t="n">
        <v>208316.3</v>
      </c>
      <c r="D18" s="113" t="s">
        <v>618</v>
      </c>
      <c r="E18" s="114"/>
    </row>
    <row r="19" customFormat="false" ht="14.25" hidden="false" customHeight="true" outlineLevel="0" collapsed="false">
      <c r="A19" s="107" t="s">
        <v>619</v>
      </c>
      <c r="B19" s="106" t="s">
        <v>620</v>
      </c>
      <c r="C19" s="108" t="n">
        <v>0</v>
      </c>
      <c r="D19" s="113" t="s">
        <v>621</v>
      </c>
      <c r="E19" s="114"/>
    </row>
    <row r="20" customFormat="false" ht="14.25" hidden="false" customHeight="true" outlineLevel="0" collapsed="false">
      <c r="A20" s="107" t="s">
        <v>42</v>
      </c>
      <c r="B20" s="106" t="s">
        <v>622</v>
      </c>
      <c r="C20" s="108" t="n">
        <v>18262.9</v>
      </c>
      <c r="D20" s="113" t="s">
        <v>623</v>
      </c>
      <c r="E20" s="114"/>
    </row>
    <row r="21" customFormat="false" ht="14.25" hidden="false" customHeight="true" outlineLevel="0" collapsed="false">
      <c r="A21" s="107" t="s">
        <v>42</v>
      </c>
      <c r="B21" s="106" t="s">
        <v>624</v>
      </c>
      <c r="C21" s="108" t="n">
        <v>44571</v>
      </c>
      <c r="D21" s="113" t="s">
        <v>623</v>
      </c>
      <c r="E21" s="114"/>
    </row>
    <row r="22" customFormat="false" ht="14.25" hidden="false" customHeight="true" outlineLevel="0" collapsed="false">
      <c r="A22" s="107" t="s">
        <v>619</v>
      </c>
      <c r="B22" s="106" t="s">
        <v>625</v>
      </c>
      <c r="C22" s="108" t="n">
        <v>0</v>
      </c>
      <c r="D22" s="113" t="s">
        <v>626</v>
      </c>
      <c r="E22" s="114"/>
    </row>
    <row r="23" customFormat="false" ht="14.25" hidden="false" customHeight="true" outlineLevel="0" collapsed="false">
      <c r="A23" s="107" t="s">
        <v>42</v>
      </c>
      <c r="B23" s="106" t="s">
        <v>627</v>
      </c>
      <c r="C23" s="108" t="n">
        <v>107834.3</v>
      </c>
      <c r="D23" s="113" t="s">
        <v>628</v>
      </c>
      <c r="E23" s="114"/>
    </row>
    <row r="24" customFormat="false" ht="14.25" hidden="false" customHeight="true" outlineLevel="0" collapsed="false">
      <c r="A24" s="107" t="s">
        <v>42</v>
      </c>
      <c r="B24" s="106" t="s">
        <v>629</v>
      </c>
      <c r="C24" s="108" t="n">
        <v>35432.57</v>
      </c>
      <c r="D24" s="113" t="s">
        <v>630</v>
      </c>
      <c r="E24" s="114"/>
    </row>
    <row r="25" customFormat="false" ht="14.25" hidden="false" customHeight="true" outlineLevel="0" collapsed="false">
      <c r="A25" s="107" t="s">
        <v>631</v>
      </c>
      <c r="B25" s="106" t="s">
        <v>632</v>
      </c>
      <c r="C25" s="108" t="n">
        <v>12676.86</v>
      </c>
      <c r="D25" s="113" t="s">
        <v>633</v>
      </c>
      <c r="E25" s="114"/>
    </row>
    <row r="26" customFormat="false" ht="14.25" hidden="false" customHeight="true" outlineLevel="0" collapsed="false">
      <c r="A26" s="110" t="s">
        <v>634</v>
      </c>
      <c r="B26" s="110"/>
      <c r="C26" s="21" t="n">
        <f aca="false">SUM(C18:C25)</f>
        <v>427093.93</v>
      </c>
      <c r="D26" s="111"/>
      <c r="E26" s="111"/>
    </row>
    <row r="27" customFormat="false" ht="14.25" hidden="false" customHeight="true" outlineLevel="0" collapsed="false"/>
    <row r="28" customFormat="false" ht="21.75" hidden="false" customHeight="true" outlineLevel="0" collapsed="false">
      <c r="A28" s="39" t="s">
        <v>635</v>
      </c>
      <c r="B28" s="39"/>
      <c r="C28" s="39"/>
      <c r="D28" s="40" t="n">
        <f aca="false">D11+C19+C22+C25</f>
        <v>427093.93</v>
      </c>
      <c r="E28" s="41"/>
    </row>
    <row r="29" customFormat="false" ht="14.25" hidden="false" customHeight="true" outlineLevel="0" collapsed="false"/>
    <row r="30" customFormat="false" ht="14.25" hidden="false" customHeight="true" outlineLevel="0" collapsed="false">
      <c r="A30" s="3"/>
      <c r="B30" s="3"/>
      <c r="C30" s="3"/>
      <c r="D30" s="3"/>
      <c r="E30" s="3"/>
    </row>
    <row r="31" customFormat="false" ht="14.25" hidden="false" customHeight="true" outlineLevel="0" collapsed="false"/>
    <row r="32" customFormat="false" ht="14.25" hidden="false" customHeight="true" outlineLevel="0" collapsed="false">
      <c r="A32" s="88" t="s">
        <v>636</v>
      </c>
      <c r="B32" s="89"/>
      <c r="C32" s="89"/>
      <c r="D32" s="89"/>
    </row>
    <row r="33" customFormat="false" ht="14.25" hidden="false" customHeight="true" outlineLevel="0" collapsed="false">
      <c r="A33" s="115" t="s">
        <v>637</v>
      </c>
      <c r="B33" s="115" t="s">
        <v>638</v>
      </c>
      <c r="C33" s="115" t="s">
        <v>603</v>
      </c>
      <c r="D33" s="116" t="s">
        <v>639</v>
      </c>
      <c r="E33" s="117"/>
    </row>
    <row r="34" customFormat="false" ht="14.25" hidden="false" customHeight="true" outlineLevel="0" collapsed="false">
      <c r="A34" s="118" t="s">
        <v>640</v>
      </c>
      <c r="B34" s="118" t="s">
        <v>641</v>
      </c>
      <c r="C34" s="119" t="n">
        <v>15803.8</v>
      </c>
      <c r="D34" s="120" t="s">
        <v>642</v>
      </c>
      <c r="E34" s="117"/>
    </row>
    <row r="35" customFormat="false" ht="14.25" hidden="false" customHeight="true" outlineLevel="0" collapsed="false">
      <c r="A35" s="118" t="s">
        <v>643</v>
      </c>
      <c r="B35" s="118" t="s">
        <v>644</v>
      </c>
      <c r="C35" s="119" t="n">
        <v>2367</v>
      </c>
      <c r="D35" s="120" t="s">
        <v>645</v>
      </c>
      <c r="E35" s="117"/>
    </row>
    <row r="36" customFormat="false" ht="14.25" hidden="false" customHeight="true" outlineLevel="0" collapsed="false">
      <c r="A36" s="118" t="s">
        <v>646</v>
      </c>
      <c r="B36" s="118" t="s">
        <v>647</v>
      </c>
      <c r="C36" s="119" t="n">
        <v>8425</v>
      </c>
      <c r="D36" s="120" t="s">
        <v>648</v>
      </c>
      <c r="E36" s="117"/>
    </row>
    <row r="37" customFormat="false" ht="14.25" hidden="false" customHeight="true" outlineLevel="0" collapsed="false">
      <c r="A37" s="118" t="s">
        <v>643</v>
      </c>
      <c r="B37" s="118" t="s">
        <v>649</v>
      </c>
      <c r="C37" s="119" t="n">
        <v>91496</v>
      </c>
      <c r="D37" s="120"/>
      <c r="E37" s="117"/>
    </row>
    <row r="38" customFormat="false" ht="14.25" hidden="false" customHeight="true" outlineLevel="0" collapsed="false">
      <c r="A38" s="118" t="s">
        <v>650</v>
      </c>
      <c r="B38" s="118" t="s">
        <v>651</v>
      </c>
      <c r="C38" s="119" t="n">
        <v>112041</v>
      </c>
      <c r="D38" s="120" t="s">
        <v>652</v>
      </c>
      <c r="E38" s="117"/>
    </row>
    <row r="39" customFormat="false" ht="14.25" hidden="false" customHeight="true" outlineLevel="0" collapsed="false">
      <c r="A39" s="118" t="s">
        <v>653</v>
      </c>
      <c r="B39" s="118" t="s">
        <v>654</v>
      </c>
      <c r="C39" s="119" t="n">
        <v>120397</v>
      </c>
      <c r="D39" s="120" t="s">
        <v>655</v>
      </c>
      <c r="E39" s="117"/>
    </row>
    <row r="40" customFormat="false" ht="14.25" hidden="false" customHeight="true" outlineLevel="0" collapsed="false">
      <c r="A40" s="118" t="s">
        <v>656</v>
      </c>
      <c r="B40" s="118" t="s">
        <v>657</v>
      </c>
      <c r="C40" s="119" t="n">
        <v>163</v>
      </c>
      <c r="D40" s="120" t="s">
        <v>658</v>
      </c>
      <c r="E40" s="117"/>
    </row>
    <row r="41" customFormat="false" ht="14.25" hidden="false" customHeight="true" outlineLevel="0" collapsed="false">
      <c r="A41" s="118" t="s">
        <v>643</v>
      </c>
      <c r="B41" s="118" t="s">
        <v>659</v>
      </c>
      <c r="C41" s="119" t="n">
        <v>55833</v>
      </c>
      <c r="D41" s="120" t="s">
        <v>652</v>
      </c>
      <c r="E41" s="117"/>
    </row>
    <row r="42" customFormat="false" ht="14.25" hidden="false" customHeight="true" outlineLevel="0" collapsed="false">
      <c r="A42" s="118" t="s">
        <v>660</v>
      </c>
      <c r="B42" s="118" t="s">
        <v>661</v>
      </c>
      <c r="C42" s="119" t="n">
        <v>0</v>
      </c>
      <c r="D42" s="120" t="s">
        <v>662</v>
      </c>
      <c r="E42" s="117"/>
    </row>
    <row r="43" customFormat="false" ht="14.25" hidden="false" customHeight="true" outlineLevel="0" collapsed="false">
      <c r="A43" s="118" t="s">
        <v>646</v>
      </c>
      <c r="B43" s="118" t="s">
        <v>663</v>
      </c>
      <c r="C43" s="119" t="n">
        <v>66573</v>
      </c>
      <c r="D43" s="120" t="s">
        <v>652</v>
      </c>
      <c r="E43" s="117"/>
    </row>
    <row r="44" customFormat="false" ht="14.25" hidden="false" customHeight="true" outlineLevel="0" collapsed="false">
      <c r="A44" s="118" t="s">
        <v>664</v>
      </c>
      <c r="B44" s="118" t="s">
        <v>665</v>
      </c>
      <c r="C44" s="119" t="n">
        <v>0</v>
      </c>
      <c r="D44" s="120" t="s">
        <v>666</v>
      </c>
      <c r="E44" s="117"/>
    </row>
    <row r="45" customFormat="false" ht="14.25" hidden="false" customHeight="true" outlineLevel="0" collapsed="false">
      <c r="A45" s="118" t="s">
        <v>667</v>
      </c>
      <c r="B45" s="118" t="s">
        <v>668</v>
      </c>
      <c r="C45" s="119" t="n">
        <v>7723</v>
      </c>
      <c r="D45" s="120" t="s">
        <v>669</v>
      </c>
      <c r="E45" s="117"/>
    </row>
    <row r="46" customFormat="false" ht="14.25" hidden="false" customHeight="true" outlineLevel="0" collapsed="false">
      <c r="A46" s="118" t="s">
        <v>667</v>
      </c>
      <c r="B46" s="118" t="s">
        <v>670</v>
      </c>
      <c r="C46" s="119" t="n">
        <v>19171</v>
      </c>
      <c r="D46" s="120" t="s">
        <v>671</v>
      </c>
      <c r="E46" s="117"/>
    </row>
    <row r="47" customFormat="false" ht="14.25" hidden="false" customHeight="true" outlineLevel="0" collapsed="false">
      <c r="A47" s="118" t="s">
        <v>672</v>
      </c>
      <c r="B47" s="118" t="s">
        <v>673</v>
      </c>
      <c r="C47" s="119" t="n">
        <v>0</v>
      </c>
      <c r="D47" s="120" t="s">
        <v>674</v>
      </c>
      <c r="E47" s="117"/>
    </row>
    <row r="48" customFormat="false" ht="14.25" hidden="false" customHeight="true" outlineLevel="0" collapsed="false">
      <c r="A48" s="121" t="s">
        <v>675</v>
      </c>
      <c r="B48" s="122"/>
      <c r="C48" s="123" t="n">
        <f aca="false">SUM(C34:C47)</f>
        <v>499992.8</v>
      </c>
      <c r="D48" s="124"/>
      <c r="E48" s="117"/>
    </row>
    <row r="49" customFormat="false" ht="14.25" hidden="false" customHeight="true" outlineLevel="0" collapsed="false"/>
    <row r="50" customFormat="false" ht="14.25" hidden="false" customHeight="true" outlineLevel="0" collapsed="false">
      <c r="A50" s="88" t="s">
        <v>676</v>
      </c>
      <c r="B50" s="88"/>
      <c r="C50" s="88"/>
      <c r="D50" s="88"/>
    </row>
    <row r="51" customFormat="false" ht="14.25" hidden="false" customHeight="true" outlineLevel="0" collapsed="false">
      <c r="A51" s="1" t="s">
        <v>677</v>
      </c>
      <c r="C51" s="91" t="n">
        <v>159912.27</v>
      </c>
    </row>
    <row r="52" customFormat="false" ht="14.25" hidden="false" customHeight="true" outlineLevel="0" collapsed="false">
      <c r="A52" s="1" t="s">
        <v>678</v>
      </c>
      <c r="C52" s="91" t="n">
        <f aca="false">C48</f>
        <v>499992.8</v>
      </c>
    </row>
    <row r="53" customFormat="false" ht="14.25" hidden="false" customHeight="true" outlineLevel="0" collapsed="false">
      <c r="A53" s="125" t="s">
        <v>679</v>
      </c>
      <c r="B53" s="125"/>
      <c r="C53" s="126" t="n">
        <f aca="false">C51+C52</f>
        <v>659905.07</v>
      </c>
      <c r="D53" s="125"/>
    </row>
    <row r="54" customFormat="false" ht="14.25" hidden="false" customHeight="true" outlineLevel="0" collapsed="false">
      <c r="A54" s="1" t="s">
        <v>680</v>
      </c>
      <c r="C54" s="91" t="n">
        <f aca="false">D28</f>
        <v>427093.93</v>
      </c>
    </row>
    <row r="55" customFormat="false" ht="14.25" hidden="false" customHeight="true" outlineLevel="0" collapsed="false">
      <c r="A55" s="127" t="s">
        <v>681</v>
      </c>
      <c r="B55" s="127"/>
      <c r="C55" s="128" t="n">
        <f aca="false">C53-C54</f>
        <v>232811.14</v>
      </c>
      <c r="D55" s="127"/>
    </row>
    <row r="56" customFormat="false" ht="14.25" hidden="false" customHeight="true" outlineLevel="0" collapsed="false"/>
    <row r="57" customFormat="false" ht="14.25" hidden="false" customHeight="true" outlineLevel="0" collapsed="false">
      <c r="A57" s="88" t="s">
        <v>682</v>
      </c>
      <c r="B57" s="88"/>
      <c r="C57" s="88"/>
      <c r="D57" s="88"/>
    </row>
    <row r="58" customFormat="false" ht="14.25" hidden="false" customHeight="true" outlineLevel="0" collapsed="false">
      <c r="A58" s="129" t="s">
        <v>683</v>
      </c>
      <c r="B58" s="129" t="s">
        <v>684</v>
      </c>
      <c r="C58" s="129" t="s">
        <v>685</v>
      </c>
      <c r="D58" s="129" t="s">
        <v>686</v>
      </c>
    </row>
    <row r="59" customFormat="false" ht="14.25" hidden="false" customHeight="true" outlineLevel="0" collapsed="false">
      <c r="A59" s="130" t="s">
        <v>687</v>
      </c>
      <c r="B59" s="129" t="s">
        <v>688</v>
      </c>
      <c r="C59" s="131" t="n">
        <v>2273</v>
      </c>
      <c r="D59" s="131" t="n">
        <v>2140</v>
      </c>
    </row>
    <row r="60" customFormat="false" ht="14.25" hidden="false" customHeight="true" outlineLevel="0" collapsed="false">
      <c r="A60" s="129" t="s">
        <v>689</v>
      </c>
      <c r="B60" s="129" t="s">
        <v>690</v>
      </c>
      <c r="C60" s="131" t="n">
        <v>1184</v>
      </c>
      <c r="D60" s="131" t="n">
        <v>1202</v>
      </c>
    </row>
    <row r="61" customFormat="false" ht="14.25" hidden="false" customHeight="true" outlineLevel="0" collapsed="false">
      <c r="A61" s="129" t="s">
        <v>691</v>
      </c>
      <c r="B61" s="129" t="s">
        <v>690</v>
      </c>
      <c r="C61" s="131" t="n">
        <v>2248</v>
      </c>
      <c r="D61" s="131" t="n">
        <v>3552</v>
      </c>
    </row>
    <row r="62" customFormat="false" ht="14.25" hidden="false" customHeight="true" outlineLevel="0" collapsed="false">
      <c r="A62" s="125" t="s">
        <v>84</v>
      </c>
      <c r="B62" s="125"/>
      <c r="C62" s="126" t="n">
        <v>5705</v>
      </c>
      <c r="D62" s="126" t="n">
        <v>6894</v>
      </c>
    </row>
    <row r="63" customFormat="false" ht="14.25" hidden="false" customHeight="true" outlineLevel="0" collapsed="false">
      <c r="A63" s="125" t="s">
        <v>692</v>
      </c>
      <c r="B63" s="125"/>
      <c r="C63" s="126"/>
      <c r="D63" s="126" t="n">
        <v>12599</v>
      </c>
    </row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4.25" hidden="false" customHeight="true" outlineLevel="0" collapsed="false"/>
    <row r="1003" customFormat="false" ht="14.25" hidden="false" customHeight="true" outlineLevel="0" collapsed="false"/>
  </sheetData>
  <mergeCells count="7">
    <mergeCell ref="A1:E1"/>
    <mergeCell ref="A3:E3"/>
    <mergeCell ref="A11:C11"/>
    <mergeCell ref="A12:E12"/>
    <mergeCell ref="A26:B26"/>
    <mergeCell ref="A28:C28"/>
    <mergeCell ref="A30:E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2026-08-11T09:39:29Z</dcterms:created>
  <dc:creator>openpyxl</dc:creator>
  <dc:description/>
  <dc:language>en-US</dc:language>
  <cp:lastModifiedBy>user</cp:lastModifiedBy>
  <dcterms:modified xsi:type="dcterms:W3CDTF">2026-10-15T06:43:19Z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