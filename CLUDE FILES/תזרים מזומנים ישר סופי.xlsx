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cuments\CLUDE FILES\"/>
    </mc:Choice>
  </mc:AlternateContent>
  <xr:revisionPtr revIDLastSave="0" documentId="13_ncr:1_{B7F38614-5869-45AA-A325-82C8CDB931B4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חוב תאגידים" sheetId="1" r:id="rId1"/>
    <sheet name="תזרים יולי 2026" sheetId="2" r:id="rId2"/>
    <sheet name="תזרים אוגוסט 2026" sheetId="3" r:id="rId3"/>
    <sheet name="תזרים ספטמבר 2026" sheetId="4" r:id="rId4"/>
    <sheet name="תזרים אוקטובר 2026" sheetId="5" r:id="rId5"/>
    <sheet name="ממתינים לתשלום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wifr5nYUbWZPVNVU7by7RMfO6nJuDmY1xFjTaIjN0lE="/>
    </ext>
  </extLst>
</workbook>
</file>

<file path=xl/calcChain.xml><?xml version="1.0" encoding="utf-8"?>
<calcChain xmlns="http://schemas.openxmlformats.org/spreadsheetml/2006/main">
  <c r="C26" i="6" l="1"/>
  <c r="D11" i="6"/>
  <c r="D28" i="6" s="1"/>
  <c r="E82" i="1"/>
  <c r="D82" i="1"/>
  <c r="F81" i="1"/>
  <c r="F82" i="1" s="1"/>
  <c r="D48" i="5"/>
  <c r="D47" i="5"/>
  <c r="D46" i="5"/>
  <c r="E28" i="1"/>
  <c r="D28" i="1"/>
  <c r="F27" i="1"/>
  <c r="E77" i="1"/>
  <c r="D77" i="1"/>
  <c r="F76" i="1"/>
  <c r="F77" i="1" s="1"/>
  <c r="C48" i="6"/>
  <c r="C52" i="6" s="1"/>
  <c r="D89" i="4"/>
  <c r="D88" i="4"/>
  <c r="D87" i="4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2" i="5" s="1"/>
  <c r="E5" i="5" s="1"/>
  <c r="E6" i="5" s="1"/>
  <c r="E7" i="5" s="1"/>
  <c r="E8" i="5" s="1"/>
  <c r="E9" i="5" s="1"/>
  <c r="E10" i="5" s="1"/>
  <c r="E11" i="5" s="1"/>
  <c r="E12" i="5" s="1"/>
  <c r="E13" i="5" s="1"/>
  <c r="E14" i="5" s="1"/>
  <c r="E15" i="5" s="1"/>
  <c r="E16" i="5" s="1"/>
  <c r="E17" i="5" s="1"/>
  <c r="E18" i="5" s="1"/>
  <c r="E19" i="5" s="1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E35" i="5" s="1"/>
  <c r="E36" i="5" s="1"/>
  <c r="E37" i="5" s="1"/>
  <c r="E38" i="5" s="1"/>
  <c r="E39" i="5" s="1"/>
  <c r="E40" i="5" s="1"/>
  <c r="E41" i="5" s="1"/>
  <c r="E42" i="5" s="1"/>
  <c r="F90" i="1"/>
  <c r="E87" i="1"/>
  <c r="D87" i="1"/>
  <c r="F86" i="1"/>
  <c r="F87" i="1" s="1"/>
  <c r="F80" i="1"/>
  <c r="F75" i="1"/>
  <c r="F74" i="1"/>
  <c r="E71" i="1"/>
  <c r="D71" i="1"/>
  <c r="F70" i="1"/>
  <c r="F69" i="1"/>
  <c r="F68" i="1"/>
  <c r="F67" i="1"/>
  <c r="F66" i="1"/>
  <c r="F65" i="1"/>
  <c r="F64" i="1"/>
  <c r="F63" i="1"/>
  <c r="F58" i="1"/>
  <c r="E58" i="1"/>
  <c r="D58" i="1"/>
  <c r="F52" i="1"/>
  <c r="E47" i="1"/>
  <c r="D47" i="1"/>
  <c r="F46" i="1"/>
  <c r="F45" i="1"/>
  <c r="F44" i="1"/>
  <c r="F47" i="1" s="1"/>
  <c r="E40" i="1"/>
  <c r="D40" i="1"/>
  <c r="F39" i="1"/>
  <c r="F38" i="1"/>
  <c r="F37" i="1"/>
  <c r="F36" i="1"/>
  <c r="F35" i="1"/>
  <c r="F34" i="1"/>
  <c r="F33" i="1"/>
  <c r="F32" i="1"/>
  <c r="F26" i="1"/>
  <c r="F25" i="1"/>
  <c r="F24" i="1"/>
  <c r="F23" i="1"/>
  <c r="F22" i="1"/>
  <c r="F21" i="1"/>
  <c r="F20" i="1"/>
  <c r="F19" i="1"/>
  <c r="E15" i="1"/>
  <c r="D15" i="1"/>
  <c r="F14" i="1"/>
  <c r="F12" i="1"/>
  <c r="F11" i="1"/>
  <c r="F10" i="1"/>
  <c r="F9" i="1"/>
  <c r="F8" i="1"/>
  <c r="F7" i="1"/>
  <c r="F6" i="1"/>
  <c r="F71" i="1" l="1"/>
  <c r="F15" i="1"/>
  <c r="F28" i="1"/>
  <c r="F40" i="1"/>
  <c r="E52" i="5"/>
  <c r="E53" i="5" s="1"/>
  <c r="E54" i="5" s="1"/>
  <c r="E55" i="5" s="1"/>
  <c r="E56" i="5" s="1"/>
  <c r="E57" i="5" s="1"/>
  <c r="E58" i="5" s="1"/>
  <c r="E59" i="5" s="1"/>
  <c r="E60" i="5" s="1"/>
  <c r="E61" i="5" s="1"/>
  <c r="E62" i="5" s="1"/>
  <c r="C54" i="6"/>
  <c r="C53" i="6"/>
  <c r="D94" i="1" l="1"/>
  <c r="C55" i="6"/>
</calcChain>
</file>

<file path=xl/sharedStrings.xml><?xml version="1.0" encoding="utf-8"?>
<sst xmlns="http://schemas.openxmlformats.org/spreadsheetml/2006/main" count="1702" uniqueCount="672">
  <si>
    <t>תזרים מזומנים – יולי 2026  |  ישר שירותי קרקע לקבלן ולפועל בע"מ</t>
  </si>
  <si>
    <t>חוב לתאגידי כוח אדם  |  ישר שירותי קרקע לקבלן ולפועל בע"מ  |  ינואר–ספטמבר 2026</t>
  </si>
  <si>
    <t>תזרים מזומנים – אוגוסט 2026  |  ישר שירותי קרקע לקבלן ולפועל בע"מ</t>
  </si>
  <si>
    <t>תזרים מזומנים – ספטמבר 2026  |  ישר שירותי קרקע לקבלן ולפועל בע"מ</t>
  </si>
  <si>
    <t>יתרת פתיחה – 01/07/2026</t>
  </si>
  <si>
    <t>יתרת פתיחה – 01/09/2026</t>
  </si>
  <si>
    <t>יתרת פתיחה – 01/08/2026</t>
  </si>
  <si>
    <t>כל הסכומים כוללים מע"מ 18%</t>
  </si>
  <si>
    <t>תאריך</t>
  </si>
  <si>
    <t>תיאור</t>
  </si>
  <si>
    <t>הכנסה (₪)</t>
  </si>
  <si>
    <t>הוצאה (₪)</t>
  </si>
  <si>
    <t>יתרה (₪)</t>
  </si>
  <si>
    <t>פוגין אינטרנשיונל בע"מ   |   מועד תשלום: ה-25 לחודש</t>
  </si>
  <si>
    <t>הערות</t>
  </si>
  <si>
    <t>סוג</t>
  </si>
  <si>
    <t>01/07/2026</t>
  </si>
  <si>
    <t>שייך להוצאות החודש?</t>
  </si>
  <si>
    <t>עמלת הקצאת אשראי</t>
  </si>
  <si>
    <t>חודש עבודה</t>
  </si>
  <si>
    <t>מס׳ חשבונית</t>
  </si>
  <si>
    <t>גולמי (₪)</t>
  </si>
  <si>
    <t>01/09/2026</t>
  </si>
  <si>
    <t>02/08/2026</t>
  </si>
  <si>
    <t>שולם (₪)</t>
  </si>
  <si>
    <t>משיכת מזומן</t>
  </si>
  <si>
    <t>תאריך תשלום</t>
  </si>
  <si>
    <t>שהנאז ייזום</t>
  </si>
  <si>
    <t>ינואר</t>
  </si>
  <si>
    <t>עמלות בנק/אשראי</t>
  </si>
  <si>
    <t>📤 הוצאה</t>
  </si>
  <si>
    <t>01/000699</t>
  </si>
  <si>
    <t>שהנאו ייזום</t>
  </si>
  <si>
    <t>כרטיס 7327 – סניף 797</t>
  </si>
  <si>
    <t>הוצאה תפעולית-שכירות משרד</t>
  </si>
  <si>
    <t>🔁 קבוע</t>
  </si>
  <si>
    <t>30/01/2026</t>
  </si>
  <si>
    <t>עמלת ערוץ ישיר</t>
  </si>
  <si>
    <t>02/07/2026</t>
  </si>
  <si>
    <t>מקס איט פיננסים</t>
  </si>
  <si>
    <t>לאומי ויזה</t>
  </si>
  <si>
    <t>דיינרס קלאב</t>
  </si>
  <si>
    <t>יהודה פריימן - מזוזה</t>
  </si>
  <si>
    <t>אחר-יהודה פריימן (מזוזה)</t>
  </si>
  <si>
    <t>קבועה</t>
  </si>
  <si>
    <t>מטה ופתילים - העברה בין חברות</t>
  </si>
  <si>
    <t>כן</t>
  </si>
  <si>
    <t>שכירות משרד</t>
  </si>
  <si>
    <t>דיינרס קלאב – כרטיס אשראי</t>
  </si>
  <si>
    <t>פנימי-מטה ופתילים</t>
  </si>
  <si>
    <t>✅ הכנסה</t>
  </si>
  <si>
    <t>22/02 ✅</t>
  </si>
  <si>
    <t>לאומי ויזה – כרטיס אשראי</t>
  </si>
  <si>
    <t>חיים קוט - תשלום שכירות חודש 07</t>
  </si>
  <si>
    <t>פברואר</t>
  </si>
  <si>
    <t>הוצאת שכירות-קריית גת</t>
  </si>
  <si>
    <t>01/000735</t>
  </si>
  <si>
    <t>27/02/2026</t>
  </si>
  <si>
    <t>05/07/2026</t>
  </si>
  <si>
    <t>מקס איט פיננסי – כרטיס אשראי</t>
  </si>
  <si>
    <t>06/07/2026</t>
  </si>
  <si>
    <t>22/03 ✅</t>
  </si>
  <si>
    <t>מ. רוטנברג - צ'ק</t>
  </si>
  <si>
    <t>מרץ</t>
  </si>
  <si>
    <t>אחר-מ. רוטנברג שילם</t>
  </si>
  <si>
    <t>01/000749</t>
  </si>
  <si>
    <t>31/03/2026</t>
  </si>
  <si>
    <t>07/07/2026</t>
  </si>
  <si>
    <t>02/09/2026</t>
  </si>
  <si>
    <t>08/05 ✅</t>
  </si>
  <si>
    <t>אפריל</t>
  </si>
  <si>
    <t>01/000781</t>
  </si>
  <si>
    <t>30/04/2026</t>
  </si>
  <si>
    <t>03/08/2026</t>
  </si>
  <si>
    <t>מטה ופתילים</t>
  </si>
  <si>
    <t>22/06 ✅</t>
  </si>
  <si>
    <t>המרת מט״ח – 760 דולר</t>
  </si>
  <si>
    <t>ביטוח לאומי</t>
  </si>
  <si>
    <t>מאי</t>
  </si>
  <si>
    <t>01/000810</t>
  </si>
  <si>
    <t>31/05/2026</t>
  </si>
  <si>
    <t>29/06 ✅</t>
  </si>
  <si>
    <t>יוני</t>
  </si>
  <si>
    <t>01/000835</t>
  </si>
  <si>
    <t>08/07/2026</t>
  </si>
  <si>
    <t>30/06/2026</t>
  </si>
  <si>
    <t>מ. רוטנברג</t>
  </si>
  <si>
    <t>הכנסת לקוח-רוטנברג</t>
  </si>
  <si>
    <t>20/07 ✅</t>
  </si>
  <si>
    <t>שע״ח 3.0285 בניכוי עמלה 17.61</t>
  </si>
  <si>
    <t>יולי</t>
  </si>
  <si>
    <t>09/07/2026</t>
  </si>
  <si>
    <t>01/000876</t>
  </si>
  <si>
    <t>אחים לימור (בנק מזרחי)</t>
  </si>
  <si>
    <t>31/07/2026</t>
  </si>
  <si>
    <t>האחים ישראל</t>
  </si>
  <si>
    <t>הוצאת שכירות-רבי חייא (בעה"ב)</t>
  </si>
  <si>
    <t>חן 50535 – שכירות עד אוגוסט + ארנונה</t>
  </si>
  <si>
    <t>10/07/2026</t>
  </si>
  <si>
    <t>עיריית ירושלים</t>
  </si>
  <si>
    <t>04/08/2026</t>
  </si>
  <si>
    <t>ארנונה</t>
  </si>
  <si>
    <t>20/08 ✅ שולם</t>
  </si>
  <si>
    <t>אוגוסט</t>
  </si>
  <si>
    <t>01/000905</t>
  </si>
  <si>
    <t>ארנונה-קארו 7</t>
  </si>
  <si>
    <t>31/08/2026</t>
  </si>
  <si>
    <t>העברה פנימית ממטה</t>
  </si>
  <si>
    <t>אליעזר הקר אלומיניום (בנק מזרחי)</t>
  </si>
  <si>
    <t>תשלום חודש יולי</t>
  </si>
  <si>
    <t>22/09 ✅ שולם 25,965 (פער 0.90 ₪ עיגול)</t>
  </si>
  <si>
    <t>ספטמבר</t>
  </si>
  <si>
    <t>גרייטדור תעש - תקבול לקוח</t>
  </si>
  <si>
    <t>01/000938</t>
  </si>
  <si>
    <t>גרייטדור תעשיות</t>
  </si>
  <si>
    <t>עבור פועלים</t>
  </si>
  <si>
    <t>אסתר נאסה</t>
  </si>
  <si>
    <t>תקבול על חשבון החוב</t>
  </si>
  <si>
    <t>אחר-אסתר נאסה</t>
  </si>
  <si>
    <t>05/08/2026</t>
  </si>
  <si>
    <t>מ. רוטנברג – העברה/הפקדה</t>
  </si>
  <si>
    <t>אלגרסי תפעול - תקבול לקוח</t>
  </si>
  <si>
    <t>12/07/2026</t>
  </si>
  <si>
    <t>נמשך מכרטיס 2998 במכשיר מזרחי סניף 517 תלפיות</t>
  </si>
  <si>
    <t>אחר-משיכת מזומן</t>
  </si>
  <si>
    <t>איבריקה אינטרנשיונל - חודש 6.26</t>
  </si>
  <si>
    <t>03/09/2026</t>
  </si>
  <si>
    <t>מ. רוטנברג - תשלום על חשבון עבודות אוגוסט</t>
  </si>
  <si>
    <t>הכנסת לקוח-איבריקה (שירותי קרקע, עבור יוני)</t>
  </si>
  <si>
    <t>⏳ לתשלום ב-25/10/2026 (15,477 + מע"מ 2,785.87; עובדים אוזביקים)</t>
  </si>
  <si>
    <t>ב.ש ברגשטיין מקבוצת - פרויקט הקליר</t>
  </si>
  <si>
    <t>אלי שי בן-חיים</t>
  </si>
  <si>
    <t>סה״כ</t>
  </si>
  <si>
    <t>תקבול לקוח - חשבון עסקה 40103</t>
  </si>
  <si>
    <t>הכנסת לקוח-ברגשטיין</t>
  </si>
  <si>
    <t>העברת משכורת</t>
  </si>
  <si>
    <t>אליעזר הקר אלומיניום - תקבול לקוח</t>
  </si>
  <si>
    <t>משכורות</t>
  </si>
  <si>
    <t>אלנרסי תפעול - חן 40045 תשלום רבי חייא יולי</t>
  </si>
  <si>
    <t>הכנסת לקוח-אלנרסי (שירותי קרקע-רבי חייא)</t>
  </si>
  <si>
    <t>תקבול על חשבון עסקה 40090</t>
  </si>
  <si>
    <t>ש.ח.ן. כרמלי - עובדים יוני26 חן עסקה 40062</t>
  </si>
  <si>
    <t>האחים ישראל – שכירות רבי חייא</t>
  </si>
  <si>
    <t>שמעון והב – השלמת משכורת יולי לשלמה מינסקי</t>
  </si>
  <si>
    <t>הכנסת לקוח-שחן כרמלי (עבור יוני)</t>
  </si>
  <si>
    <t>רמא - ר.מ.ט - חן עסקה 40049</t>
  </si>
  <si>
    <t>שולם בפועל בספטמבר, מתייחס למשכורת יולי</t>
  </si>
  <si>
    <t>הכנסת לקוח-רמא</t>
  </si>
  <si>
    <t>פסגת ליאם כ״א בע״מ</t>
  </si>
  <si>
    <t>13/07/2026</t>
  </si>
  <si>
    <t>חשבונית 50116 – יולי</t>
  </si>
  <si>
    <t>04/09/2026</t>
  </si>
  <si>
    <t>אחים לימור עובדים זרים לבניין בע"מ</t>
  </si>
  <si>
    <t>ש מינסקי יזמות</t>
  </si>
  <si>
    <t>אחר-ש מינסקי יזמות</t>
  </si>
  <si>
    <t>פסגת ליאם כ"א - תשלום עבור עובדים אוגוסט</t>
  </si>
  <si>
    <t>בי אם גי כוח אדם</t>
  </si>
  <si>
    <t>חיים קוט – שכירות קרית גת</t>
  </si>
  <si>
    <t>COGS-תאגיד</t>
  </si>
  <si>
    <t>י צ נכסים - שכירות קורצאק</t>
  </si>
  <si>
    <t>הוצאת שכירות-קורצאק</t>
  </si>
  <si>
    <t>06/08/2026</t>
  </si>
  <si>
    <t>י צ נכסים - שכירות בית צפאפא</t>
  </si>
  <si>
    <t>חשבונית אוגוסט - שולם במלואו</t>
  </si>
  <si>
    <t>הוצאת שכירות-בית צפאפא</t>
  </si>
  <si>
    <t>שמואל מינסקי - החזר הלוואת בעלים</t>
  </si>
  <si>
    <t>690</t>
  </si>
  <si>
    <t>31/01/2026</t>
  </si>
  <si>
    <t>ב.ש ברגשטיין מקבוצת הקליר (מזרחי)</t>
  </si>
  <si>
    <t>משיכת בעלים</t>
  </si>
  <si>
    <t>ואקנין יצחק - תשלום עבור חשבונית מס</t>
  </si>
  <si>
    <t>פ. הקליר</t>
  </si>
  <si>
    <t>מייזלר יוחנן - תשלום חן 200023 ניכוי 5%</t>
  </si>
  <si>
    <t>אחר-מייזלר יוחנן - תשלום חן 200023 ניכוי 5%</t>
  </si>
  <si>
    <t>09/08/2026</t>
  </si>
  <si>
    <t>14/07/2026</t>
  </si>
  <si>
    <t>אופיר חנון – העברת זה״ב</t>
  </si>
  <si>
    <t>תשלום עבור חשבונית מס</t>
  </si>
  <si>
    <t>ריבית לפקדון</t>
  </si>
  <si>
    <t>ריבית פיקדון</t>
  </si>
  <si>
    <t>06/09/2026</t>
  </si>
  <si>
    <t>פרעון פקדון</t>
  </si>
  <si>
    <t>שי-רם חברה</t>
  </si>
  <si>
    <t>פיקדון</t>
  </si>
  <si>
    <t>חשבון עסקה 40072 – חיוב 07/26</t>
  </si>
  <si>
    <t>✅ שולם</t>
  </si>
  <si>
    <t>פדיום מקוזז</t>
  </si>
  <si>
    <t>07/09/2026</t>
  </si>
  <si>
    <t>725</t>
  </si>
  <si>
    <t>אליעזר הקר אלומיניום - תשלום יתרה סופית</t>
  </si>
  <si>
    <t>28/02/2026</t>
  </si>
  <si>
    <t>אלגרסי תפעול</t>
  </si>
  <si>
    <t>חשבונית 40065</t>
  </si>
  <si>
    <t>783</t>
  </si>
  <si>
    <t>חיים קוט – שכירות קריית גת</t>
  </si>
  <si>
    <t>נטליה הודיה - תשלום</t>
  </si>
  <si>
    <t>ש.ח.ן. כרמלי</t>
  </si>
  <si>
    <t>הכנסת לקוח-נטליה הודיה (לא שילמה מע"מ - לזכור לחייב)</t>
  </si>
  <si>
    <t>תשלום נוסף - אושר ע"י שמואל</t>
  </si>
  <si>
    <t>חשבונית 50355 – עובדים 07/26</t>
  </si>
  <si>
    <t>801</t>
  </si>
  <si>
    <t>שישא גבריאל - שכירות קארו 7</t>
  </si>
  <si>
    <t>08/09/2026</t>
  </si>
  <si>
    <t>הוצאת שכירות-קארו 7</t>
  </si>
  <si>
    <t>אופל בלאנס - ניכיון צ'ק גרייטדור 60,000</t>
  </si>
  <si>
    <t>רמא – ר.מ. טכנולוגיות</t>
  </si>
  <si>
    <t>תומא וסאם - הלנת עובדים מלון בית חנינא</t>
  </si>
  <si>
    <t>874</t>
  </si>
  <si>
    <t>הוצאת שכירות-בית חנינה</t>
  </si>
  <si>
    <t>העברה ברשימה</t>
  </si>
  <si>
    <t>הינדי טייטלבוים - שכירות קארו 3</t>
  </si>
  <si>
    <t>ניכיון צ׳ק 60,000; התקבלו 55,238 נטו. העמלה 4,762 מגולגלת לגרייטדור ונרשמה כחוב לקוח - לא הוצאה שלנו</t>
  </si>
  <si>
    <t>הוצאת שכירות-קארו 3</t>
  </si>
  <si>
    <t>10/08/2026</t>
  </si>
  <si>
    <t>ארנונה – עיריית ירושלים</t>
  </si>
  <si>
    <t>908</t>
  </si>
  <si>
    <t>שלום קבאסה - שכירות אשקלון</t>
  </si>
  <si>
    <t>הוצאת שכירות-אשקלון</t>
  </si>
  <si>
    <t>קבועה | 6 חיובים נפרדים</t>
  </si>
  <si>
    <t>21/07 ✅</t>
  </si>
  <si>
    <t>העברה עצמית למטה</t>
  </si>
  <si>
    <t>🔄 העברה</t>
  </si>
  <si>
    <t>956</t>
  </si>
  <si>
    <t>לא</t>
  </si>
  <si>
    <t>איבריקה אינטרנשיונל (בנק הפועלים)</t>
  </si>
  <si>
    <t>טוהר הדברות ותחזוקה - הדברה בית חנינה</t>
  </si>
  <si>
    <t>זאב זלץ - שכירות קארו 11</t>
  </si>
  <si>
    <t>חודש 07/26</t>
  </si>
  <si>
    <t>25/08 חלקי 40,000 + 09/09 יתרה 169,845.30 ✅ שולם במלואו</t>
  </si>
  <si>
    <t>הוצאת שכירות-קארו 11</t>
  </si>
  <si>
    <t>חשבונית אוגוסט</t>
  </si>
  <si>
    <t>חן 100240</t>
  </si>
  <si>
    <t>ר. שאלתיאל – שיק 5000284</t>
  </si>
  <si>
    <t>שמואל מינסקי - החזר הלוואת בעלות</t>
  </si>
  <si>
    <t>09/09/2026</t>
  </si>
  <si>
    <t>22/09 ✅ שולם במלואו (חן עסקה 8020)</t>
  </si>
  <si>
    <t>ש.ח.ן כרמלי - תקבול לקוח (חשבונית 50365, עובדי אוגוסט)</t>
  </si>
  <si>
    <t>קשור למטה ופתילים</t>
  </si>
  <si>
    <t>רחל מסטשי - שכירות אסירי ציון</t>
  </si>
  <si>
    <t>הוצאת שכירות-אסירי ציון</t>
  </si>
  <si>
    <t>15/07/2026</t>
  </si>
  <si>
    <t>לאומי מאסטרקרד</t>
  </si>
  <si>
    <t>ד.י שרף השקעות - תקבול לקוח (חשבונית 50363)</t>
  </si>
  <si>
    <t>שבט בנימין בעמ - חש 50348 349</t>
  </si>
  <si>
    <t>הכנסת לקוח-שבט בנימין</t>
  </si>
  <si>
    <t>איבריקה אינטרנשיונל - תקבול לקוח (חן 40083/40084/40085)</t>
  </si>
  <si>
    <t>BMG – בי אם ג׳י כוח אדם</t>
  </si>
  <si>
    <t>השלמת חשבונית 3000 – יוני ✅</t>
  </si>
  <si>
    <t>שי-רם חברה לבנייה - תקבול לקוח</t>
  </si>
  <si>
    <t>שלמה מינסקי – תשלום דלק</t>
  </si>
  <si>
    <t>אלי שי בן-חי - עח עסקה 40052</t>
  </si>
  <si>
    <t>חשבונית 18205</t>
  </si>
  <si>
    <t>חשבון עסקה 40098 - עובדי אוגוסט</t>
  </si>
  <si>
    <t>הכנסת לקוח-אלי אביאלי</t>
  </si>
  <si>
    <t>16/07/2026</t>
  </si>
  <si>
    <t>קידוח וחיזוק הצפון - שירותי כוח אדם לפאיז</t>
  </si>
  <si>
    <t>פאנג שירותי כח אדם בע"מ</t>
  </si>
  <si>
    <t>י. צדיק נכסים – שכירות קורצאק</t>
  </si>
  <si>
    <t>הכנסת לקוח-נריה קידוח הצפון</t>
  </si>
  <si>
    <t>אלי שי בן-חי - יתרת חן 40052</t>
  </si>
  <si>
    <t>על חשבון חשבון עסקה 40097+40101 (הנחה - לאימות)</t>
  </si>
  <si>
    <t>אחים לימור - השלמת תשלום חשבונית 956</t>
  </si>
  <si>
    <t>17/07/2026</t>
  </si>
  <si>
    <t>מצודת השלום - צ'ק</t>
  </si>
  <si>
    <t>הכנסת לקוח-אחמד מצודת השלום</t>
  </si>
  <si>
    <t>חוב יולי נסגר במלואו (40,000 ב-25/08 + 169,845.30)</t>
  </si>
  <si>
    <t>19/07/2026</t>
  </si>
  <si>
    <t>ש.מינסקי יזמות - העברה כספית מהכיס</t>
  </si>
  <si>
    <t>רו"ח יוסי טובול</t>
  </si>
  <si>
    <t>הוצאה תפעולית-רואה חשבון</t>
  </si>
  <si>
    <t>רשום בקובץ "התחשבנות שמואל מינסקי" כהעברה פתוחה שטרם הוחזרה - מגדיל את חוב ישר לשמואל</t>
  </si>
  <si>
    <t>20/07/2026</t>
  </si>
  <si>
    <t>אופיר חנון ONE ZERO</t>
  </si>
  <si>
    <t>ד.י שרף השקעות - תשלום עבור עובדי אוגוסט</t>
  </si>
  <si>
    <t>הכנסת לקוח-אופיר חנון/קבלן</t>
  </si>
  <si>
    <t>י. צדיק נכסים – שכירות בית צפאפא</t>
  </si>
  <si>
    <t>פרעון הלוואה</t>
  </si>
  <si>
    <t>שולם לפי אומדן - החשבונית עצמה טרם התקבלה</t>
  </si>
  <si>
    <t>החזר הלוואה עסקית</t>
  </si>
  <si>
    <t>חברת החשמל</t>
  </si>
  <si>
    <t>רמא - תקבול לקוח</t>
  </si>
  <si>
    <t>12/08/2026</t>
  </si>
  <si>
    <t>שטיינברוך אברהם (בנק דיסקונט)</t>
  </si>
  <si>
    <t>קבועה - חשבון חשמל חודשי</t>
  </si>
  <si>
    <t>חשבון עסקה 40087 - עובדי אוגוסט</t>
  </si>
  <si>
    <t>פוגין אינטרנשיונל</t>
  </si>
  <si>
    <t>קנה מאיתנו מזרון</t>
  </si>
  <si>
    <t>הוצאה מאושרת-פוגין אינטרנשיונל (מאושר לתשלום - שמואל אישר)</t>
  </si>
  <si>
    <t>10/09/2026</t>
  </si>
  <si>
    <t>21/07/2026</t>
  </si>
  <si>
    <t>תגמולי מילואים – שלמה מינסקי</t>
  </si>
  <si>
    <t>✅ מזוהה - תגמולי מילואים לשלמה מינסקי</t>
  </si>
  <si>
    <t>אחים לימור</t>
  </si>
  <si>
    <t>הוצאה מאושרת-אחים לימור (מאושר לתשלום - שמואל אישר)</t>
  </si>
  <si>
    <t>העברת משכורת – עדינה (תלוש 8/26)</t>
  </si>
  <si>
    <t>22/07/2026</t>
  </si>
  <si>
    <t>אופל בלאנס (2006) - ניכיון שיק</t>
  </si>
  <si>
    <t>מימון-ניכיון שיק</t>
  </si>
  <si>
    <t>26/07/2026</t>
  </si>
  <si>
    <t>פאנג שירותי כח - שיק 5000343</t>
  </si>
  <si>
    <t>✅ תואם תלוש אוגוסט: נטו לתשלום 11,755 (ברוטו 14,323)</t>
  </si>
  <si>
    <t>COGS-ספק אחר (פאנג) - על חשבון חשבונית מאי</t>
  </si>
  <si>
    <t>27/07/2026</t>
  </si>
  <si>
    <t>פאנג שירותי כח - תשלום חלקי חשבונית 2663</t>
  </si>
  <si>
    <t>העברת משכורת – נחשון (יונאייב נחשון חיים)</t>
  </si>
  <si>
    <t>COGS-ספק אחר (פאנג)</t>
  </si>
  <si>
    <t>28/07/2026</t>
  </si>
  <si>
    <t>קבועה | ✅ מזוהה - נחשון. שולם 10/09, לא נותרה משכורת רביעית לסוף החודש</t>
  </si>
  <si>
    <t>29/07/2026</t>
  </si>
  <si>
    <t>הח.ע.עסקי</t>
  </si>
  <si>
    <t>אחר-בנק</t>
  </si>
  <si>
    <t>אחים לימור - שכירות קורצק (חן 50367, אוגוסט)</t>
  </si>
  <si>
    <t>מס הכנסה ניכוי</t>
  </si>
  <si>
    <t>01/002624</t>
  </si>
  <si>
    <t>18/06/2026</t>
  </si>
  <si>
    <t>מסים-ניכוי מס הכנסה</t>
  </si>
  <si>
    <t>Ofir Hanoon</t>
  </si>
  <si>
    <t>13/08/2026</t>
  </si>
  <si>
    <t>הכנסת דירה - קורצאק</t>
  </si>
  <si>
    <t>25/08 ✅ שולם במלואו (צ'ק 5000344)</t>
  </si>
  <si>
    <t>01/002663</t>
  </si>
  <si>
    <t>פדיון פיקדון פנימי - הכסף חזר מיד (ראה שורות הבאות) - לא נספר כהוצאה</t>
  </si>
  <si>
    <t>פאנג שירותי כח - תשלום 2 מחשבונית יוני 26</t>
  </si>
  <si>
    <t>אחים לימור - שכירות בית צפאפא (חן 50366, אוגוסט)</t>
  </si>
  <si>
    <t>30/07/2026</t>
  </si>
  <si>
    <t>צ׳ק 5000345 · 125,000 ₪ ✅ ירד 24/09  +  צ׳ק 5000346 · 125,000 ₪ ב-25/10  |  ⚠️ היתרה 125,000 לא כלולה בסה"כ - נכנסת באוקטובר</t>
  </si>
  <si>
    <t>הכנסת דירה - בית צפאפא</t>
  </si>
  <si>
    <t>01/002702</t>
  </si>
  <si>
    <t>מאי חברה למערכות חשמל - תקבול לקוח</t>
  </si>
  <si>
    <t>מע"מ</t>
  </si>
  <si>
    <t>18/08 ✅ שולם</t>
  </si>
  <si>
    <t>מסים-מעמ</t>
  </si>
  <si>
    <t>01/002721</t>
  </si>
  <si>
    <t>חן עסקה 40100</t>
  </si>
  <si>
    <t>14/08/2026</t>
  </si>
  <si>
    <t>רחל מסטשי – שכירות אסירי ציון</t>
  </si>
  <si>
    <t>בי אם גי כוח אדם - תשלום חלקי חשבונית עסקה 3000</t>
  </si>
  <si>
    <t>07/10 שולם 230,000 ₪ (העברה) · נותרו 208,316.30 · צ׳קים דחויים: 5000286 · 69,438 ב-26/11/2026 | 5000287 · 69,438 ב-26/12/2026 | 5000288 · 69,438 ב-26/01/2027 (סה"כ 208,314; פער 2.30 ₪ מול היתרה)</t>
  </si>
  <si>
    <t>יתרת סגירה – 31/07/2026</t>
  </si>
  <si>
    <t>על חשבון עבודת אוגוסט/ספטמבר</t>
  </si>
  <si>
    <t>תומא וסאם – שכירות בית חנינא</t>
  </si>
  <si>
    <t>11/09/2026</t>
  </si>
  <si>
    <t>שיק 5000347</t>
  </si>
  <si>
    <t>שישא גבריאל – שכירות קארו 7</t>
  </si>
  <si>
    <t>⚠️ שיק - לבדוק למי ועבור מה</t>
  </si>
  <si>
    <t>✱ 🔁 = הוצאה קבועה חוזרת  |  יתרת הסגירה מהווה את יתרת הפתיחה של אוגוסט 2026</t>
  </si>
  <si>
    <t>פסגת ליאם כח אדם בע"מ</t>
  </si>
  <si>
    <t>שלום קבאסה – שכירות אשקלון</t>
  </si>
  <si>
    <t>✅ כל הנתונים ליולי (01.07-31.07.2026) מאומתים במלואם מול דו"ח בנק לאומי המלא - הקטע הפנימי-הלא-מאומת הוחלף ב-13.08.2026, הפער של 94,567.57 נסגר</t>
  </si>
  <si>
    <t>14/09/2026</t>
  </si>
  <si>
    <t>פדיון מקוזז</t>
  </si>
  <si>
    <t>זאב זלץ – שכירות קארו 11</t>
  </si>
  <si>
    <t>הינדי טייטלבוים – שכירות קארו 3</t>
  </si>
  <si>
    <t>50116</t>
  </si>
  <si>
    <t>חוזר לחשבון</t>
  </si>
  <si>
    <t>16/08/2026</t>
  </si>
  <si>
    <t>לאומי מאסטרקרד – כרטיס אשראי</t>
  </si>
  <si>
    <t>ברגשטיין - תקבול לקוח</t>
  </si>
  <si>
    <t>05/08/2026 ✅</t>
  </si>
  <si>
    <t>חן עסקה 40102 - שולם במלואו</t>
  </si>
  <si>
    <t>שיק 5000349</t>
  </si>
  <si>
    <t>04/09 ✅ שולם במלואו</t>
  </si>
  <si>
    <t>אביאלי אלומיניום (אלי שי בן-חיים) - תקבול לקוח, יתרת חשבון 40088</t>
  </si>
  <si>
    <t>06/10 ✅ שולם במלואו (חן 50156)</t>
  </si>
  <si>
    <t>ש מינסקי יזמות – תשלום עבור חשבונית</t>
  </si>
  <si>
    <t>15/09/2026</t>
  </si>
  <si>
    <t>דיינרס - כרטיס אשראי</t>
  </si>
  <si>
    <t>לאומי מאסטרקרד - כרטיס אשראי</t>
  </si>
  <si>
    <t>17/08/2026</t>
  </si>
  <si>
    <t>ש קרליץ בניה בע"מ – פירעון חוב ישן</t>
  </si>
  <si>
    <t>תומא וסאם - שכירות בית חנינה</t>
  </si>
  <si>
    <t>לקוח ישן ששילם חוב</t>
  </si>
  <si>
    <t>עוצמת התמרון בע"מ   |   מועד תשלום: ה-15 לחודש</t>
  </si>
  <si>
    <t>מצודת השלום בע"מ – חשבונית עסקה 467</t>
  </si>
  <si>
    <t>שבט בנימין בע"מ – חש 357 וחש 356</t>
  </si>
  <si>
    <t>קידוח וחיזוק הצפון – שירותי כוח אדם</t>
  </si>
  <si>
    <t>✅ שולם במלואו</t>
  </si>
  <si>
    <t>SI266000108</t>
  </si>
  <si>
    <t>17/08 ✅ - שולם בניכוי 3%</t>
  </si>
  <si>
    <t>עוצמת התמרון – סגירת חשבונית SI266000108 (בניכוי 3%)</t>
  </si>
  <si>
    <t>סה"כ</t>
  </si>
  <si>
    <t>18/08/2026</t>
  </si>
  <si>
    <t>תשלום לעובד שעבד לסחוב מיטות מקורצאק לבית חנינא</t>
  </si>
  <si>
    <t>י. צדיק נכסים - שכירות בית צפאפא</t>
  </si>
  <si>
    <t>פניני התכלת   |   מועד תשלום: ה-20 לחודש</t>
  </si>
  <si>
    <t>י. צדיק נכסים - שכירות קורצאק</t>
  </si>
  <si>
    <t>שלמה מינסקי – העברה עבור עובדים זרים</t>
  </si>
  <si>
    <t>מקס איט פיננסי - כרטיס אשראי</t>
  </si>
  <si>
    <t>פאנג שירותי כח אדם – סילוק חשבונית יולי 01/002702</t>
  </si>
  <si>
    <t>קבועה - סכום בפועל (במקום אמדן 10,284.20)</t>
  </si>
  <si>
    <t>עמלת בנק (עמ. גל"י לבנקים)</t>
  </si>
  <si>
    <t>אייל גולן - ריטיינר חודשי</t>
  </si>
  <si>
    <t>עמלה קטנה</t>
  </si>
  <si>
    <t>19/08 ✅ שולם (ניכוי 2%, נטו 69,822.72)</t>
  </si>
  <si>
    <t>בוצע 15/09 (היה מתוכנן 3,450 - הסכום בפועל 3,540)</t>
  </si>
  <si>
    <t>ש קרליץ בניה בע"מ – החזר יתרת תשלום ביתר</t>
  </si>
  <si>
    <t>22/09 ✅ שולם (ניכוי במקור 2% 1,594.80, נטו 92,498.40)</t>
  </si>
  <si>
    <t>16/09/2026</t>
  </si>
  <si>
    <t>החזרי מע"מ לעוסקים - מכס ומע"מ</t>
  </si>
  <si>
    <t>19/08/2026</t>
  </si>
  <si>
    <t>אופל בלאנס – ניכיון שיק</t>
  </si>
  <si>
    <t>החזר מע"מ</t>
  </si>
  <si>
    <t>✅ מקדמה על צ'ק גרייטדור (110,000) - ניכיון חלקי, יתרה 60,000 בחודש הבא</t>
  </si>
  <si>
    <t>BMG Human Resources and Placement  |  ח.פ. 516886835</t>
  </si>
  <si>
    <t>אופיר חנון – תשלום על חשבון</t>
  </si>
  <si>
    <t>ג.ד קלאמרה – חשבונית 20005</t>
  </si>
  <si>
    <t>העברה דיגיטל על חשבון החוב</t>
  </si>
  <si>
    <t>רואה חשבון יוסי טובול - ריטיינר חודשי</t>
  </si>
  <si>
    <t>פניני התכלת – סילוק חשבונית 90088 (ניכוי 2%)</t>
  </si>
  <si>
    <t>נטו אחרי ניכוי מס במקור</t>
  </si>
  <si>
    <t>✅ בפועל - תואם אמדן</t>
  </si>
  <si>
    <t>ש</t>
  </si>
  <si>
    <t>17/09/2026</t>
  </si>
  <si>
    <t>יעל אברהם - העברה בנקאית</t>
  </si>
  <si>
    <t>20/08/2026</t>
  </si>
  <si>
    <t>פרעון שיק – חברת החשמל</t>
  </si>
  <si>
    <t>03/04 חלקי</t>
  </si>
  <si>
    <t>ISRAEL CARGO LOG - תשלום חודשי קבוע</t>
  </si>
  <si>
    <t>BMG – סילוק חשבונית יולי 3006</t>
  </si>
  <si>
    <t>20/05 ✅</t>
  </si>
  <si>
    <t>📌 תזכורת: צריך להעביר 19,770 ₪ כל חודש ב-10 לחודש - נותרו עוד 8 תשלומים (אוקטובר 2026 עד מאי 2027)</t>
  </si>
  <si>
    <t>22/09/2026</t>
  </si>
  <si>
    <t>פוגין אינטרנשיונל – סילוק חשבונית יולי 01/000876</t>
  </si>
  <si>
    <t>🏦 בפועל מהבנק</t>
  </si>
  <si>
    <t>פניני התכלת - תשלום חשבונית 90110 (עובדי אוגוסט)</t>
  </si>
  <si>
    <t>רמא – ר.מ. ט – השלמה לניכוי מס במקור (יש פטור)</t>
  </si>
  <si>
    <t>23/08/2026</t>
  </si>
  <si>
    <t>חן 90110 - 94,093.20 פחות ניכוי במקור 2% (1,594.80). חוב אוגוסט נסגר</t>
  </si>
  <si>
    <t>13/07 חלקי</t>
  </si>
  <si>
    <t>✅ ניכיון 2 צ'קי מצודת השלום (29,551 בניכוי עמלה 909)</t>
  </si>
  <si>
    <t>פרעון שיק/שטר</t>
  </si>
  <si>
    <t>אופיר חנון – תשלום נוסף</t>
  </si>
  <si>
    <t>🏦 בפועל מהבנק (שיק 5000337)</t>
  </si>
  <si>
    <t>30/06 ✅</t>
  </si>
  <si>
    <t>מטה ופתילים – העברה עבור צ'ק רוטנברג</t>
  </si>
  <si>
    <t>ד.יוחאי - תשלום חשבונית IN264000106 (עובדי אוגוסט)</t>
  </si>
  <si>
    <t>✅ מטה כיסה את הצ'ק כמתוכנן</t>
  </si>
  <si>
    <t>31/07 חלקי + 10/08 השלמה ✅</t>
  </si>
  <si>
    <t>BONOS – Pankaj Kumar</t>
  </si>
  <si>
    <t>חשבונית 106 - חוב אוגוסט נסגר</t>
  </si>
  <si>
    <t>אחים לימור - תשלום חשבונית אוגוסט (חן עסקה 8020)</t>
  </si>
  <si>
    <t>דלק – Delev Andrei</t>
  </si>
  <si>
    <t>30/08/2026</t>
  </si>
  <si>
    <t>חוב אוגוסט נסגר במלואו</t>
  </si>
  <si>
    <t>25/08/2026</t>
  </si>
  <si>
    <t>פאנג שירותי כח אדם – צ'ק 5000344 (יתרת חשבונית מאי)</t>
  </si>
  <si>
    <t>05/10 ✅ שולם במלואו (חן 4076) - 69,702.01 ₪</t>
  </si>
  <si>
    <t>ג.ד קלמרה - תשלום חשבונית 20019 (אוגוסט)</t>
  </si>
  <si>
    <t>אחים לימור – תשלום חלקי עבור חשבונית 956</t>
  </si>
  <si>
    <t>ייעוץ הנדסי וביקור מהנדס - חוב אוגוסט נסגר</t>
  </si>
  <si>
    <t>26/08/2026</t>
  </si>
  <si>
    <t>מ. רוטנברג – צ'ק 5000327</t>
  </si>
  <si>
    <t>פוגין אינטרנשיונל - תשלום חשבונית 01/000905 (אוגוסט)</t>
  </si>
  <si>
    <t>⚠️ 58,836 בפועל (לא 58,826 כמו שהיה רשום - הפרש 10 ₪)</t>
  </si>
  <si>
    <t>חשבונית 25,965.90 - שולם 25,965 (פער 0.90 ₪ עיגול). חוב אוגוסט נסגר</t>
  </si>
  <si>
    <t>שי-לי כח אדם – חשבונית 230673</t>
  </si>
  <si>
    <t>⚠️ רק פברואר+אפריל לא נכללים בסה"כ למטה (ממתין לכרטסת) - יולי מעודכן ונכלל</t>
  </si>
  <si>
    <t>24/09/2026</t>
  </si>
  <si>
    <t>FURTUNA ALEXANDE - העברה לחשבון BONOS 54-022-026246887</t>
  </si>
  <si>
    <t>שי-לי כח אדם בע"מ  |  ע.מ. 515379725   |   מועד תשלום: ה-25 לחודש</t>
  </si>
  <si>
    <t>27/08/2026</t>
  </si>
  <si>
    <t>⚠️ סכום אמיתי גבוה יותר ממה שהוערך קודם (5,056)</t>
  </si>
  <si>
    <t>⚠️ לבדוק למי ועבור מה - העברה לחשבון BONOS (בנק לעובדים זרים). תנועות היום - לא סופי</t>
  </si>
  <si>
    <t>ANDREI DELEV - העברה לחשבון BONOS 54-022-087745299</t>
  </si>
  <si>
    <t>✅ ירד מוקדם (היה מתוכנן ל-4/9)</t>
  </si>
  <si>
    <t>מטה ופתילים – העברה</t>
  </si>
  <si>
    <t>כיסוי חריגה</t>
  </si>
  <si>
    <t>26/08 ⏳ שולם, טרם סופי</t>
  </si>
  <si>
    <t>שבט בנימין - תקבול לקוח (חש׳ 369+370)</t>
  </si>
  <si>
    <t>28/08/2026</t>
  </si>
  <si>
    <t>24/09 ✅ שולם במלואו (חן 230703)</t>
  </si>
  <si>
    <t>חשבון עסקה 40096+40095 - עובדים אוגוסט + יולי. ✅ שולם במלואו - זה הסכום הסופי</t>
  </si>
  <si>
    <t>כיסוי חריגה - סה"כ עם ההעברה הקודמת 80,000</t>
  </si>
  <si>
    <t>ד.יוחאי בע"מ  |  עוסק מורשה 516890944   |   מועד תשלום: ה-20 לחודש</t>
  </si>
  <si>
    <t>פאנג שירותי כח אדם - צ׳ק 5000345 (חשבונית יוני 01/002663)</t>
  </si>
  <si>
    <t>העברה לחשבונותי</t>
  </si>
  <si>
    <t>עמלה/העברה פנימית קטנה</t>
  </si>
  <si>
    <t>צ׳ק ראשון מתוך 2 - צ׳ק 5000346 (125,000) פורע 25/10/2026</t>
  </si>
  <si>
    <t>אברהם חיים ב - תשלום</t>
  </si>
  <si>
    <t>IN264000106</t>
  </si>
  <si>
    <t>שי-לי כוח אדם - תשלום חשבונית 230703 (עובדי אוגוסט)</t>
  </si>
  <si>
    <t>החזר מזמירה עבור גז ומים ששילמנו בחודשים שלא הייתה שם</t>
  </si>
  <si>
    <t>מע"מ (תשלום נוסף)</t>
  </si>
  <si>
    <t>22/09 ✅ שולם במלואו</t>
  </si>
  <si>
    <t>25/09/2026</t>
  </si>
  <si>
    <t>אופיר חנון בניה ופיקוח - תקבול לקוח</t>
  </si>
  <si>
    <t>יתרה בפועל בבנק – 31/08/2026 (סוף חודש) ⚠️ עדיין ביתרת חובה</t>
  </si>
  <si>
    <t>על חשבון חשבון עסקה 40094 - נותרו 88,425 ₪</t>
  </si>
  <si>
    <t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</si>
  <si>
    <t>29/09/2026</t>
  </si>
  <si>
    <t>שרף (ד.י שרף השקעות)   |   ירון 054-6477110   |   ✅ שולם 09/09/2026 - החשבונית עצמה טרם התקבלה</t>
  </si>
  <si>
    <t>📊 סיכום לפי עמודה "שייך להוצאות החודש?"</t>
  </si>
  <si>
    <t>30/09/2026</t>
  </si>
  <si>
    <t>ריבית חובה</t>
  </si>
  <si>
    <t>יתרה בפועל בבנק – 30/09/2026 ✅ מאומת מול דוח בנק לאומי</t>
  </si>
  <si>
    <t>סה"כ הוצאות שכן שייכות לחודש (שכירות, משכורות, מע"מ, כרטיסי אשראי, קבועות)</t>
  </si>
  <si>
    <t>ממתין לקבלת חשבונית</t>
  </si>
  <si>
    <t>סה"כ הוצאות שלא שייכות (חובות תאגידים מחודשים אחרים, ניכיונות, החזרים, העברות)</t>
  </si>
  <si>
    <t>✅ שולם 09/09/2026 בהעברה דיגיטלית - 75,065 ₪ (סכום מאומת מול הבנק, לא אומדן). עדיין יש לקבל את מסמך החשבונית עצמו מהתאגיד</t>
  </si>
  <si>
    <t>ג.ד. קלמרה הנדסה ובנייה בע"מ   |   ח.פ. 516489689</t>
  </si>
  <si>
    <t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</si>
  <si>
    <t>22/09 ✅ שולם</t>
  </si>
  <si>
    <t>💰  סך חוב פתוח לכל התאגידים   (✱ לא כולל BMG פברואר+אפריל | לא כולל פאנג יוני 125,000 - צ׳ק 5000346 ב-25/10)</t>
  </si>
  <si>
    <t>סה"כ הוצאות שכן שייכות לחודש (שכירות, משכורות, כרטיסי אשראי, קבועות, תאגידי אוגוסט)</t>
  </si>
  <si>
    <t>סה"כ הוצאות שלא שייכות (חובות תאגידים מחודשים קודמים, העברות בין חברות)</t>
  </si>
  <si>
    <t>סה"כ הכנסות בחודש (ספטמבר)</t>
  </si>
  <si>
    <t>✱ יתרת פאנג יוני: צ׳ק 24/09/2026 ירד ✅ · נותר צ׳ק 25/10/2026</t>
  </si>
  <si>
    <t>מועדי תשלום קבועים לתאגידים: עוצמת התמרון - ה-15 לחודש · פניני התכלת - ה-20 לחודש · יוחאי - ה-20 לחודש · שי-לי - ה-25 לחודש · פוגין - ה-25 לחודש</t>
  </si>
  <si>
    <t>תזרים מזומנים – אוקטובר 2026  |  ישר שירותי קרקע לקבלן ולפועל בע"מ</t>
  </si>
  <si>
    <t>יתרת פתיחה – 01/10/2026</t>
  </si>
  <si>
    <t>01/10/2026</t>
  </si>
  <si>
    <t>עמלה</t>
  </si>
  <si>
    <t>שכירות משרד (ספטמבר: 9,209)</t>
  </si>
  <si>
    <t>עמלות פקיד</t>
  </si>
  <si>
    <t>02/10/2026</t>
  </si>
  <si>
    <t>04/10/2026</t>
  </si>
  <si>
    <t>מס הכנסה - ניכויים</t>
  </si>
  <si>
    <t>חשבון עסקה 40114 - עובדים ספטמבר. ✅ שולם במלואו</t>
  </si>
  <si>
    <t>חשבונית מס 50372</t>
  </si>
  <si>
    <t>BMG כוח אדם - חשבונית אוגוסט 4076</t>
  </si>
  <si>
    <t>✅ שולם במלואו (חן 4076)</t>
  </si>
  <si>
    <t>האחים ישראל - שכירות דירת רבי חייא</t>
  </si>
  <si>
    <t>שכירות דירת עובדים רבי חייא (בעל הבית: האחים ישראל)</t>
  </si>
  <si>
    <t>מ. רוטנברג ובניו - תקבול לקוח</t>
  </si>
  <si>
    <t>על חשבון חשבון עסקה 40094 (יתרה 88,425) - נותרו 8,425 ₪. חשבון עסקה 40120 (66,573) עדיין פתוח</t>
  </si>
  <si>
    <t>חשבון עסקה 40111 - עובדי פסגת ליאם. ✅ שולם במלואו</t>
  </si>
  <si>
    <t>פסגת ליאם כ"א - חשבונית ספטמבר 50156</t>
  </si>
  <si>
    <t>✅ שולם במלואו (חן 50156)</t>
  </si>
  <si>
    <t>החזרי מע"מ לעוסקים</t>
  </si>
  <si>
    <t>פאנג שירותי כח אדם - תשלום חלקי חשבונית אוגוסט 01/002721</t>
  </si>
  <si>
    <t>תשלום חלקי (מתוך 438,316.30) - נותרו 208,316.30 (3 צ׳קים דחויים). ✅ מאומת בבנק 07/10 (חן 2721)</t>
  </si>
  <si>
    <t>אייל גולן עו"ד - ריטיינר חודשי + דיון בבית משפט תיק סבן</t>
  </si>
  <si>
    <t>ריטיינר 3,540 + דיון תיק סבן 1,500 + מע"מ 270 = 5,310 · ✅ הועבר 08/10</t>
  </si>
  <si>
    <t>סה"כ הוצאות שכן שייכות לחודש (שכירות, קבועות, כרטיסי אשראי, מסים)</t>
  </si>
  <si>
    <t>🏢  חוב תאגידים – יתרות פתוחות</t>
  </si>
  <si>
    <t>תאגיד</t>
  </si>
  <si>
    <t>חודש</t>
  </si>
  <si>
    <t>סכום (₪)</t>
  </si>
  <si>
    <t>פאנג</t>
  </si>
  <si>
    <t>🔮 תנועות צפויות עד סוף אוקטובר (טרם ירדו מהבנק)</t>
  </si>
  <si>
    <t>צ׳ק 5000345 · 125,000 ₪ ✅ ירד 24/09  |  נותר צ׳ק 5000346 · 125,000 ₪ ב-25/10  |  ⚠️ לא כלול בסה"כ</t>
  </si>
  <si>
    <t>⏳ שולם 230,000 ₪ ב-07/10/2026 - נותרו 208,316.30 ₪ · צ׳קים דחויים: 5000286 · 69,438 ב-26/11/2026 | 5000287 · 69,438 ב-26/12/2026 | 5000288 · 69,438 ב-26/01/2027 (סה"כ 208,314; פער 2.30 ₪ מול היתרה)</t>
  </si>
  <si>
    <t>פוגין</t>
  </si>
  <si>
    <t>⏳ לתשלום ב-25/10/2026 (חשבונית מס מ-29/09/2026)</t>
  </si>
  <si>
    <t>סה״כ חוב תאגידים - אוגוסט + ספטמבר</t>
  </si>
  <si>
    <t>👤  חוב אישי - שמואל מינסקי</t>
  </si>
  <si>
    <t>סטטוס</t>
  </si>
  <si>
    <t>פאנג – חשבונית 01/002721</t>
  </si>
  <si>
    <t>⏳ שולם 230,000 ב-07/10/2026 · היתרה ב-3 צ׳קים של 69,438 (26/11, 26/12, 26/01) · 🏢 כלול גם בחוב תאגידים למעלה</t>
  </si>
  <si>
    <t>אוקטובר</t>
  </si>
  <si>
    <t>שלום קבאסה – הפרשי מים וחשמל, דירת אשקלון</t>
  </si>
  <si>
    <t>⏳ לתשלום (לפי שמואל, 07/10/2026). רק הפרשי מים וחשמל - ללא שכירות (שכירות אשקלון לא משולמת מספטמבר)</t>
  </si>
  <si>
    <t>פוגין – חשבונית 01/000938</t>
  </si>
  <si>
    <t>⏳ לתשלום 25/10/2026 · 🏢 כלול גם בחוב תאגידים למעלה</t>
  </si>
  <si>
    <t>סה״כ תזרים אוגוסט + ספטמבר</t>
  </si>
  <si>
    <t>חוזר לחשבון (לפי הבנק)</t>
  </si>
  <si>
    <t>חיוב כרטיס (לפי הבנק)</t>
  </si>
  <si>
    <t>דיינרס</t>
  </si>
  <si>
    <t>לפי הבנק</t>
  </si>
  <si>
    <t>פרעון שיק</t>
  </si>
  <si>
    <t>פוגין אינטרנשיונל - חשבונית ספטמבר 01/000938</t>
  </si>
  <si>
    <t>עובדים אוזביקים ספטמבר · 15,477 + מע"מ · מועד תשלום פוגין: ה-25 לחודש</t>
  </si>
  <si>
    <t>פאנג שירותי כח אדם - צ׳ק 5000346 (חשבונית יוני 01/002663)</t>
  </si>
  <si>
    <t>צ׳ק דחוי שני ואחרון לחשבונית יוני</t>
  </si>
  <si>
    <t>יתרה צפויה בסוף אוקטובר (אחרי 230,000 לפאנג אוגוסט, ללא שכירויות/משכורות שטרם נרשמו וללא תקבולי לקוחות - ראה "ממתינים לתשלום")</t>
  </si>
  <si>
    <t>💰  לקוחות חייבים לנו</t>
  </si>
  <si>
    <t>לקוח</t>
  </si>
  <si>
    <t>אמצעי תשלום</t>
  </si>
  <si>
    <t>הערות / סטטוס</t>
  </si>
  <si>
    <t>נטליה הודיה</t>
  </si>
  <si>
    <t>מזומן / נחשון</t>
  </si>
  <si>
    <t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</si>
  <si>
    <t>מצודת השלום</t>
  </si>
  <si>
    <t>עמלות ניכיון צ׳קים באופל בלאנס - לחיוב הלקוח</t>
  </si>
  <si>
    <t>עמלת ניכיון 1,458 (צ׳ק 14291, קבלה 1857 מ-22/07) + עמלת ניכיון 909 (צ׳קים 14297+14298, קבלה 1969 מ-23/08) = 2,367</t>
  </si>
  <si>
    <t>אופיר חנון בניה ופיקוח</t>
  </si>
  <si>
    <t>חשבון עסקה 40094 - עובדים אוגוסט</t>
  </si>
  <si>
    <t>⏳ התקבלו 25,000 ₪ ב-25/09/2026 + 80,000 ₪ ב-06/10/2026 - נותרו 8,425 ₪</t>
  </si>
  <si>
    <t>חשבון עסקה 40089 - עובדים אוגוסט</t>
  </si>
  <si>
    <t>רמא</t>
  </si>
  <si>
    <t>חשבון עסקה 40112 - עובדים ספטמבר</t>
  </si>
  <si>
    <t>⏳ הופק 05/10/2026</t>
  </si>
  <si>
    <t>גרייטדור</t>
  </si>
  <si>
    <t>חשבון עסקה 40113 - עובדים ספטמבר</t>
  </si>
  <si>
    <t>אביאלי אלומיניום</t>
  </si>
  <si>
    <t>חשבון עסקה 40117 - עובדים ספטמבר</t>
  </si>
  <si>
    <t>חשבון עסקה 40118 - עובדים ספטמבר</t>
  </si>
  <si>
    <t>ברגשטיין (בי אנד גי)</t>
  </si>
  <si>
    <t>חשבון עסקה 40119 - עובדים ספטמבר</t>
  </si>
  <si>
    <t>חשבון עסקה 40120 - עובדים ספטמבר</t>
  </si>
  <si>
    <t>ש.ח.ן כרמלי</t>
  </si>
  <si>
    <t>חשבון עסקה 40121 - עובדים ספטמבר</t>
  </si>
  <si>
    <t>שבט בנימין</t>
  </si>
  <si>
    <t>חשבון עסקה 40109 - תאגיד השידור</t>
  </si>
  <si>
    <t>⏳ הופק 22/09/2026. חשבונית מס 50373 הופקה עליו 05/10 (אותו סכום - לא לספור פעמיים)</t>
  </si>
  <si>
    <t>חשבון עסקה 40110 - עובדים אסף ספטמבר</t>
  </si>
  <si>
    <t>⏳ הופק 22/09/2026</t>
  </si>
  <si>
    <t>איבריקה אינטרנשיונל</t>
  </si>
  <si>
    <t>שכירות דירות (אשקלון, אסירי ציון, מיטות קארו 7) - אוקטובר</t>
  </si>
  <si>
    <t>סה"כ לקוחות חייבים לנו</t>
  </si>
  <si>
    <t>📊  סיכום - כמה צריך כדי לסגור הכל</t>
  </si>
  <si>
    <t>+ לקוחות חייבים לנו (צפוי להיכנס)</t>
  </si>
  <si>
    <t>סה"כ משאבים זמינים (בנק + לקוחות)</t>
  </si>
  <si>
    <t>− סה״כ ממתין לתשלום (תאגידי אוגוסט: יתרת פאנג אחרי 230,000 ב-07/10) - לא כולל צ׳ק פאנג יוני השני (125,000 ב-25/10) ו-ISRAEL CARGO (19,770 ב-10/10)</t>
  </si>
  <si>
    <t>✅  עודף אחרי כל התשלומים</t>
  </si>
  <si>
    <t>🏦  גמל - קופות גמל (מגדל + מנורה)</t>
  </si>
  <si>
    <t>עובד</t>
  </si>
  <si>
    <t>קופה</t>
  </si>
  <si>
    <t>יוני (₪)</t>
  </si>
  <si>
    <t>יולי (₪)</t>
  </si>
  <si>
    <t>קארו עדאלה</t>
  </si>
  <si>
    <t>מגדל</t>
  </si>
  <si>
    <t>יואייב נחשון חי</t>
  </si>
  <si>
    <t>מנורה</t>
  </si>
  <si>
    <t>מינסקי שלומי</t>
  </si>
  <si>
    <t>סה"כ גמל (יוני+יולי)</t>
  </si>
  <si>
    <t>ש.ח.ן כרמלי עבוד - תקבול לקוח</t>
  </si>
  <si>
    <t>חשבונית מס 50377 (חשבון עסקה 40121) - עובדים ספטמבר. ✅ שולם במלואו</t>
  </si>
  <si>
    <t>שי-רם חברה לבניה - תקבול לקוח</t>
  </si>
  <si>
    <t>חשבון עסקה 40116 - עובדים ספטמבר. ✅ שולם במלואו</t>
  </si>
  <si>
    <t>חשבון עסקה 40115 - עובדים ספטמבר. ✅ שולם במלואו</t>
  </si>
  <si>
    <t>כיסוי יתרת חובה - החשבון ירד ל-9,896.70- אחרי פאנג ואייל גולן, מטה העבירה 20,000 לסגירת המינוס</t>
  </si>
  <si>
    <t>✅ שולם 08/10/2026 - 77,278 ₪ (חשבונית מס 50377; 47 ₪ יותר מחשבון העסקה 77,231)</t>
  </si>
  <si>
    <t>⏳ לתשלום ב-25/10/2026 (532 שעות × 71 ₪ + מע"מ; אתר הקליר 10, ירושלים)</t>
  </si>
  <si>
    <t>שי-לי</t>
  </si>
  <si>
    <t>⏳ לתשלום ב-25/10/2026 (חשבונית מס מ-30/09/2026; 532 שעות × 71 ₪ + מע"מ)</t>
  </si>
  <si>
    <t>שי-לי – חשבונית 230747</t>
  </si>
  <si>
    <t>שי-לי כח אדם - חשבונית ספטמבר 230747</t>
  </si>
  <si>
    <t>532 שעות × 71 ₪ + מע"מ · אתר הקליר, ירושלים · מועד תשלום שי-לי: ה-25 לחודש</t>
  </si>
  <si>
    <t>ש. מינסקי יזמות</t>
  </si>
  <si>
    <t>⏳ להעברה (כולל מע"מ) - לפי שמואל, 11/10/2026</t>
  </si>
  <si>
    <t>חשבון עסקה 8052</t>
  </si>
  <si>
    <t>⏳ ממתין לתשלום - 1,305.5 שעות × 70 ₪ + מע"מ (גרייטדור 985.5 + ברגשטיין 320)</t>
  </si>
  <si>
    <t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</si>
  <si>
    <t>⏳ ממתין לתשלום (1,305.5 שעות × 70 ₪ + מע"מ; חשבון עסקה מ-30/09/2026)</t>
  </si>
  <si>
    <t>אחים לימור – חשבון עסקה 8052</t>
  </si>
  <si>
    <t>⏳ ממתין לתשלום · 🏢 כלול גם בחוב תאגידים למעלה</t>
  </si>
  <si>
    <t>קבועה | 6 חיובים נפרדים: 2,824.95 / 1,311.54 / 1,121.55 / 848.61 / 515.86 / 352.34</t>
  </si>
  <si>
    <t>איבריקה אינטרנשיונל - שכירות דירות אוקטובר</t>
  </si>
  <si>
    <t>אשקלון, אסירי ציון, מיטות קארו 7 - כולל מע"מ (העברה מבנק הפועלים). ✅ שולם במלואו</t>
  </si>
  <si>
    <t>אחים לימור - שכירות בית צפאפא</t>
  </si>
  <si>
    <t>הכנסת דירה - בית צפאפא (העברה מבנק מזרחי)</t>
  </si>
  <si>
    <t>אחים לימור - שכירות קורצאק</t>
  </si>
  <si>
    <t>הכנסת דירה - קורצאק (העברה מבנק מזרחי)</t>
  </si>
  <si>
    <t>יתרה – 12/10/2026 (מאומת מול הבנק: 68,871.45 ₪)</t>
  </si>
  <si>
    <t>סה"כ הכנסות בחודש (עד 12/10)</t>
  </si>
  <si>
    <t>דוח ממתינים לתשלום  |  נכון ל-12/10/2026  |  ישר שירותי קרקע לקבלן ולפועל בעמ  |  מוצגות רק יתרות פתוחות</t>
  </si>
  <si>
    <t>✅ שולם 11/10/2026 - 13,570 ₪ כולל מע"מ (העברה מבנק הפועלים)</t>
  </si>
  <si>
    <t>יתרה בבנק (12/10/2026) - כולל איבריקה 13,570 ושכירויות אחים לימור 44,840</t>
  </si>
  <si>
    <t>הפקדה לחיסכון - פיקדון 10% להלוואה בערבות מדינה (ישר)</t>
  </si>
  <si>
    <t>פיקדון 10% להלוואה של ישר בערבות מדינה (לאומי). לא הוצאה - הכסף נשאר בבעלות החברה ומשועבד להלוואה. ✅ אושר ע"י שמואל 12/10</t>
  </si>
  <si>
    <t>מטה ופתילים - העברה בין חברות (החזר)</t>
  </si>
  <si>
    <t>החזר למטה של ה-20,000 שהעבירה ב-08/10 לכיסוי המינוס. ✅ אושר ע"י שמואל 12/10</t>
  </si>
  <si>
    <t>העברת משכורת – עדינה קארו</t>
  </si>
  <si>
    <t>✅ מזוהה - עדינה קארו (אסמכתא 240363). ספטמבר: 11,755</t>
  </si>
  <si>
    <t>העברת משכורת – שלמה מינסקי</t>
  </si>
  <si>
    <t>✅ מזוהה - שלמה מינסקי (אסמכתא 240367). ספטמבר: תגמולי מילואים 12,635</t>
  </si>
  <si>
    <t>✅ מזוהה - נחשון (אסמכתא 240366). זו המשכורת המלאה לחודש - אין חלק נוסף (אושר ע"י שמואל 12/10). ספטמבר: 12,514</t>
  </si>
  <si>
    <t>📌 תשלום 1 מתוך 8 שנותרו (אוקטובר 2026 עד מאי 2027) - להעביר ב-10 לחודש · ⏳ ההעברה ממתינה לחתימות (לפי שמואל, 12/10)</t>
  </si>
  <si>
    <t>הערה: הנתונים עד 12/10/2026 מאומתים מול דוח בנק לאומי (68,871.45 ₪, דוח 12/10/2026). ב-11/10 נכנסו איבריקה 13,570 (שכירות אוקטובר) ואחים לימור 15,340 + 29,500 (שכירות בית צפאפא + קורצאק); יצאו ארנונה 6,974.85 (6 חיובים), 3 משכורות 24,515, הפקדה לחיסכון 20,000 והעברה עצמית 20,000. ב-12/10 יצאו שכירויות בית צפאפא 8,850 וקורצאק 12,980. ✅ פאנג אוגוסט: 230,000 ירדו 07/10 - נותרו 208,316.30 ב-3 צ׳קים. ⏳ ISRAEL CARGO LOG 19,770 ₪ (תשלום 1 מתוך 8) - ההעברה ממתינה לחתימות, טרם ירדה בבנק נכון ל-12/10.</t>
  </si>
  <si>
    <t>יוני-אוגוסט</t>
  </si>
  <si>
    <t>רז שרי ייבוא וסחר – חשבוניות 155, 158, 161 (תיווך/שכ"ט)</t>
  </si>
  <si>
    <t>⏳ פתוח - לא שולם (תשלום אחרון 15/06 על חן 152). 155: 4,573.68 (30/06) · 158: 4,014.48 (31/07) · 161: 4,088.70 (31/08). להעברה אחרי ניכוי במקור 5%: 12,139.70</t>
  </si>
  <si>
    <t>💰  סה״כ ממתין לתשלום (יתרת פאנג אוגוסט + פוגין, שי-לי ואחים לימור ספטמבר + שלום קבאסה + ש. מינסקי יזמות + רז שרי)</t>
  </si>
  <si>
    <t>IN264000117</t>
  </si>
  <si>
    <t>⏳ לתשלום ב-20/10/2026 · 321.05 שעות ספטמבר + 96 שעות השלמה לתקן = 417.05 × 72 ₪ = 30,027.60 + מע"מ 5,404.97</t>
  </si>
  <si>
    <t>ד.יוחאי</t>
  </si>
  <si>
    <t>ד.יוחאי – חשבונית IN264000117</t>
  </si>
  <si>
    <t>⏳ לתשלום 20/10/2026 · 🏢 כלול גם בחוב תאגידים למעלה</t>
  </si>
  <si>
    <t>ד.יוחאי - חשבונית ספטמבר IN264000117</t>
  </si>
  <si>
    <t>עובדים זרים ספטמבר · 417.05 שעות × 72 ₪ + מע"מ · מועד תשלום יוחאי: ה-20 לחודש</t>
  </si>
  <si>
    <t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</si>
</sst>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rial"/>
      <scheme val="minor"/>
    </font>
    <font>
      <b/>
      <sz val="14"/>
      <color rgb="FFFFFFFF"/>
      <name val="Arial"/>
    </font>
    <font>
      <sz val="11"/>
      <name val="Arial"/>
    </font>
    <font>
      <b/>
      <sz val="11"/>
      <color rgb="FF1F4E79"/>
      <name val="Arial"/>
    </font>
    <font>
      <sz val="11"/>
      <color theme="1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sz val="10"/>
      <color rgb="FF595959"/>
      <name val="Arial"/>
    </font>
    <font>
      <b/>
      <sz val="12"/>
      <color rgb="FF1F4E79"/>
      <name val="Arial"/>
    </font>
    <font>
      <b/>
      <sz val="11"/>
      <color rgb="FFFFFFFF"/>
      <name val="Arial"/>
    </font>
    <font>
      <sz val="10"/>
      <color rgb="FF375623"/>
      <name val="Arial"/>
    </font>
    <font>
      <sz val="10"/>
      <color rgb="FFC00000"/>
      <name val="Arial"/>
    </font>
    <font>
      <b/>
      <sz val="10"/>
      <color rgb="FFC00000"/>
      <name val="Arial"/>
    </font>
    <font>
      <sz val="9"/>
      <color rgb="FF595959"/>
      <name val="Arial"/>
    </font>
    <font>
      <sz val="11"/>
      <color rgb="FF595959"/>
      <name val="Arial"/>
    </font>
    <font>
      <b/>
      <sz val="10"/>
      <color rgb="FF1F4E79"/>
      <name val="Arial"/>
    </font>
    <font>
      <b/>
      <sz val="10"/>
      <color rgb="FF595959"/>
      <name val="Arial"/>
    </font>
    <font>
      <b/>
      <sz val="11"/>
      <color rgb="FF595959"/>
      <name val="Arial"/>
    </font>
    <font>
      <b/>
      <sz val="11"/>
      <color theme="1"/>
      <name val="Arial"/>
    </font>
    <font>
      <sz val="11"/>
      <color rgb="FF1F4E79"/>
      <name val="Arial"/>
    </font>
    <font>
      <b/>
      <sz val="13"/>
      <color rgb="FF8B0000"/>
      <name val="Arial"/>
    </font>
    <font>
      <i/>
      <sz val="11"/>
      <color theme="1"/>
      <name val="Arial"/>
    </font>
    <font>
      <i/>
      <sz val="10"/>
      <color rgb="FF595959"/>
      <name val="Arial"/>
    </font>
    <font>
      <i/>
      <sz val="10"/>
      <color rgb="FF375623"/>
      <name val="Arial"/>
    </font>
    <font>
      <i/>
      <sz val="10"/>
      <color rgb="FFC00000"/>
      <name val="Arial"/>
    </font>
    <font>
      <b/>
      <i/>
      <sz val="10"/>
      <color rgb="FFC00000"/>
      <name val="Arial"/>
    </font>
    <font>
      <b/>
      <sz val="11"/>
      <color rgb="FF000000"/>
      <name val="Arial"/>
    </font>
    <font>
      <i/>
      <sz val="11"/>
      <color rgb="FF595959"/>
      <name val="Arial"/>
    </font>
    <font>
      <b/>
      <sz val="11"/>
      <color rgb="FFC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2E5D8C"/>
        <bgColor rgb="FF2E5D8C"/>
      </patternFill>
    </fill>
    <fill>
      <patternFill patternType="solid">
        <fgColor rgb="FFFCE4D6"/>
        <bgColor rgb="FFFCE4D6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FFF2CC"/>
        <bgColor rgb="FFFFF2CC"/>
      </patternFill>
    </fill>
    <fill>
      <patternFill patternType="solid">
        <fgColor rgb="FFF5F5F5"/>
        <bgColor rgb="FFF5F5F5"/>
      </patternFill>
    </fill>
    <fill>
      <patternFill patternType="solid">
        <fgColor rgb="FFFFE699"/>
        <bgColor rgb="FFFFE699"/>
      </patternFill>
    </fill>
    <fill>
      <patternFill patternType="solid">
        <fgColor rgb="FFF3E5FF"/>
        <bgColor rgb="FFF3E5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7">
    <xf numFmtId="0" fontId="0" fillId="0" borderId="0" xfId="0"/>
    <xf numFmtId="4" fontId="3" fillId="3" borderId="4" xfId="0" applyNumberFormat="1" applyFont="1" applyFill="1" applyBorder="1" applyAlignment="1">
      <alignment horizontal="center" readingOrder="2"/>
    </xf>
    <xf numFmtId="0" fontId="4" fillId="3" borderId="4" xfId="0" applyFont="1" applyFill="1" applyBorder="1"/>
    <xf numFmtId="0" fontId="6" fillId="4" borderId="4" xfId="0" applyFont="1" applyFill="1" applyBorder="1" applyAlignment="1">
      <alignment horizontal="center" readingOrder="2"/>
    </xf>
    <xf numFmtId="0" fontId="6" fillId="4" borderId="4" xfId="0" applyFont="1" applyFill="1" applyBorder="1" applyAlignment="1">
      <alignment horizontal="right" readingOrder="2"/>
    </xf>
    <xf numFmtId="0" fontId="7" fillId="5" borderId="4" xfId="0" applyFont="1" applyFill="1" applyBorder="1" applyAlignment="1">
      <alignment horizontal="center" readingOrder="2"/>
    </xf>
    <xf numFmtId="0" fontId="7" fillId="5" borderId="4" xfId="0" applyFont="1" applyFill="1" applyBorder="1" applyAlignment="1">
      <alignment horizontal="right" readingOrder="2"/>
    </xf>
    <xf numFmtId="0" fontId="9" fillId="4" borderId="4" xfId="0" applyFont="1" applyFill="1" applyBorder="1"/>
    <xf numFmtId="4" fontId="10" fillId="5" borderId="4" xfId="0" applyNumberFormat="1" applyFont="1" applyFill="1" applyBorder="1" applyAlignment="1">
      <alignment horizontal="center" readingOrder="2"/>
    </xf>
    <xf numFmtId="4" fontId="11" fillId="5" borderId="4" xfId="0" applyNumberFormat="1" applyFont="1" applyFill="1" applyBorder="1" applyAlignment="1">
      <alignment horizontal="center" readingOrder="2"/>
    </xf>
    <xf numFmtId="49" fontId="7" fillId="6" borderId="4" xfId="0" applyNumberFormat="1" applyFont="1" applyFill="1" applyBorder="1" applyAlignment="1">
      <alignment horizontal="center" readingOrder="2"/>
    </xf>
    <xf numFmtId="4" fontId="12" fillId="5" borderId="4" xfId="0" applyNumberFormat="1" applyFont="1" applyFill="1" applyBorder="1" applyAlignment="1">
      <alignment horizontal="center" readingOrder="2"/>
    </xf>
    <xf numFmtId="0" fontId="7" fillId="6" borderId="4" xfId="0" applyFont="1" applyFill="1" applyBorder="1" applyAlignment="1">
      <alignment horizontal="right" readingOrder="2"/>
    </xf>
    <xf numFmtId="0" fontId="13" fillId="5" borderId="4" xfId="0" applyFont="1" applyFill="1" applyBorder="1" applyAlignment="1">
      <alignment horizontal="right" readingOrder="2"/>
    </xf>
    <xf numFmtId="0" fontId="7" fillId="7" borderId="4" xfId="0" applyFont="1" applyFill="1" applyBorder="1" applyAlignment="1">
      <alignment horizontal="right" readingOrder="2"/>
    </xf>
    <xf numFmtId="4" fontId="10" fillId="6" borderId="4" xfId="0" applyNumberFormat="1" applyFont="1" applyFill="1" applyBorder="1" applyAlignment="1">
      <alignment horizontal="center" readingOrder="2"/>
    </xf>
    <xf numFmtId="0" fontId="7" fillId="6" borderId="4" xfId="0" applyFont="1" applyFill="1" applyBorder="1" applyAlignment="1">
      <alignment horizontal="center" readingOrder="2"/>
    </xf>
    <xf numFmtId="4" fontId="12" fillId="5" borderId="4" xfId="0" applyNumberFormat="1" applyFont="1" applyFill="1" applyBorder="1" applyAlignment="1">
      <alignment horizontal="right" readingOrder="2"/>
    </xf>
    <xf numFmtId="4" fontId="11" fillId="6" borderId="4" xfId="0" applyNumberFormat="1" applyFont="1" applyFill="1" applyBorder="1" applyAlignment="1">
      <alignment horizontal="center" readingOrder="2"/>
    </xf>
    <xf numFmtId="4" fontId="12" fillId="6" borderId="4" xfId="0" applyNumberFormat="1" applyFont="1" applyFill="1" applyBorder="1" applyAlignment="1">
      <alignment horizontal="center" readingOrder="2"/>
    </xf>
    <xf numFmtId="0" fontId="7" fillId="7" borderId="4" xfId="0" applyFont="1" applyFill="1" applyBorder="1" applyAlignment="1">
      <alignment horizontal="center" readingOrder="2"/>
    </xf>
    <xf numFmtId="0" fontId="13" fillId="6" borderId="4" xfId="0" applyFont="1" applyFill="1" applyBorder="1" applyAlignment="1">
      <alignment horizontal="right" readingOrder="2"/>
    </xf>
    <xf numFmtId="0" fontId="14" fillId="5" borderId="4" xfId="0" applyFont="1" applyFill="1" applyBorder="1"/>
    <xf numFmtId="4" fontId="7" fillId="7" borderId="4" xfId="0" applyNumberFormat="1" applyFont="1" applyFill="1" applyBorder="1" applyAlignment="1">
      <alignment horizontal="center" readingOrder="2"/>
    </xf>
    <xf numFmtId="4" fontId="10" fillId="7" borderId="4" xfId="0" applyNumberFormat="1" applyFont="1" applyFill="1" applyBorder="1" applyAlignment="1">
      <alignment horizontal="center" readingOrder="2"/>
    </xf>
    <xf numFmtId="4" fontId="12" fillId="6" borderId="4" xfId="0" applyNumberFormat="1" applyFont="1" applyFill="1" applyBorder="1" applyAlignment="1">
      <alignment horizontal="right" readingOrder="2"/>
    </xf>
    <xf numFmtId="0" fontId="14" fillId="6" borderId="4" xfId="0" applyFont="1" applyFill="1" applyBorder="1"/>
    <xf numFmtId="4" fontId="11" fillId="7" borderId="4" xfId="0" applyNumberFormat="1" applyFont="1" applyFill="1" applyBorder="1" applyAlignment="1">
      <alignment horizontal="center" readingOrder="2"/>
    </xf>
    <xf numFmtId="4" fontId="15" fillId="7" borderId="4" xfId="0" applyNumberFormat="1" applyFont="1" applyFill="1" applyBorder="1" applyAlignment="1">
      <alignment horizontal="center" readingOrder="2"/>
    </xf>
    <xf numFmtId="4" fontId="12" fillId="7" borderId="4" xfId="0" applyNumberFormat="1" applyFont="1" applyFill="1" applyBorder="1" applyAlignment="1">
      <alignment horizontal="center" readingOrder="2"/>
    </xf>
    <xf numFmtId="0" fontId="13" fillId="7" borderId="4" xfId="0" applyFont="1" applyFill="1" applyBorder="1" applyAlignment="1">
      <alignment horizontal="right" readingOrder="2"/>
    </xf>
    <xf numFmtId="4" fontId="12" fillId="7" borderId="4" xfId="0" applyNumberFormat="1" applyFont="1" applyFill="1" applyBorder="1" applyAlignment="1">
      <alignment horizontal="right" readingOrder="2"/>
    </xf>
    <xf numFmtId="0" fontId="7" fillId="8" borderId="4" xfId="0" applyFont="1" applyFill="1" applyBorder="1" applyAlignment="1">
      <alignment horizontal="right" readingOrder="2"/>
    </xf>
    <xf numFmtId="0" fontId="14" fillId="7" borderId="4" xfId="0" applyFont="1" applyFill="1" applyBorder="1"/>
    <xf numFmtId="0" fontId="7" fillId="8" borderId="4" xfId="0" applyFont="1" applyFill="1" applyBorder="1" applyAlignment="1">
      <alignment horizontal="center" readingOrder="2"/>
    </xf>
    <xf numFmtId="4" fontId="7" fillId="8" borderId="4" xfId="0" applyNumberFormat="1" applyFont="1" applyFill="1" applyBorder="1" applyAlignment="1">
      <alignment horizontal="center" readingOrder="2"/>
    </xf>
    <xf numFmtId="4" fontId="15" fillId="7" borderId="4" xfId="0" applyNumberFormat="1" applyFont="1" applyFill="1" applyBorder="1" applyAlignment="1">
      <alignment horizontal="right" readingOrder="2"/>
    </xf>
    <xf numFmtId="4" fontId="10" fillId="8" borderId="4" xfId="0" applyNumberFormat="1" applyFont="1" applyFill="1" applyBorder="1" applyAlignment="1">
      <alignment horizontal="center" readingOrder="2"/>
    </xf>
    <xf numFmtId="49" fontId="7" fillId="7" borderId="4" xfId="0" applyNumberFormat="1" applyFont="1" applyFill="1" applyBorder="1" applyAlignment="1">
      <alignment horizontal="center" readingOrder="2"/>
    </xf>
    <xf numFmtId="4" fontId="12" fillId="8" borderId="4" xfId="0" applyNumberFormat="1" applyFont="1" applyFill="1" applyBorder="1" applyAlignment="1">
      <alignment horizontal="center" readingOrder="2"/>
    </xf>
    <xf numFmtId="0" fontId="13" fillId="8" borderId="4" xfId="0" applyFont="1" applyFill="1" applyBorder="1" applyAlignment="1">
      <alignment horizontal="right" readingOrder="2"/>
    </xf>
    <xf numFmtId="4" fontId="15" fillId="6" borderId="4" xfId="0" applyNumberFormat="1" applyFont="1" applyFill="1" applyBorder="1" applyAlignment="1">
      <alignment horizontal="right" readingOrder="2"/>
    </xf>
    <xf numFmtId="49" fontId="7" fillId="8" borderId="4" xfId="0" applyNumberFormat="1" applyFont="1" applyFill="1" applyBorder="1" applyAlignment="1">
      <alignment horizontal="center" readingOrder="2"/>
    </xf>
    <xf numFmtId="0" fontId="3" fillId="9" borderId="4" xfId="0" applyFont="1" applyFill="1" applyBorder="1" applyAlignment="1">
      <alignment horizontal="right" readingOrder="2"/>
    </xf>
    <xf numFmtId="0" fontId="3" fillId="9" borderId="4" xfId="0" applyFont="1" applyFill="1" applyBorder="1" applyAlignment="1">
      <alignment horizontal="center" readingOrder="2"/>
    </xf>
    <xf numFmtId="4" fontId="3" fillId="9" borderId="4" xfId="0" applyNumberFormat="1" applyFont="1" applyFill="1" applyBorder="1" applyAlignment="1">
      <alignment horizontal="center" readingOrder="2"/>
    </xf>
    <xf numFmtId="4" fontId="15" fillId="5" borderId="4" xfId="0" applyNumberFormat="1" applyFont="1" applyFill="1" applyBorder="1" applyAlignment="1">
      <alignment horizontal="right" readingOrder="2"/>
    </xf>
    <xf numFmtId="49" fontId="7" fillId="5" borderId="4" xfId="0" applyNumberFormat="1" applyFont="1" applyFill="1" applyBorder="1" applyAlignment="1">
      <alignment horizontal="center" readingOrder="2"/>
    </xf>
    <xf numFmtId="0" fontId="7" fillId="10" borderId="4" xfId="0" applyFont="1" applyFill="1" applyBorder="1" applyAlignment="1">
      <alignment horizontal="right" readingOrder="2"/>
    </xf>
    <xf numFmtId="0" fontId="7" fillId="10" borderId="4" xfId="0" applyFont="1" applyFill="1" applyBorder="1" applyAlignment="1">
      <alignment horizontal="center" readingOrder="2"/>
    </xf>
    <xf numFmtId="4" fontId="7" fillId="10" borderId="4" xfId="0" applyNumberFormat="1" applyFont="1" applyFill="1" applyBorder="1" applyAlignment="1">
      <alignment horizontal="center" readingOrder="2"/>
    </xf>
    <xf numFmtId="4" fontId="10" fillId="10" borderId="4" xfId="0" applyNumberFormat="1" applyFont="1" applyFill="1" applyBorder="1" applyAlignment="1">
      <alignment horizontal="center" readingOrder="2"/>
    </xf>
    <xf numFmtId="4" fontId="12" fillId="10" borderId="4" xfId="0" applyNumberFormat="1" applyFont="1" applyFill="1" applyBorder="1" applyAlignment="1">
      <alignment horizontal="center" readingOrder="2"/>
    </xf>
    <xf numFmtId="0" fontId="13" fillId="10" borderId="4" xfId="0" applyFont="1" applyFill="1" applyBorder="1" applyAlignment="1">
      <alignment horizontal="right" readingOrder="2"/>
    </xf>
    <xf numFmtId="14" fontId="7" fillId="8" borderId="4" xfId="0" quotePrefix="1" applyNumberFormat="1" applyFont="1" applyFill="1" applyBorder="1" applyAlignment="1">
      <alignment horizontal="center" readingOrder="2"/>
    </xf>
    <xf numFmtId="4" fontId="7" fillId="6" borderId="4" xfId="0" applyNumberFormat="1" applyFont="1" applyFill="1" applyBorder="1" applyAlignment="1">
      <alignment horizontal="center" readingOrder="2"/>
    </xf>
    <xf numFmtId="4" fontId="16" fillId="6" borderId="4" xfId="0" applyNumberFormat="1" applyFont="1" applyFill="1" applyBorder="1" applyAlignment="1">
      <alignment horizontal="right" readingOrder="2"/>
    </xf>
    <xf numFmtId="4" fontId="15" fillId="6" borderId="4" xfId="0" applyNumberFormat="1" applyFont="1" applyFill="1" applyBorder="1" applyAlignment="1">
      <alignment horizontal="center" readingOrder="2"/>
    </xf>
    <xf numFmtId="0" fontId="4" fillId="0" borderId="0" xfId="0" applyFont="1"/>
    <xf numFmtId="14" fontId="7" fillId="7" borderId="4" xfId="0" applyNumberFormat="1" applyFont="1" applyFill="1" applyBorder="1" applyAlignment="1">
      <alignment horizontal="center" readingOrder="2"/>
    </xf>
    <xf numFmtId="4" fontId="7" fillId="5" borderId="4" xfId="0" applyNumberFormat="1" applyFont="1" applyFill="1" applyBorder="1" applyAlignment="1">
      <alignment horizontal="center" readingOrder="2"/>
    </xf>
    <xf numFmtId="4" fontId="16" fillId="5" borderId="4" xfId="0" applyNumberFormat="1" applyFont="1" applyFill="1" applyBorder="1" applyAlignment="1">
      <alignment horizontal="right" readingOrder="2"/>
    </xf>
    <xf numFmtId="4" fontId="16" fillId="7" borderId="4" xfId="0" applyNumberFormat="1" applyFont="1" applyFill="1" applyBorder="1" applyAlignment="1">
      <alignment horizontal="right" readingOrder="2"/>
    </xf>
    <xf numFmtId="49" fontId="17" fillId="5" borderId="4" xfId="0" applyNumberFormat="1" applyFont="1" applyFill="1" applyBorder="1" applyAlignment="1">
      <alignment horizontal="right" readingOrder="2"/>
    </xf>
    <xf numFmtId="4" fontId="14" fillId="5" borderId="4" xfId="0" applyNumberFormat="1" applyFont="1" applyFill="1" applyBorder="1"/>
    <xf numFmtId="4" fontId="17" fillId="5" borderId="4" xfId="0" applyNumberFormat="1" applyFont="1" applyFill="1" applyBorder="1" applyAlignment="1">
      <alignment horizontal="right" readingOrder="2"/>
    </xf>
    <xf numFmtId="0" fontId="7" fillId="5" borderId="4" xfId="0" applyFont="1" applyFill="1" applyBorder="1" applyAlignment="1">
      <alignment horizontal="right"/>
    </xf>
    <xf numFmtId="49" fontId="14" fillId="5" borderId="4" xfId="0" applyNumberFormat="1" applyFont="1" applyFill="1" applyBorder="1"/>
    <xf numFmtId="4" fontId="17" fillId="5" borderId="4" xfId="0" applyNumberFormat="1" applyFont="1" applyFill="1" applyBorder="1" applyAlignment="1">
      <alignment horizontal="right"/>
    </xf>
    <xf numFmtId="0" fontId="17" fillId="7" borderId="4" xfId="0" applyFont="1" applyFill="1" applyBorder="1" applyAlignment="1">
      <alignment horizontal="right"/>
    </xf>
    <xf numFmtId="0" fontId="7" fillId="7" borderId="4" xfId="0" applyFont="1" applyFill="1" applyBorder="1" applyAlignment="1">
      <alignment horizontal="right"/>
    </xf>
    <xf numFmtId="0" fontId="17" fillId="5" borderId="4" xfId="0" applyFont="1" applyFill="1" applyBorder="1" applyAlignment="1">
      <alignment horizontal="right"/>
    </xf>
    <xf numFmtId="0" fontId="8" fillId="3" borderId="4" xfId="0" applyFont="1" applyFill="1" applyBorder="1" applyAlignment="1">
      <alignment horizontal="right" readingOrder="2"/>
    </xf>
    <xf numFmtId="4" fontId="4" fillId="3" borderId="4" xfId="0" applyNumberFormat="1" applyFont="1" applyFill="1" applyBorder="1"/>
    <xf numFmtId="0" fontId="3" fillId="9" borderId="4" xfId="0" quotePrefix="1" applyFont="1" applyFill="1" applyBorder="1" applyAlignment="1">
      <alignment horizontal="center" readingOrder="2"/>
    </xf>
    <xf numFmtId="49" fontId="14" fillId="7" borderId="4" xfId="0" applyNumberFormat="1" applyFont="1" applyFill="1" applyBorder="1"/>
    <xf numFmtId="0" fontId="18" fillId="0" borderId="0" xfId="0" applyFont="1" applyAlignment="1">
      <alignment horizontal="right"/>
    </xf>
    <xf numFmtId="0" fontId="8" fillId="3" borderId="4" xfId="0" applyFont="1" applyFill="1" applyBorder="1" applyAlignment="1">
      <alignment horizontal="center" readingOrder="2"/>
    </xf>
    <xf numFmtId="0" fontId="3" fillId="3" borderId="4" xfId="0" applyFont="1" applyFill="1" applyBorder="1"/>
    <xf numFmtId="4" fontId="8" fillId="3" borderId="4" xfId="0" applyNumberFormat="1" applyFont="1" applyFill="1" applyBorder="1" applyAlignment="1">
      <alignment horizontal="center" readingOrder="2"/>
    </xf>
    <xf numFmtId="0" fontId="19" fillId="3" borderId="4" xfId="0" applyFont="1" applyFill="1" applyBorder="1"/>
    <xf numFmtId="4" fontId="6" fillId="4" borderId="4" xfId="0" applyNumberFormat="1" applyFont="1" applyFill="1" applyBorder="1" applyAlignment="1">
      <alignment horizontal="center" readingOrder="2"/>
    </xf>
    <xf numFmtId="4" fontId="4" fillId="0" borderId="0" xfId="0" applyNumberFormat="1" applyFont="1"/>
    <xf numFmtId="4" fontId="19" fillId="3" borderId="4" xfId="0" applyNumberFormat="1" applyFont="1" applyFill="1" applyBorder="1"/>
    <xf numFmtId="4" fontId="18" fillId="0" borderId="0" xfId="0" applyNumberFormat="1" applyFont="1" applyAlignment="1">
      <alignment horizontal="right"/>
    </xf>
    <xf numFmtId="0" fontId="19" fillId="3" borderId="4" xfId="0" applyFont="1" applyFill="1" applyBorder="1" applyAlignment="1">
      <alignment horizontal="right"/>
    </xf>
    <xf numFmtId="4" fontId="19" fillId="3" borderId="4" xfId="0" applyNumberFormat="1" applyFont="1" applyFill="1" applyBorder="1" applyAlignment="1">
      <alignment horizontal="right"/>
    </xf>
    <xf numFmtId="4" fontId="20" fillId="11" borderId="4" xfId="0" applyNumberFormat="1" applyFont="1" applyFill="1" applyBorder="1" applyAlignment="1">
      <alignment horizontal="center" readingOrder="2"/>
    </xf>
    <xf numFmtId="0" fontId="4" fillId="11" borderId="4" xfId="0" applyFont="1" applyFill="1" applyBorder="1"/>
    <xf numFmtId="0" fontId="21" fillId="0" borderId="0" xfId="0" applyFont="1"/>
    <xf numFmtId="0" fontId="7" fillId="12" borderId="4" xfId="0" applyFont="1" applyFill="1" applyBorder="1" applyAlignment="1">
      <alignment horizontal="right" readingOrder="2"/>
    </xf>
    <xf numFmtId="0" fontId="7" fillId="12" borderId="4" xfId="0" applyFont="1" applyFill="1" applyBorder="1" applyAlignment="1">
      <alignment horizontal="center" readingOrder="2"/>
    </xf>
    <xf numFmtId="4" fontId="12" fillId="12" borderId="4" xfId="0" applyNumberFormat="1" applyFont="1" applyFill="1" applyBorder="1" applyAlignment="1">
      <alignment horizontal="center" readingOrder="2"/>
    </xf>
    <xf numFmtId="0" fontId="13" fillId="12" borderId="4" xfId="0" applyFont="1" applyFill="1" applyBorder="1" applyAlignment="1">
      <alignment horizontal="right" readingOrder="2"/>
    </xf>
    <xf numFmtId="4" fontId="6" fillId="4" borderId="4" xfId="0" applyNumberFormat="1" applyFont="1" applyFill="1" applyBorder="1" applyAlignment="1">
      <alignment horizontal="right" readingOrder="2"/>
    </xf>
    <xf numFmtId="14" fontId="22" fillId="6" borderId="4" xfId="0" applyNumberFormat="1" applyFont="1" applyFill="1" applyBorder="1" applyAlignment="1">
      <alignment horizontal="center" readingOrder="2"/>
    </xf>
    <xf numFmtId="0" fontId="22" fillId="6" borderId="4" xfId="0" applyFont="1" applyFill="1" applyBorder="1" applyAlignment="1">
      <alignment horizontal="right" readingOrder="2"/>
    </xf>
    <xf numFmtId="4" fontId="23" fillId="6" borderId="4" xfId="0" applyNumberFormat="1" applyFont="1" applyFill="1" applyBorder="1" applyAlignment="1">
      <alignment horizontal="center" readingOrder="2"/>
    </xf>
    <xf numFmtId="4" fontId="24" fillId="6" borderId="4" xfId="0" applyNumberFormat="1" applyFont="1" applyFill="1" applyBorder="1" applyAlignment="1">
      <alignment horizontal="center" readingOrder="2"/>
    </xf>
    <xf numFmtId="0" fontId="4" fillId="9" borderId="4" xfId="0" applyFont="1" applyFill="1" applyBorder="1"/>
    <xf numFmtId="4" fontId="25" fillId="6" borderId="4" xfId="0" applyNumberFormat="1" applyFont="1" applyFill="1" applyBorder="1" applyAlignment="1">
      <alignment horizontal="right" readingOrder="2"/>
    </xf>
    <xf numFmtId="0" fontId="5" fillId="6" borderId="4" xfId="0" applyFont="1" applyFill="1" applyBorder="1" applyAlignment="1">
      <alignment horizontal="right" readingOrder="2"/>
    </xf>
    <xf numFmtId="0" fontId="22" fillId="6" borderId="4" xfId="0" applyFont="1" applyFill="1" applyBorder="1" applyAlignment="1">
      <alignment horizontal="center" readingOrder="2"/>
    </xf>
    <xf numFmtId="4" fontId="26" fillId="0" borderId="0" xfId="0" applyNumberFormat="1" applyFont="1" applyAlignment="1">
      <alignment horizontal="right" readingOrder="2"/>
    </xf>
    <xf numFmtId="0" fontId="27" fillId="6" borderId="4" xfId="0" applyFont="1" applyFill="1" applyBorder="1"/>
    <xf numFmtId="4" fontId="7" fillId="12" borderId="4" xfId="0" applyNumberFormat="1" applyFont="1" applyFill="1" applyBorder="1" applyAlignment="1">
      <alignment horizontal="right" readingOrder="2"/>
    </xf>
    <xf numFmtId="0" fontId="7" fillId="0" borderId="0" xfId="0" applyFont="1" applyAlignment="1">
      <alignment horizontal="center" readingOrder="2"/>
    </xf>
    <xf numFmtId="0" fontId="9" fillId="4" borderId="5" xfId="0" applyFont="1" applyFill="1" applyBorder="1"/>
    <xf numFmtId="0" fontId="9" fillId="4" borderId="5" xfId="0" applyFont="1" applyFill="1" applyBorder="1" applyAlignment="1">
      <alignment horizontal="right"/>
    </xf>
    <xf numFmtId="0" fontId="4" fillId="0" borderId="5" xfId="0" applyFont="1" applyBorder="1"/>
    <xf numFmtId="0" fontId="14" fillId="12" borderId="5" xfId="0" applyFont="1" applyFill="1" applyBorder="1"/>
    <xf numFmtId="4" fontId="28" fillId="12" borderId="5" xfId="0" applyNumberFormat="1" applyFont="1" applyFill="1" applyBorder="1"/>
    <xf numFmtId="0" fontId="14" fillId="12" borderId="5" xfId="0" applyFont="1" applyFill="1" applyBorder="1" applyAlignment="1">
      <alignment horizontal="right"/>
    </xf>
    <xf numFmtId="0" fontId="3" fillId="9" borderId="5" xfId="0" applyFont="1" applyFill="1" applyBorder="1"/>
    <xf numFmtId="0" fontId="19" fillId="9" borderId="5" xfId="0" applyFont="1" applyFill="1" applyBorder="1"/>
    <xf numFmtId="4" fontId="3" fillId="9" borderId="5" xfId="0" applyNumberFormat="1" applyFont="1" applyFill="1" applyBorder="1"/>
    <xf numFmtId="0" fontId="19" fillId="9" borderId="5" xfId="0" applyFont="1" applyFill="1" applyBorder="1" applyAlignment="1">
      <alignment horizontal="right"/>
    </xf>
    <xf numFmtId="0" fontId="3" fillId="9" borderId="4" xfId="0" applyFont="1" applyFill="1" applyBorder="1"/>
    <xf numFmtId="4" fontId="3" fillId="9" borderId="4" xfId="0" applyNumberFormat="1" applyFont="1" applyFill="1" applyBorder="1"/>
    <xf numFmtId="0" fontId="20" fillId="11" borderId="4" xfId="0" applyFont="1" applyFill="1" applyBorder="1"/>
    <xf numFmtId="4" fontId="20" fillId="11" borderId="4" xfId="0" applyNumberFormat="1" applyFont="1" applyFill="1" applyBorder="1"/>
    <xf numFmtId="0" fontId="18" fillId="0" borderId="0" xfId="0" applyFont="1"/>
    <xf numFmtId="0" fontId="26" fillId="0" borderId="0" xfId="0" applyFont="1"/>
    <xf numFmtId="4" fontId="18" fillId="0" borderId="0" xfId="0" applyNumberFormat="1" applyFont="1"/>
    <xf numFmtId="14" fontId="7" fillId="8" borderId="4" xfId="0" applyNumberFormat="1" applyFont="1" applyFill="1" applyBorder="1" applyAlignment="1">
      <alignment horizontal="center" readingOrder="2"/>
    </xf>
    <xf numFmtId="14" fontId="3" fillId="9" borderId="4" xfId="0" quotePrefix="1" applyNumberFormat="1" applyFont="1" applyFill="1" applyBorder="1" applyAlignment="1">
      <alignment horizontal="center" readingOrder="2"/>
    </xf>
    <xf numFmtId="0" fontId="8" fillId="3" borderId="1" xfId="0" applyFont="1" applyFill="1" applyBorder="1" applyAlignment="1">
      <alignment horizontal="right" readingOrder="2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 readingOrder="2"/>
    </xf>
    <xf numFmtId="0" fontId="0" fillId="0" borderId="0" xfId="0"/>
    <xf numFmtId="0" fontId="20" fillId="11" borderId="1" xfId="0" applyFont="1" applyFill="1" applyBorder="1" applyAlignment="1">
      <alignment horizontal="right" readingOrder="2"/>
    </xf>
    <xf numFmtId="0" fontId="3" fillId="3" borderId="1" xfId="0" applyFont="1" applyFill="1" applyBorder="1" applyAlignment="1">
      <alignment horizontal="right" readingOrder="2"/>
    </xf>
    <xf numFmtId="0" fontId="4" fillId="0" borderId="0" xfId="0" applyFont="1" applyAlignment="1">
      <alignment horizontal="right" wrapText="1"/>
    </xf>
    <xf numFmtId="0" fontId="3" fillId="3" borderId="1" xfId="0" applyFont="1" applyFill="1" applyBorder="1" applyAlignment="1">
      <alignment horizontal="right"/>
    </xf>
    <xf numFmtId="0" fontId="3" fillId="9" borderId="1" xfId="0" applyFont="1" applyFill="1" applyBorder="1" applyAlignment="1">
      <alignment horizontal="right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25"/>
  <sheetViews>
    <sheetView rightToLeft="1" tabSelected="1" topLeftCell="A65" workbookViewId="0">
      <selection activeCell="A81" sqref="A81:XFD81"/>
    </sheetView>
  </sheetViews>
  <sheetFormatPr defaultColWidth="12.625" defaultRowHeight="15" customHeight="1" x14ac:dyDescent="0.2"/>
  <cols>
    <col min="1" max="2" width="16" customWidth="1"/>
    <col min="3" max="3" width="42.625" customWidth="1"/>
    <col min="4" max="6" width="15" customWidth="1"/>
    <col min="7" max="7" width="62" customWidth="1"/>
    <col min="8" max="26" width="8.625" customWidth="1"/>
  </cols>
  <sheetData>
    <row r="1" spans="1:7" ht="24" customHeight="1" x14ac:dyDescent="0.2">
      <c r="A1" s="129" t="s">
        <v>1</v>
      </c>
      <c r="B1" s="127"/>
      <c r="C1" s="127"/>
      <c r="D1" s="127"/>
      <c r="E1" s="127"/>
      <c r="F1" s="127"/>
      <c r="G1" s="128"/>
    </row>
    <row r="2" spans="1:7" ht="14.25" customHeight="1" x14ac:dyDescent="0.2">
      <c r="A2" s="130" t="s">
        <v>7</v>
      </c>
      <c r="B2" s="131"/>
      <c r="C2" s="131"/>
      <c r="D2" s="131"/>
      <c r="E2" s="131"/>
      <c r="F2" s="131"/>
      <c r="G2" s="131"/>
    </row>
    <row r="3" spans="1:7" ht="14.25" customHeight="1" x14ac:dyDescent="0.2"/>
    <row r="4" spans="1:7" ht="14.25" customHeight="1" x14ac:dyDescent="0.25">
      <c r="A4" s="126" t="s">
        <v>13</v>
      </c>
      <c r="B4" s="127"/>
      <c r="C4" s="127"/>
      <c r="D4" s="127"/>
      <c r="E4" s="127"/>
      <c r="F4" s="127"/>
      <c r="G4" s="128"/>
    </row>
    <row r="5" spans="1:7" ht="14.25" customHeight="1" x14ac:dyDescent="0.2">
      <c r="A5" s="3" t="s">
        <v>19</v>
      </c>
      <c r="B5" s="3" t="s">
        <v>20</v>
      </c>
      <c r="C5" s="3" t="s">
        <v>8</v>
      </c>
      <c r="D5" s="3" t="s">
        <v>21</v>
      </c>
      <c r="E5" s="3" t="s">
        <v>24</v>
      </c>
      <c r="F5" s="3" t="s">
        <v>12</v>
      </c>
      <c r="G5" s="3" t="s">
        <v>26</v>
      </c>
    </row>
    <row r="6" spans="1:7" ht="14.25" customHeight="1" x14ac:dyDescent="0.2">
      <c r="A6" s="14" t="s">
        <v>28</v>
      </c>
      <c r="B6" s="20" t="s">
        <v>31</v>
      </c>
      <c r="C6" s="20" t="s">
        <v>36</v>
      </c>
      <c r="D6" s="23">
        <v>25058.5</v>
      </c>
      <c r="E6" s="24">
        <v>25058.5</v>
      </c>
      <c r="F6" s="29">
        <f t="shared" ref="F6:F12" si="0">D6-E6</f>
        <v>0</v>
      </c>
      <c r="G6" s="30" t="s">
        <v>51</v>
      </c>
    </row>
    <row r="7" spans="1:7" ht="14.25" customHeight="1" x14ac:dyDescent="0.2">
      <c r="A7" s="14" t="s">
        <v>54</v>
      </c>
      <c r="B7" s="20" t="s">
        <v>56</v>
      </c>
      <c r="C7" s="20" t="s">
        <v>57</v>
      </c>
      <c r="D7" s="23">
        <v>22005.8</v>
      </c>
      <c r="E7" s="24">
        <v>22005.8</v>
      </c>
      <c r="F7" s="29">
        <f t="shared" si="0"/>
        <v>0</v>
      </c>
      <c r="G7" s="30" t="s">
        <v>61</v>
      </c>
    </row>
    <row r="8" spans="1:7" ht="14.25" customHeight="1" x14ac:dyDescent="0.2">
      <c r="A8" s="14" t="s">
        <v>63</v>
      </c>
      <c r="B8" s="20" t="s">
        <v>65</v>
      </c>
      <c r="C8" s="20" t="s">
        <v>66</v>
      </c>
      <c r="D8" s="23">
        <v>19989.2</v>
      </c>
      <c r="E8" s="24">
        <v>19989.2</v>
      </c>
      <c r="F8" s="29">
        <f t="shared" si="0"/>
        <v>0</v>
      </c>
      <c r="G8" s="30" t="s">
        <v>69</v>
      </c>
    </row>
    <row r="9" spans="1:7" ht="14.25" customHeight="1" x14ac:dyDescent="0.2">
      <c r="A9" s="14" t="s">
        <v>70</v>
      </c>
      <c r="B9" s="20" t="s">
        <v>71</v>
      </c>
      <c r="C9" s="20" t="s">
        <v>72</v>
      </c>
      <c r="D9" s="23">
        <v>3725.3</v>
      </c>
      <c r="E9" s="24">
        <v>3725.3</v>
      </c>
      <c r="F9" s="29">
        <f t="shared" si="0"/>
        <v>0</v>
      </c>
      <c r="G9" s="30" t="s">
        <v>75</v>
      </c>
    </row>
    <row r="10" spans="1:7" ht="14.25" customHeight="1" x14ac:dyDescent="0.2">
      <c r="A10" s="14" t="s">
        <v>78</v>
      </c>
      <c r="B10" s="20" t="s">
        <v>79</v>
      </c>
      <c r="C10" s="20" t="s">
        <v>80</v>
      </c>
      <c r="D10" s="23">
        <v>9449.4</v>
      </c>
      <c r="E10" s="24">
        <v>9449.4</v>
      </c>
      <c r="F10" s="29">
        <f t="shared" si="0"/>
        <v>0</v>
      </c>
      <c r="G10" s="30" t="s">
        <v>81</v>
      </c>
    </row>
    <row r="11" spans="1:7" ht="14.25" customHeight="1" x14ac:dyDescent="0.2">
      <c r="A11" s="14" t="s">
        <v>82</v>
      </c>
      <c r="B11" s="20" t="s">
        <v>83</v>
      </c>
      <c r="C11" s="20" t="s">
        <v>85</v>
      </c>
      <c r="D11" s="23">
        <v>25773.599999999999</v>
      </c>
      <c r="E11" s="24">
        <v>25773.599999999999</v>
      </c>
      <c r="F11" s="29">
        <f t="shared" si="0"/>
        <v>0</v>
      </c>
      <c r="G11" s="30" t="s">
        <v>88</v>
      </c>
    </row>
    <row r="12" spans="1:7" ht="14.25" customHeight="1" x14ac:dyDescent="0.2">
      <c r="A12" s="32" t="s">
        <v>90</v>
      </c>
      <c r="B12" s="34" t="s">
        <v>92</v>
      </c>
      <c r="C12" s="34" t="s">
        <v>94</v>
      </c>
      <c r="D12" s="35">
        <v>25869.7</v>
      </c>
      <c r="E12" s="37">
        <v>25869.7</v>
      </c>
      <c r="F12" s="39">
        <f t="shared" si="0"/>
        <v>0</v>
      </c>
      <c r="G12" s="40" t="s">
        <v>102</v>
      </c>
    </row>
    <row r="13" spans="1:7" ht="14.25" customHeight="1" x14ac:dyDescent="0.2">
      <c r="A13" s="32" t="s">
        <v>103</v>
      </c>
      <c r="B13" s="34" t="s">
        <v>104</v>
      </c>
      <c r="C13" s="42" t="s">
        <v>106</v>
      </c>
      <c r="D13" s="35">
        <v>25965.9</v>
      </c>
      <c r="E13" s="37">
        <v>25965</v>
      </c>
      <c r="F13" s="39">
        <v>0</v>
      </c>
      <c r="G13" s="40" t="s">
        <v>110</v>
      </c>
    </row>
    <row r="14" spans="1:7" ht="14.25" customHeight="1" x14ac:dyDescent="0.2">
      <c r="A14" s="32" t="s">
        <v>111</v>
      </c>
      <c r="B14" s="34" t="s">
        <v>113</v>
      </c>
      <c r="C14" s="42">
        <v>46294</v>
      </c>
      <c r="D14" s="35">
        <v>18262.900000000001</v>
      </c>
      <c r="E14" s="37">
        <v>0</v>
      </c>
      <c r="F14" s="39">
        <f>D14-E14</f>
        <v>18262.900000000001</v>
      </c>
      <c r="G14" s="40" t="s">
        <v>129</v>
      </c>
    </row>
    <row r="15" spans="1:7" ht="14.25" customHeight="1" x14ac:dyDescent="0.25">
      <c r="A15" s="43" t="s">
        <v>132</v>
      </c>
      <c r="B15" s="44"/>
      <c r="C15" s="44"/>
      <c r="D15" s="45">
        <f t="shared" ref="D15:F15" si="1">SUM(D6:D14)</f>
        <v>176100.3</v>
      </c>
      <c r="E15" s="45">
        <f t="shared" si="1"/>
        <v>157836.5</v>
      </c>
      <c r="F15" s="45">
        <f t="shared" si="1"/>
        <v>18262.900000000001</v>
      </c>
      <c r="G15" s="44"/>
    </row>
    <row r="16" spans="1:7" ht="14.25" customHeight="1" x14ac:dyDescent="0.2"/>
    <row r="17" spans="1:7" ht="14.25" customHeight="1" x14ac:dyDescent="0.25">
      <c r="A17" s="126" t="s">
        <v>152</v>
      </c>
      <c r="B17" s="127"/>
      <c r="C17" s="127"/>
      <c r="D17" s="127"/>
      <c r="E17" s="127"/>
      <c r="F17" s="127"/>
      <c r="G17" s="128"/>
    </row>
    <row r="18" spans="1:7" ht="14.25" customHeight="1" x14ac:dyDescent="0.2">
      <c r="A18" s="3" t="s">
        <v>19</v>
      </c>
      <c r="B18" s="3" t="s">
        <v>20</v>
      </c>
      <c r="C18" s="3" t="s">
        <v>8</v>
      </c>
      <c r="D18" s="3" t="s">
        <v>21</v>
      </c>
      <c r="E18" s="3" t="s">
        <v>24</v>
      </c>
      <c r="F18" s="3" t="s">
        <v>12</v>
      </c>
      <c r="G18" s="3" t="s">
        <v>26</v>
      </c>
    </row>
    <row r="19" spans="1:7" ht="14.25" customHeight="1" x14ac:dyDescent="0.2">
      <c r="A19" s="14" t="s">
        <v>28</v>
      </c>
      <c r="B19" s="20" t="s">
        <v>166</v>
      </c>
      <c r="C19" s="20" t="s">
        <v>167</v>
      </c>
      <c r="D19" s="23">
        <v>216054.46</v>
      </c>
      <c r="E19" s="24">
        <v>216054.46</v>
      </c>
      <c r="F19" s="29">
        <f t="shared" ref="F19:F26" si="2">D19-E19</f>
        <v>0</v>
      </c>
      <c r="G19" s="30" t="s">
        <v>185</v>
      </c>
    </row>
    <row r="20" spans="1:7" ht="14.25" customHeight="1" x14ac:dyDescent="0.2">
      <c r="A20" s="14" t="s">
        <v>54</v>
      </c>
      <c r="B20" s="20" t="s">
        <v>188</v>
      </c>
      <c r="C20" s="20" t="s">
        <v>190</v>
      </c>
      <c r="D20" s="23">
        <v>188820.06</v>
      </c>
      <c r="E20" s="24">
        <v>188820.06</v>
      </c>
      <c r="F20" s="29">
        <f t="shared" si="2"/>
        <v>0</v>
      </c>
      <c r="G20" s="30" t="s">
        <v>185</v>
      </c>
    </row>
    <row r="21" spans="1:7" ht="14.25" customHeight="1" x14ac:dyDescent="0.2">
      <c r="A21" s="14" t="s">
        <v>63</v>
      </c>
      <c r="B21" s="20" t="s">
        <v>193</v>
      </c>
      <c r="C21" s="20" t="s">
        <v>66</v>
      </c>
      <c r="D21" s="23">
        <v>183100.6</v>
      </c>
      <c r="E21" s="24">
        <v>183100.6</v>
      </c>
      <c r="F21" s="29">
        <f t="shared" si="2"/>
        <v>0</v>
      </c>
      <c r="G21" s="30" t="s">
        <v>185</v>
      </c>
    </row>
    <row r="22" spans="1:7" ht="14.25" customHeight="1" x14ac:dyDescent="0.2">
      <c r="A22" s="14" t="s">
        <v>70</v>
      </c>
      <c r="B22" s="20" t="s">
        <v>200</v>
      </c>
      <c r="C22" s="20" t="s">
        <v>72</v>
      </c>
      <c r="D22" s="23">
        <v>89715.07</v>
      </c>
      <c r="E22" s="24">
        <v>89715.07</v>
      </c>
      <c r="F22" s="29">
        <f t="shared" si="2"/>
        <v>0</v>
      </c>
      <c r="G22" s="30" t="s">
        <v>185</v>
      </c>
    </row>
    <row r="23" spans="1:7" ht="14.25" customHeight="1" x14ac:dyDescent="0.2">
      <c r="A23" s="14" t="s">
        <v>78</v>
      </c>
      <c r="B23" s="20" t="s">
        <v>207</v>
      </c>
      <c r="C23" s="20" t="s">
        <v>80</v>
      </c>
      <c r="D23" s="23">
        <v>44717.279999999999</v>
      </c>
      <c r="E23" s="24">
        <v>44717.279999999999</v>
      </c>
      <c r="F23" s="29">
        <f t="shared" si="2"/>
        <v>0</v>
      </c>
      <c r="G23" s="30" t="s">
        <v>185</v>
      </c>
    </row>
    <row r="24" spans="1:7" ht="14.25" customHeight="1" x14ac:dyDescent="0.2">
      <c r="A24" s="14" t="s">
        <v>82</v>
      </c>
      <c r="B24" s="20" t="s">
        <v>215</v>
      </c>
      <c r="C24" s="20" t="s">
        <v>85</v>
      </c>
      <c r="D24" s="23">
        <v>164926.24</v>
      </c>
      <c r="E24" s="24">
        <v>164926.24</v>
      </c>
      <c r="F24" s="29">
        <f t="shared" si="2"/>
        <v>0</v>
      </c>
      <c r="G24" s="30" t="s">
        <v>219</v>
      </c>
    </row>
    <row r="25" spans="1:7" ht="14.25" customHeight="1" x14ac:dyDescent="0.2">
      <c r="A25" s="32" t="s">
        <v>90</v>
      </c>
      <c r="B25" s="34" t="s">
        <v>222</v>
      </c>
      <c r="C25" s="34" t="s">
        <v>94</v>
      </c>
      <c r="D25" s="35">
        <v>209845.3</v>
      </c>
      <c r="E25" s="37">
        <v>209845.3</v>
      </c>
      <c r="F25" s="39">
        <f t="shared" si="2"/>
        <v>0</v>
      </c>
      <c r="G25" s="40" t="s">
        <v>228</v>
      </c>
    </row>
    <row r="26" spans="1:7" ht="14.25" customHeight="1" x14ac:dyDescent="0.2">
      <c r="A26" s="32" t="s">
        <v>103</v>
      </c>
      <c r="B26" s="34" t="s">
        <v>230</v>
      </c>
      <c r="C26" s="42" t="s">
        <v>106</v>
      </c>
      <c r="D26" s="35">
        <v>190858.51</v>
      </c>
      <c r="E26" s="37">
        <v>190858.51</v>
      </c>
      <c r="F26" s="39">
        <f t="shared" si="2"/>
        <v>0</v>
      </c>
      <c r="G26" s="40" t="s">
        <v>235</v>
      </c>
    </row>
    <row r="27" spans="1:7" ht="14.25" customHeight="1" x14ac:dyDescent="0.2">
      <c r="A27" s="32" t="s">
        <v>111</v>
      </c>
      <c r="B27" s="34" t="s">
        <v>631</v>
      </c>
      <c r="C27" s="124">
        <v>46295</v>
      </c>
      <c r="D27" s="35">
        <v>107834.3</v>
      </c>
      <c r="E27" s="37">
        <v>0</v>
      </c>
      <c r="F27" s="39">
        <f>D27-E27</f>
        <v>107834.3</v>
      </c>
      <c r="G27" s="40" t="s">
        <v>632</v>
      </c>
    </row>
    <row r="28" spans="1:7" ht="14.25" customHeight="1" x14ac:dyDescent="0.25">
      <c r="A28" s="43" t="s">
        <v>132</v>
      </c>
      <c r="B28" s="44"/>
      <c r="C28" s="44"/>
      <c r="D28" s="45">
        <f>SUM(D19:D27)</f>
        <v>1395871.82</v>
      </c>
      <c r="E28" s="45">
        <f>SUM(E19:E27)</f>
        <v>1288037.52</v>
      </c>
      <c r="F28" s="45">
        <f>SUM(F19:F27)</f>
        <v>107834.3</v>
      </c>
      <c r="G28" s="44"/>
    </row>
    <row r="29" spans="1:7" ht="14.25" customHeight="1" x14ac:dyDescent="0.2"/>
    <row r="30" spans="1:7" ht="14.25" customHeight="1" x14ac:dyDescent="0.25">
      <c r="A30" s="126" t="s">
        <v>256</v>
      </c>
      <c r="B30" s="127"/>
      <c r="C30" s="127"/>
      <c r="D30" s="127"/>
      <c r="E30" s="127"/>
      <c r="F30" s="127"/>
      <c r="G30" s="128"/>
    </row>
    <row r="31" spans="1:7" ht="14.25" customHeight="1" x14ac:dyDescent="0.2">
      <c r="A31" s="3" t="s">
        <v>19</v>
      </c>
      <c r="B31" s="3" t="s">
        <v>20</v>
      </c>
      <c r="C31" s="3" t="s">
        <v>8</v>
      </c>
      <c r="D31" s="3" t="s">
        <v>21</v>
      </c>
      <c r="E31" s="3" t="s">
        <v>24</v>
      </c>
      <c r="F31" s="3" t="s">
        <v>12</v>
      </c>
      <c r="G31" s="3" t="s">
        <v>26</v>
      </c>
    </row>
    <row r="32" spans="1:7" ht="14.25" customHeight="1" x14ac:dyDescent="0.2">
      <c r="A32" s="14" t="s">
        <v>28</v>
      </c>
      <c r="B32" s="20"/>
      <c r="C32" s="20"/>
      <c r="D32" s="23">
        <v>62079.8</v>
      </c>
      <c r="E32" s="24">
        <v>62079.8</v>
      </c>
      <c r="F32" s="29">
        <f t="shared" ref="F32:F39" si="3">D32-E32</f>
        <v>0</v>
      </c>
      <c r="G32" s="30" t="s">
        <v>185</v>
      </c>
    </row>
    <row r="33" spans="1:7" ht="14.25" customHeight="1" x14ac:dyDescent="0.2">
      <c r="A33" s="48" t="s">
        <v>54</v>
      </c>
      <c r="B33" s="49"/>
      <c r="C33" s="49"/>
      <c r="D33" s="50">
        <v>0</v>
      </c>
      <c r="E33" s="51">
        <v>0</v>
      </c>
      <c r="F33" s="52">
        <f t="shared" si="3"/>
        <v>0</v>
      </c>
      <c r="G33" s="53"/>
    </row>
    <row r="34" spans="1:7" ht="14.25" customHeight="1" x14ac:dyDescent="0.2">
      <c r="A34" s="48" t="s">
        <v>63</v>
      </c>
      <c r="B34" s="49"/>
      <c r="C34" s="49"/>
      <c r="D34" s="50">
        <v>0</v>
      </c>
      <c r="E34" s="51">
        <v>0</v>
      </c>
      <c r="F34" s="52">
        <f t="shared" si="3"/>
        <v>0</v>
      </c>
      <c r="G34" s="53"/>
    </row>
    <row r="35" spans="1:7" ht="14.25" customHeight="1" x14ac:dyDescent="0.2">
      <c r="A35" s="48" t="s">
        <v>70</v>
      </c>
      <c r="B35" s="49"/>
      <c r="C35" s="49"/>
      <c r="D35" s="50">
        <v>0</v>
      </c>
      <c r="E35" s="51">
        <v>0</v>
      </c>
      <c r="F35" s="52">
        <f t="shared" si="3"/>
        <v>0</v>
      </c>
      <c r="G35" s="53"/>
    </row>
    <row r="36" spans="1:7" ht="14.25" customHeight="1" x14ac:dyDescent="0.2">
      <c r="A36" s="32" t="s">
        <v>78</v>
      </c>
      <c r="B36" s="34" t="s">
        <v>313</v>
      </c>
      <c r="C36" s="34" t="s">
        <v>314</v>
      </c>
      <c r="D36" s="35">
        <v>264462.78000000003</v>
      </c>
      <c r="E36" s="37">
        <v>264462.78000000003</v>
      </c>
      <c r="F36" s="39">
        <f t="shared" si="3"/>
        <v>0</v>
      </c>
      <c r="G36" s="40" t="s">
        <v>319</v>
      </c>
    </row>
    <row r="37" spans="1:7" ht="14.25" customHeight="1" x14ac:dyDescent="0.2">
      <c r="A37" s="32" t="s">
        <v>82</v>
      </c>
      <c r="B37" s="34" t="s">
        <v>320</v>
      </c>
      <c r="C37" s="34" t="s">
        <v>122</v>
      </c>
      <c r="D37" s="35">
        <v>420836.97</v>
      </c>
      <c r="E37" s="37">
        <v>295836.96999999997</v>
      </c>
      <c r="F37" s="39">
        <f t="shared" si="3"/>
        <v>125000</v>
      </c>
      <c r="G37" s="40" t="s">
        <v>325</v>
      </c>
    </row>
    <row r="38" spans="1:7" ht="14.25" customHeight="1" x14ac:dyDescent="0.2">
      <c r="A38" s="32" t="s">
        <v>90</v>
      </c>
      <c r="B38" s="34" t="s">
        <v>327</v>
      </c>
      <c r="C38" s="34" t="s">
        <v>174</v>
      </c>
      <c r="D38" s="35">
        <v>492998.1</v>
      </c>
      <c r="E38" s="37">
        <v>492998.1</v>
      </c>
      <c r="F38" s="39">
        <f t="shared" si="3"/>
        <v>0</v>
      </c>
      <c r="G38" s="40" t="s">
        <v>330</v>
      </c>
    </row>
    <row r="39" spans="1:7" ht="14.25" customHeight="1" x14ac:dyDescent="0.2">
      <c r="A39" s="32" t="s">
        <v>103</v>
      </c>
      <c r="B39" s="34" t="s">
        <v>332</v>
      </c>
      <c r="C39" s="54" t="s">
        <v>187</v>
      </c>
      <c r="D39" s="35">
        <v>438316.3</v>
      </c>
      <c r="E39" s="37">
        <v>230000</v>
      </c>
      <c r="F39" s="39">
        <f t="shared" si="3"/>
        <v>208316.3</v>
      </c>
      <c r="G39" s="40" t="s">
        <v>337</v>
      </c>
    </row>
    <row r="40" spans="1:7" ht="14.25" customHeight="1" x14ac:dyDescent="0.25">
      <c r="A40" s="43" t="s">
        <v>132</v>
      </c>
      <c r="B40" s="44"/>
      <c r="C40" s="44"/>
      <c r="D40" s="45">
        <f t="shared" ref="D40:F40" si="4">SUM(D32:D39)</f>
        <v>1678693.95</v>
      </c>
      <c r="E40" s="45">
        <f t="shared" si="4"/>
        <v>1345377.65</v>
      </c>
      <c r="F40" s="45">
        <f t="shared" si="4"/>
        <v>333316.3</v>
      </c>
      <c r="G40" s="44"/>
    </row>
    <row r="41" spans="1:7" ht="14.25" customHeight="1" x14ac:dyDescent="0.2"/>
    <row r="42" spans="1:7" ht="14.25" customHeight="1" x14ac:dyDescent="0.25">
      <c r="A42" s="126" t="s">
        <v>346</v>
      </c>
      <c r="B42" s="127"/>
      <c r="C42" s="127"/>
      <c r="D42" s="127"/>
      <c r="E42" s="127"/>
      <c r="F42" s="127"/>
      <c r="G42" s="128"/>
    </row>
    <row r="43" spans="1:7" ht="14.25" customHeight="1" x14ac:dyDescent="0.2">
      <c r="A43" s="3" t="s">
        <v>19</v>
      </c>
      <c r="B43" s="3" t="s">
        <v>20</v>
      </c>
      <c r="C43" s="3" t="s">
        <v>8</v>
      </c>
      <c r="D43" s="3" t="s">
        <v>21</v>
      </c>
      <c r="E43" s="3" t="s">
        <v>24</v>
      </c>
      <c r="F43" s="3" t="s">
        <v>12</v>
      </c>
      <c r="G43" s="3" t="s">
        <v>26</v>
      </c>
    </row>
    <row r="44" spans="1:7" ht="14.25" customHeight="1" x14ac:dyDescent="0.2">
      <c r="A44" s="14" t="s">
        <v>90</v>
      </c>
      <c r="B44" s="20" t="s">
        <v>353</v>
      </c>
      <c r="C44" s="20" t="s">
        <v>94</v>
      </c>
      <c r="D44" s="23">
        <v>17098.2</v>
      </c>
      <c r="E44" s="24">
        <v>17098.2</v>
      </c>
      <c r="F44" s="29">
        <f t="shared" ref="F44:F46" si="5">D44-E44</f>
        <v>0</v>
      </c>
      <c r="G44" s="30" t="s">
        <v>358</v>
      </c>
    </row>
    <row r="45" spans="1:7" ht="14.25" customHeight="1" x14ac:dyDescent="0.2">
      <c r="A45" s="14" t="s">
        <v>103</v>
      </c>
      <c r="B45" s="20"/>
      <c r="C45" s="59">
        <v>46121</v>
      </c>
      <c r="D45" s="23">
        <v>37541.699999999997</v>
      </c>
      <c r="E45" s="24">
        <v>37541.699999999997</v>
      </c>
      <c r="F45" s="29">
        <f t="shared" si="5"/>
        <v>0</v>
      </c>
      <c r="G45" s="30" t="s">
        <v>361</v>
      </c>
    </row>
    <row r="46" spans="1:7" ht="14.25" customHeight="1" x14ac:dyDescent="0.2">
      <c r="A46" s="14" t="s">
        <v>111</v>
      </c>
      <c r="B46" s="20">
        <v>50156</v>
      </c>
      <c r="C46" s="59"/>
      <c r="D46" s="23">
        <v>12685.71</v>
      </c>
      <c r="E46" s="24">
        <v>12685.71</v>
      </c>
      <c r="F46" s="29">
        <f t="shared" si="5"/>
        <v>0</v>
      </c>
      <c r="G46" s="30" t="s">
        <v>363</v>
      </c>
    </row>
    <row r="47" spans="1:7" ht="14.25" customHeight="1" x14ac:dyDescent="0.25">
      <c r="A47" s="43" t="s">
        <v>132</v>
      </c>
      <c r="B47" s="44"/>
      <c r="C47" s="44"/>
      <c r="D47" s="45">
        <f t="shared" ref="D47:F47" si="6">SUM(D44:D46)</f>
        <v>67325.609999999986</v>
      </c>
      <c r="E47" s="45">
        <f t="shared" si="6"/>
        <v>67325.609999999986</v>
      </c>
      <c r="F47" s="45">
        <f t="shared" si="6"/>
        <v>0</v>
      </c>
      <c r="G47" s="44"/>
    </row>
    <row r="48" spans="1:7" ht="14.25" customHeight="1" x14ac:dyDescent="0.25">
      <c r="A48" s="43"/>
      <c r="B48" s="44"/>
      <c r="C48" s="44"/>
      <c r="D48" s="45"/>
      <c r="E48" s="45"/>
      <c r="F48" s="45"/>
      <c r="G48" s="44"/>
    </row>
    <row r="49" spans="1:7" ht="14.25" customHeight="1" x14ac:dyDescent="0.25">
      <c r="A49" s="126" t="s">
        <v>372</v>
      </c>
      <c r="B49" s="127"/>
      <c r="C49" s="127"/>
      <c r="D49" s="127"/>
      <c r="E49" s="127"/>
      <c r="F49" s="127"/>
      <c r="G49" s="128"/>
    </row>
    <row r="50" spans="1:7" ht="14.25" customHeight="1" x14ac:dyDescent="0.2">
      <c r="A50" s="3" t="s">
        <v>19</v>
      </c>
      <c r="B50" s="3" t="s">
        <v>20</v>
      </c>
      <c r="C50" s="3" t="s">
        <v>8</v>
      </c>
      <c r="D50" s="3" t="s">
        <v>21</v>
      </c>
      <c r="E50" s="3" t="s">
        <v>24</v>
      </c>
      <c r="F50" s="3" t="s">
        <v>12</v>
      </c>
      <c r="G50" s="3" t="s">
        <v>26</v>
      </c>
    </row>
    <row r="51" spans="1:7" ht="14.25" customHeight="1" x14ac:dyDescent="0.2">
      <c r="A51" s="14" t="s">
        <v>90</v>
      </c>
      <c r="B51" s="20" t="s">
        <v>377</v>
      </c>
      <c r="C51" s="20" t="s">
        <v>94</v>
      </c>
      <c r="D51" s="23">
        <v>10377.51</v>
      </c>
      <c r="E51" s="24">
        <v>10113.67</v>
      </c>
      <c r="F51" s="29">
        <v>0</v>
      </c>
      <c r="G51" s="30" t="s">
        <v>378</v>
      </c>
    </row>
    <row r="52" spans="1:7" ht="14.25" customHeight="1" x14ac:dyDescent="0.25">
      <c r="A52" s="43" t="s">
        <v>380</v>
      </c>
      <c r="B52" s="44"/>
      <c r="C52" s="44"/>
      <c r="D52" s="45">
        <v>10377.51</v>
      </c>
      <c r="E52" s="45">
        <v>10113.67</v>
      </c>
      <c r="F52" s="45">
        <f>F51</f>
        <v>0</v>
      </c>
      <c r="G52" s="44" t="s">
        <v>378</v>
      </c>
    </row>
    <row r="53" spans="1:7" ht="14.25" customHeight="1" x14ac:dyDescent="0.25">
      <c r="A53" s="43"/>
      <c r="B53" s="44"/>
      <c r="C53" s="44"/>
      <c r="D53" s="45"/>
      <c r="E53" s="45"/>
      <c r="F53" s="45"/>
      <c r="G53" s="44"/>
    </row>
    <row r="54" spans="1:7" ht="14.25" customHeight="1" x14ac:dyDescent="0.25">
      <c r="A54" s="126" t="s">
        <v>384</v>
      </c>
      <c r="B54" s="127"/>
      <c r="C54" s="127"/>
      <c r="D54" s="127"/>
      <c r="E54" s="127"/>
      <c r="F54" s="127"/>
      <c r="G54" s="128"/>
    </row>
    <row r="55" spans="1:7" ht="14.25" customHeight="1" x14ac:dyDescent="0.2">
      <c r="A55" s="3" t="s">
        <v>19</v>
      </c>
      <c r="B55" s="3" t="s">
        <v>20</v>
      </c>
      <c r="C55" s="3" t="s">
        <v>8</v>
      </c>
      <c r="D55" s="3" t="s">
        <v>21</v>
      </c>
      <c r="E55" s="3" t="s">
        <v>24</v>
      </c>
      <c r="F55" s="3" t="s">
        <v>12</v>
      </c>
      <c r="G55" s="3" t="s">
        <v>26</v>
      </c>
    </row>
    <row r="56" spans="1:7" ht="14.25" customHeight="1" x14ac:dyDescent="0.2">
      <c r="A56" s="14" t="s">
        <v>90</v>
      </c>
      <c r="B56" s="20">
        <v>90088</v>
      </c>
      <c r="C56" s="20" t="s">
        <v>94</v>
      </c>
      <c r="D56" s="23">
        <v>71026.559999999998</v>
      </c>
      <c r="E56" s="24">
        <v>69822.720000000001</v>
      </c>
      <c r="F56" s="29">
        <v>0</v>
      </c>
      <c r="G56" s="30" t="s">
        <v>393</v>
      </c>
    </row>
    <row r="57" spans="1:7" ht="14.25" customHeight="1" x14ac:dyDescent="0.2">
      <c r="A57" s="14" t="s">
        <v>103</v>
      </c>
      <c r="B57" s="20">
        <v>90110</v>
      </c>
      <c r="C57" s="20" t="s">
        <v>106</v>
      </c>
      <c r="D57" s="23">
        <v>94093.2</v>
      </c>
      <c r="E57" s="24">
        <v>92498.4</v>
      </c>
      <c r="F57" s="29">
        <v>0</v>
      </c>
      <c r="G57" s="30" t="s">
        <v>396</v>
      </c>
    </row>
    <row r="58" spans="1:7" ht="14.25" customHeight="1" x14ac:dyDescent="0.25">
      <c r="A58" s="43" t="s">
        <v>380</v>
      </c>
      <c r="B58" s="44"/>
      <c r="C58" s="44"/>
      <c r="D58" s="45">
        <f t="shared" ref="D58:F58" si="7">SUM(D56:D57)</f>
        <v>165119.76</v>
      </c>
      <c r="E58" s="45">
        <f t="shared" si="7"/>
        <v>162321.12</v>
      </c>
      <c r="F58" s="45">
        <f t="shared" si="7"/>
        <v>0</v>
      </c>
      <c r="G58" s="44"/>
    </row>
    <row r="59" spans="1:7" ht="14.25" customHeight="1" x14ac:dyDescent="0.2"/>
    <row r="60" spans="1:7" ht="14.25" customHeight="1" x14ac:dyDescent="0.2"/>
    <row r="61" spans="1:7" ht="14.25" customHeight="1" x14ac:dyDescent="0.25">
      <c r="A61" s="126" t="s">
        <v>403</v>
      </c>
      <c r="B61" s="127"/>
      <c r="C61" s="127"/>
      <c r="D61" s="127"/>
      <c r="E61" s="127"/>
      <c r="F61" s="127"/>
      <c r="G61" s="128"/>
    </row>
    <row r="62" spans="1:7" ht="14.25" customHeight="1" x14ac:dyDescent="0.2">
      <c r="A62" s="3" t="s">
        <v>19</v>
      </c>
      <c r="B62" s="3" t="s">
        <v>20</v>
      </c>
      <c r="C62" s="3" t="s">
        <v>8</v>
      </c>
      <c r="D62" s="3" t="s">
        <v>21</v>
      </c>
      <c r="E62" s="3" t="s">
        <v>24</v>
      </c>
      <c r="F62" s="3" t="s">
        <v>12</v>
      </c>
      <c r="G62" s="3" t="s">
        <v>26</v>
      </c>
    </row>
    <row r="63" spans="1:7" ht="14.25" customHeight="1" x14ac:dyDescent="0.2">
      <c r="A63" s="14" t="s">
        <v>28</v>
      </c>
      <c r="B63" s="20"/>
      <c r="C63" s="20"/>
      <c r="D63" s="23">
        <v>0</v>
      </c>
      <c r="E63" s="24">
        <v>0</v>
      </c>
      <c r="F63" s="29">
        <f t="shared" ref="F63:F70" si="8">D63-E63</f>
        <v>0</v>
      </c>
      <c r="G63" s="30"/>
    </row>
    <row r="64" spans="1:7" ht="14.25" customHeight="1" x14ac:dyDescent="0.25">
      <c r="A64" s="43" t="s">
        <v>54</v>
      </c>
      <c r="B64" s="44">
        <v>2137</v>
      </c>
      <c r="C64" s="44" t="s">
        <v>190</v>
      </c>
      <c r="D64" s="45">
        <v>134971.4</v>
      </c>
      <c r="E64" s="45">
        <v>130511</v>
      </c>
      <c r="F64" s="45">
        <f t="shared" si="8"/>
        <v>4460.3999999999942</v>
      </c>
      <c r="G64" s="44" t="s">
        <v>416</v>
      </c>
    </row>
    <row r="65" spans="1:7" ht="14.25" customHeight="1" x14ac:dyDescent="0.25">
      <c r="A65" s="43" t="s">
        <v>63</v>
      </c>
      <c r="B65" s="44">
        <v>2154</v>
      </c>
      <c r="C65" s="44" t="s">
        <v>66</v>
      </c>
      <c r="D65" s="45">
        <v>204776.99</v>
      </c>
      <c r="E65" s="45">
        <v>204776.99</v>
      </c>
      <c r="F65" s="45">
        <f t="shared" si="8"/>
        <v>0</v>
      </c>
      <c r="G65" s="44" t="s">
        <v>419</v>
      </c>
    </row>
    <row r="66" spans="1:7" ht="14.25" customHeight="1" x14ac:dyDescent="0.25">
      <c r="A66" s="72" t="s">
        <v>70</v>
      </c>
      <c r="B66" s="2">
        <v>2204</v>
      </c>
      <c r="C66" s="2" t="s">
        <v>72</v>
      </c>
      <c r="D66" s="73">
        <v>164619.44</v>
      </c>
      <c r="E66" s="73">
        <v>144703.45000000001</v>
      </c>
      <c r="F66" s="73">
        <f t="shared" si="8"/>
        <v>19915.989999999991</v>
      </c>
      <c r="G66" s="2" t="s">
        <v>428</v>
      </c>
    </row>
    <row r="67" spans="1:7" ht="14.25" customHeight="1" x14ac:dyDescent="0.2">
      <c r="A67" s="3" t="s">
        <v>78</v>
      </c>
      <c r="B67" s="3">
        <v>1101</v>
      </c>
      <c r="C67" s="3" t="s">
        <v>85</v>
      </c>
      <c r="D67" s="3">
        <v>102027.52</v>
      </c>
      <c r="E67" s="3">
        <v>102027.52</v>
      </c>
      <c r="F67" s="3">
        <f t="shared" si="8"/>
        <v>0</v>
      </c>
      <c r="G67" s="3" t="s">
        <v>433</v>
      </c>
    </row>
    <row r="68" spans="1:7" ht="14.25" customHeight="1" x14ac:dyDescent="0.2">
      <c r="A68" s="14" t="s">
        <v>82</v>
      </c>
      <c r="B68" s="20">
        <v>3000</v>
      </c>
      <c r="C68" s="20" t="s">
        <v>85</v>
      </c>
      <c r="D68" s="23">
        <v>92764.64</v>
      </c>
      <c r="E68" s="24">
        <v>92764.64</v>
      </c>
      <c r="F68" s="29">
        <f t="shared" si="8"/>
        <v>0</v>
      </c>
      <c r="G68" s="30" t="s">
        <v>437</v>
      </c>
    </row>
    <row r="69" spans="1:7" ht="14.25" customHeight="1" x14ac:dyDescent="0.25">
      <c r="A69" s="43" t="s">
        <v>90</v>
      </c>
      <c r="B69" s="44">
        <v>3006</v>
      </c>
      <c r="C69" s="44" t="s">
        <v>324</v>
      </c>
      <c r="D69" s="45">
        <v>94801.79</v>
      </c>
      <c r="E69" s="45">
        <v>94801.79</v>
      </c>
      <c r="F69" s="45">
        <f t="shared" si="8"/>
        <v>0</v>
      </c>
      <c r="G69" s="44" t="s">
        <v>102</v>
      </c>
    </row>
    <row r="70" spans="1:7" ht="14.25" customHeight="1" x14ac:dyDescent="0.25">
      <c r="A70" s="43" t="s">
        <v>103</v>
      </c>
      <c r="B70" s="44">
        <v>4076</v>
      </c>
      <c r="C70" s="74" t="s">
        <v>442</v>
      </c>
      <c r="D70" s="45">
        <v>69702.009999999995</v>
      </c>
      <c r="E70" s="45">
        <v>69702.009999999995</v>
      </c>
      <c r="F70" s="45">
        <f t="shared" si="8"/>
        <v>0</v>
      </c>
      <c r="G70" s="44" t="s">
        <v>446</v>
      </c>
    </row>
    <row r="71" spans="1:7" ht="14.25" customHeight="1" x14ac:dyDescent="0.25">
      <c r="A71" s="43" t="s">
        <v>380</v>
      </c>
      <c r="B71" s="44"/>
      <c r="C71" s="44"/>
      <c r="D71" s="45">
        <f t="shared" ref="D71:F71" si="9">SUM(D63:D70)</f>
        <v>863663.79</v>
      </c>
      <c r="E71" s="45">
        <f t="shared" si="9"/>
        <v>839287.4</v>
      </c>
      <c r="F71" s="45">
        <f t="shared" si="9"/>
        <v>24376.389999999985</v>
      </c>
      <c r="G71" s="44" t="s">
        <v>456</v>
      </c>
    </row>
    <row r="72" spans="1:7" ht="14.25" customHeight="1" x14ac:dyDescent="0.25">
      <c r="A72" s="126" t="s">
        <v>459</v>
      </c>
      <c r="B72" s="127"/>
      <c r="C72" s="127"/>
      <c r="D72" s="127"/>
      <c r="E72" s="127"/>
      <c r="F72" s="127"/>
      <c r="G72" s="128"/>
    </row>
    <row r="73" spans="1:7" ht="14.25" customHeight="1" x14ac:dyDescent="0.2">
      <c r="A73" s="3" t="s">
        <v>19</v>
      </c>
      <c r="B73" s="3" t="s">
        <v>20</v>
      </c>
      <c r="C73" s="3" t="s">
        <v>8</v>
      </c>
      <c r="D73" s="3" t="s">
        <v>21</v>
      </c>
      <c r="E73" s="3" t="s">
        <v>24</v>
      </c>
      <c r="F73" s="3" t="s">
        <v>12</v>
      </c>
      <c r="G73" s="3" t="s">
        <v>26</v>
      </c>
    </row>
    <row r="74" spans="1:7" ht="14.25" customHeight="1" x14ac:dyDescent="0.2">
      <c r="A74" s="14" t="s">
        <v>90</v>
      </c>
      <c r="B74" s="20">
        <v>230673</v>
      </c>
      <c r="C74" s="20" t="s">
        <v>94</v>
      </c>
      <c r="D74" s="23">
        <v>44156</v>
      </c>
      <c r="E74" s="24">
        <v>44156</v>
      </c>
      <c r="F74" s="29">
        <f t="shared" ref="F74:F75" si="10">D74-E74</f>
        <v>0</v>
      </c>
      <c r="G74" s="30" t="s">
        <v>467</v>
      </c>
    </row>
    <row r="75" spans="1:7" ht="14.25" customHeight="1" x14ac:dyDescent="0.2">
      <c r="A75" s="14" t="s">
        <v>103</v>
      </c>
      <c r="B75" s="20">
        <v>230703</v>
      </c>
      <c r="C75" s="38" t="s">
        <v>106</v>
      </c>
      <c r="D75" s="23">
        <v>67944</v>
      </c>
      <c r="E75" s="24">
        <v>67944</v>
      </c>
      <c r="F75" s="29">
        <f t="shared" si="10"/>
        <v>0</v>
      </c>
      <c r="G75" s="30" t="s">
        <v>470</v>
      </c>
    </row>
    <row r="76" spans="1:7" ht="14.25" customHeight="1" x14ac:dyDescent="0.2">
      <c r="A76" s="14" t="s">
        <v>111</v>
      </c>
      <c r="B76" s="20">
        <v>230747</v>
      </c>
      <c r="C76" s="59">
        <v>46295</v>
      </c>
      <c r="D76" s="23">
        <v>44571</v>
      </c>
      <c r="E76" s="24">
        <v>0</v>
      </c>
      <c r="F76" s="29">
        <f>D76-E76</f>
        <v>44571</v>
      </c>
      <c r="G76" s="30" t="s">
        <v>623</v>
      </c>
    </row>
    <row r="77" spans="1:7" ht="14.25" customHeight="1" x14ac:dyDescent="0.25">
      <c r="A77" s="43" t="s">
        <v>380</v>
      </c>
      <c r="B77" s="44"/>
      <c r="C77" s="44"/>
      <c r="D77" s="45">
        <f>SUM(D74:D76)</f>
        <v>156671</v>
      </c>
      <c r="E77" s="45">
        <f>SUM(E74:E76)</f>
        <v>112100</v>
      </c>
      <c r="F77" s="45">
        <f>SUM(F74:F76)</f>
        <v>44571</v>
      </c>
      <c r="G77" s="44"/>
    </row>
    <row r="78" spans="1:7" ht="14.25" customHeight="1" x14ac:dyDescent="0.25">
      <c r="A78" s="43" t="s">
        <v>473</v>
      </c>
      <c r="B78" s="44"/>
      <c r="C78" s="44"/>
      <c r="D78" s="45"/>
      <c r="E78" s="45"/>
      <c r="F78" s="45"/>
      <c r="G78" s="44"/>
    </row>
    <row r="79" spans="1:7" ht="14.25" customHeight="1" x14ac:dyDescent="0.25">
      <c r="A79" s="43" t="s">
        <v>19</v>
      </c>
      <c r="B79" s="44" t="s">
        <v>20</v>
      </c>
      <c r="C79" s="44" t="s">
        <v>8</v>
      </c>
      <c r="D79" s="45" t="s">
        <v>21</v>
      </c>
      <c r="E79" s="45" t="s">
        <v>24</v>
      </c>
      <c r="F79" s="45" t="s">
        <v>12</v>
      </c>
      <c r="G79" s="44" t="s">
        <v>26</v>
      </c>
    </row>
    <row r="80" spans="1:7" ht="14.25" customHeight="1" x14ac:dyDescent="0.25">
      <c r="A80" s="43" t="s">
        <v>103</v>
      </c>
      <c r="B80" s="44" t="s">
        <v>479</v>
      </c>
      <c r="C80" s="74" t="s">
        <v>106</v>
      </c>
      <c r="D80" s="45">
        <v>35758.81</v>
      </c>
      <c r="E80" s="45">
        <v>35758.81</v>
      </c>
      <c r="F80" s="45">
        <f>D80-E80</f>
        <v>0</v>
      </c>
      <c r="G80" s="44" t="s">
        <v>483</v>
      </c>
    </row>
    <row r="81" spans="1:7" ht="14.25" customHeight="1" x14ac:dyDescent="0.25">
      <c r="A81" s="43" t="s">
        <v>111</v>
      </c>
      <c r="B81" s="44" t="s">
        <v>664</v>
      </c>
      <c r="C81" s="125">
        <v>46295</v>
      </c>
      <c r="D81" s="45">
        <v>35432.57</v>
      </c>
      <c r="E81" s="45">
        <v>0</v>
      </c>
      <c r="F81" s="45">
        <f>D81-E81</f>
        <v>35432.57</v>
      </c>
      <c r="G81" s="44" t="s">
        <v>665</v>
      </c>
    </row>
    <row r="82" spans="1:7" ht="14.25" customHeight="1" x14ac:dyDescent="0.25">
      <c r="A82" s="43" t="s">
        <v>380</v>
      </c>
      <c r="B82" s="44"/>
      <c r="C82" s="44"/>
      <c r="D82" s="45">
        <f>SUM(D80:D81)</f>
        <v>71191.38</v>
      </c>
      <c r="E82" s="45">
        <f>SUM(E80:E81)</f>
        <v>35758.81</v>
      </c>
      <c r="F82" s="45">
        <f>SUM(F80:F81)</f>
        <v>35432.57</v>
      </c>
      <c r="G82" s="44"/>
    </row>
    <row r="83" spans="1:7" ht="14.25" customHeight="1" x14ac:dyDescent="0.25">
      <c r="A83" s="43"/>
      <c r="B83" s="44"/>
      <c r="C83" s="44"/>
      <c r="D83" s="45"/>
      <c r="E83" s="45"/>
      <c r="F83" s="45"/>
      <c r="G83" s="44"/>
    </row>
    <row r="84" spans="1:7" ht="14.25" customHeight="1" x14ac:dyDescent="0.25">
      <c r="A84" s="72" t="s">
        <v>490</v>
      </c>
      <c r="B84" s="77"/>
      <c r="C84" s="77"/>
      <c r="D84" s="79"/>
      <c r="E84" s="79"/>
      <c r="F84" s="79"/>
      <c r="G84" s="77"/>
    </row>
    <row r="85" spans="1:7" ht="14.25" customHeight="1" x14ac:dyDescent="0.2">
      <c r="A85" s="4" t="s">
        <v>19</v>
      </c>
      <c r="B85" s="3" t="s">
        <v>20</v>
      </c>
      <c r="C85" s="3" t="s">
        <v>8</v>
      </c>
      <c r="D85" s="81" t="s">
        <v>21</v>
      </c>
      <c r="E85" s="81" t="s">
        <v>24</v>
      </c>
      <c r="F85" s="81" t="s">
        <v>12</v>
      </c>
      <c r="G85" s="3" t="s">
        <v>26</v>
      </c>
    </row>
    <row r="86" spans="1:7" ht="14.25" customHeight="1" x14ac:dyDescent="0.2">
      <c r="A86" s="14" t="s">
        <v>103</v>
      </c>
      <c r="B86" s="20" t="s">
        <v>496</v>
      </c>
      <c r="C86" s="38" t="s">
        <v>106</v>
      </c>
      <c r="D86" s="23">
        <v>75065</v>
      </c>
      <c r="E86" s="23">
        <v>75065</v>
      </c>
      <c r="F86" s="23">
        <f>D86-E86</f>
        <v>0</v>
      </c>
      <c r="G86" s="20" t="s">
        <v>498</v>
      </c>
    </row>
    <row r="87" spans="1:7" ht="14.25" customHeight="1" x14ac:dyDescent="0.25">
      <c r="A87" s="43" t="s">
        <v>380</v>
      </c>
      <c r="B87" s="44"/>
      <c r="C87" s="44"/>
      <c r="D87" s="45">
        <f t="shared" ref="D87:F87" si="11">D86</f>
        <v>75065</v>
      </c>
      <c r="E87" s="45">
        <f t="shared" si="11"/>
        <v>75065</v>
      </c>
      <c r="F87" s="45">
        <f t="shared" si="11"/>
        <v>0</v>
      </c>
      <c r="G87" s="44"/>
    </row>
    <row r="88" spans="1:7" ht="14.25" customHeight="1" x14ac:dyDescent="0.25">
      <c r="A88" s="72" t="s">
        <v>499</v>
      </c>
      <c r="B88" s="77"/>
      <c r="C88" s="77"/>
      <c r="D88" s="79"/>
      <c r="E88" s="79"/>
      <c r="F88" s="79"/>
      <c r="G88" s="77"/>
    </row>
    <row r="89" spans="1:7" ht="14.25" customHeight="1" x14ac:dyDescent="0.2">
      <c r="A89" s="4" t="s">
        <v>19</v>
      </c>
      <c r="B89" s="3" t="s">
        <v>20</v>
      </c>
      <c r="C89" s="3" t="s">
        <v>8</v>
      </c>
      <c r="D89" s="81" t="s">
        <v>21</v>
      </c>
      <c r="E89" s="81" t="s">
        <v>24</v>
      </c>
      <c r="F89" s="81" t="s">
        <v>12</v>
      </c>
      <c r="G89" s="3" t="s">
        <v>26</v>
      </c>
    </row>
    <row r="90" spans="1:7" ht="14.25" customHeight="1" x14ac:dyDescent="0.2">
      <c r="A90" s="14" t="s">
        <v>103</v>
      </c>
      <c r="B90" s="20">
        <v>20019</v>
      </c>
      <c r="C90" s="38" t="s">
        <v>349</v>
      </c>
      <c r="D90" s="23">
        <v>4085</v>
      </c>
      <c r="E90" s="23">
        <v>4085</v>
      </c>
      <c r="F90" s="23">
        <f>D90-E90</f>
        <v>0</v>
      </c>
      <c r="G90" s="20" t="s">
        <v>501</v>
      </c>
    </row>
    <row r="91" spans="1:7" ht="14.25" customHeight="1" x14ac:dyDescent="0.25">
      <c r="A91" s="43" t="s">
        <v>380</v>
      </c>
      <c r="B91" s="44"/>
      <c r="C91" s="44"/>
      <c r="D91" s="45">
        <v>4085</v>
      </c>
      <c r="E91" s="45">
        <v>4085</v>
      </c>
      <c r="F91" s="45">
        <v>0</v>
      </c>
      <c r="G91" s="44"/>
    </row>
    <row r="92" spans="1:7" ht="14.25" customHeight="1" x14ac:dyDescent="0.25">
      <c r="A92" s="43"/>
      <c r="B92" s="44"/>
      <c r="C92" s="44"/>
      <c r="D92" s="45"/>
      <c r="E92" s="45"/>
      <c r="F92" s="45"/>
      <c r="G92" s="44"/>
    </row>
    <row r="93" spans="1:7" ht="14.25" customHeight="1" x14ac:dyDescent="0.2"/>
    <row r="94" spans="1:7" ht="21.75" customHeight="1" x14ac:dyDescent="0.25">
      <c r="A94" s="132" t="s">
        <v>502</v>
      </c>
      <c r="B94" s="127"/>
      <c r="C94" s="128"/>
      <c r="D94" s="87">
        <f>F15+F28+(F40-125000)+F47+F52+F58+(F71-4460.4-19915.99)+F77+F82+F87+F91</f>
        <v>414417.07</v>
      </c>
      <c r="E94" s="88"/>
      <c r="F94" s="88"/>
      <c r="G94" s="88"/>
    </row>
    <row r="95" spans="1:7" ht="14.25" customHeight="1" x14ac:dyDescent="0.2"/>
    <row r="96" spans="1:7" ht="14.25" customHeight="1" x14ac:dyDescent="0.2">
      <c r="A96" s="130" t="s">
        <v>506</v>
      </c>
      <c r="B96" s="131"/>
      <c r="C96" s="131"/>
      <c r="D96" s="131"/>
      <c r="E96" s="131"/>
      <c r="F96" s="131"/>
      <c r="G96" s="131"/>
    </row>
    <row r="97" spans="1:1" ht="14.25" customHeight="1" x14ac:dyDescent="0.2">
      <c r="A97" s="58" t="s">
        <v>633</v>
      </c>
    </row>
    <row r="98" spans="1:1" ht="14.25" customHeight="1" x14ac:dyDescent="0.2"/>
    <row r="99" spans="1:1" ht="14.25" customHeight="1" x14ac:dyDescent="0.2">
      <c r="A99" s="89" t="s">
        <v>507</v>
      </c>
    </row>
    <row r="100" spans="1:1" ht="14.25" customHeight="1" x14ac:dyDescent="0.2"/>
    <row r="101" spans="1:1" ht="14.25" customHeight="1" x14ac:dyDescent="0.2"/>
    <row r="102" spans="1:1" ht="14.25" customHeight="1" x14ac:dyDescent="0.2"/>
    <row r="103" spans="1:1" ht="14.25" customHeight="1" x14ac:dyDescent="0.2"/>
    <row r="104" spans="1:1" ht="14.25" customHeight="1" x14ac:dyDescent="0.2"/>
    <row r="105" spans="1:1" ht="14.25" customHeight="1" x14ac:dyDescent="0.2"/>
    <row r="106" spans="1:1" ht="14.25" customHeight="1" x14ac:dyDescent="0.2"/>
    <row r="107" spans="1:1" ht="14.25" customHeight="1" x14ac:dyDescent="0.2"/>
    <row r="108" spans="1:1" ht="14.25" customHeight="1" x14ac:dyDescent="0.2"/>
    <row r="109" spans="1:1" ht="14.25" customHeight="1" x14ac:dyDescent="0.2"/>
    <row r="110" spans="1:1" ht="14.25" customHeight="1" x14ac:dyDescent="0.2"/>
    <row r="111" spans="1:1" ht="14.25" customHeight="1" x14ac:dyDescent="0.2"/>
    <row r="112" spans="1:1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  <row r="1012" ht="14.25" customHeight="1" x14ac:dyDescent="0.2"/>
    <row r="1013" ht="14.25" customHeight="1" x14ac:dyDescent="0.2"/>
    <row r="1014" ht="14.25" customHeight="1" x14ac:dyDescent="0.2"/>
    <row r="1015" ht="14.25" customHeight="1" x14ac:dyDescent="0.2"/>
    <row r="1016" ht="14.25" customHeight="1" x14ac:dyDescent="0.2"/>
    <row r="1017" ht="14.25" customHeight="1" x14ac:dyDescent="0.2"/>
    <row r="1018" ht="14.25" customHeight="1" x14ac:dyDescent="0.2"/>
    <row r="1019" ht="14.25" customHeight="1" x14ac:dyDescent="0.2"/>
    <row r="1020" ht="14.25" customHeight="1" x14ac:dyDescent="0.2"/>
    <row r="1021" ht="14.25" customHeight="1" x14ac:dyDescent="0.2"/>
    <row r="1022" ht="14.25" customHeight="1" x14ac:dyDescent="0.2"/>
    <row r="1023" ht="14.25" customHeight="1" x14ac:dyDescent="0.2"/>
    <row r="1024" ht="14.25" customHeight="1" x14ac:dyDescent="0.2"/>
    <row r="1025" ht="14.25" customHeight="1" x14ac:dyDescent="0.2"/>
  </sheetData>
  <mergeCells count="12">
    <mergeCell ref="A54:G54"/>
    <mergeCell ref="A61:G61"/>
    <mergeCell ref="A72:G72"/>
    <mergeCell ref="A94:C94"/>
    <mergeCell ref="A96:G96"/>
    <mergeCell ref="A42:G42"/>
    <mergeCell ref="A49:G49"/>
    <mergeCell ref="A1:G1"/>
    <mergeCell ref="A2:G2"/>
    <mergeCell ref="A4:G4"/>
    <mergeCell ref="A17:G17"/>
    <mergeCell ref="A30:G30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rightToLeft="1" workbookViewId="0">
      <pane ySplit="4" topLeftCell="A5" activePane="bottomLeft" state="frozen"/>
      <selection pane="bottomLeft" activeCell="B6" sqref="B6"/>
    </sheetView>
  </sheetViews>
  <sheetFormatPr defaultColWidth="12.625" defaultRowHeight="15" customHeight="1" x14ac:dyDescent="0.2"/>
  <cols>
    <col min="1" max="1" width="12" customWidth="1"/>
    <col min="2" max="2" width="38" customWidth="1"/>
    <col min="3" max="3" width="14.375" customWidth="1"/>
    <col min="4" max="4" width="13.5" customWidth="1"/>
    <col min="5" max="5" width="14.5" customWidth="1"/>
    <col min="6" max="6" width="42" customWidth="1"/>
    <col min="7" max="7" width="12" customWidth="1"/>
    <col min="8" max="26" width="8.625" customWidth="1"/>
  </cols>
  <sheetData>
    <row r="1" spans="1:7" ht="24" customHeight="1" x14ac:dyDescent="0.2">
      <c r="A1" s="129" t="s">
        <v>0</v>
      </c>
      <c r="B1" s="127"/>
      <c r="C1" s="127"/>
      <c r="D1" s="127"/>
      <c r="E1" s="127"/>
      <c r="F1" s="127"/>
      <c r="G1" s="128"/>
    </row>
    <row r="2" spans="1:7" ht="14.25" customHeight="1" x14ac:dyDescent="0.25">
      <c r="A2" s="133" t="s">
        <v>4</v>
      </c>
      <c r="B2" s="127"/>
      <c r="C2" s="127"/>
      <c r="D2" s="128"/>
      <c r="E2" s="1">
        <v>-14704.95</v>
      </c>
      <c r="F2" s="2"/>
      <c r="G2" s="2"/>
    </row>
    <row r="3" spans="1:7" ht="14.25" customHeight="1" x14ac:dyDescent="0.2"/>
    <row r="4" spans="1:7" ht="14.25" customHeight="1" x14ac:dyDescent="0.2">
      <c r="A4" s="3" t="s">
        <v>8</v>
      </c>
      <c r="B4" s="3" t="s">
        <v>9</v>
      </c>
      <c r="C4" s="3" t="s">
        <v>10</v>
      </c>
      <c r="D4" s="3" t="s">
        <v>11</v>
      </c>
      <c r="E4" s="3" t="s">
        <v>12</v>
      </c>
      <c r="F4" s="3" t="s">
        <v>14</v>
      </c>
      <c r="G4" s="3" t="s">
        <v>15</v>
      </c>
    </row>
    <row r="5" spans="1:7" ht="14.25" customHeight="1" x14ac:dyDescent="0.2">
      <c r="A5" s="5" t="s">
        <v>16</v>
      </c>
      <c r="B5" s="6" t="s">
        <v>18</v>
      </c>
      <c r="C5" s="8"/>
      <c r="D5" s="9">
        <v>90</v>
      </c>
      <c r="E5" s="11">
        <v>-14794.95</v>
      </c>
      <c r="F5" s="13" t="s">
        <v>29</v>
      </c>
      <c r="G5" s="5" t="s">
        <v>30</v>
      </c>
    </row>
    <row r="6" spans="1:7" ht="14.25" customHeight="1" x14ac:dyDescent="0.2">
      <c r="A6" s="16" t="s">
        <v>16</v>
      </c>
      <c r="B6" s="12" t="s">
        <v>32</v>
      </c>
      <c r="C6" s="15"/>
      <c r="D6" s="18">
        <v>9165</v>
      </c>
      <c r="E6" s="19">
        <v>-23959.95</v>
      </c>
      <c r="F6" s="21" t="s">
        <v>34</v>
      </c>
      <c r="G6" s="16" t="s">
        <v>35</v>
      </c>
    </row>
    <row r="7" spans="1:7" ht="14.25" customHeight="1" x14ac:dyDescent="0.2">
      <c r="A7" s="5" t="s">
        <v>16</v>
      </c>
      <c r="B7" s="6" t="s">
        <v>37</v>
      </c>
      <c r="C7" s="8"/>
      <c r="D7" s="9">
        <v>87.45</v>
      </c>
      <c r="E7" s="11">
        <v>-24047.4</v>
      </c>
      <c r="F7" s="13" t="s">
        <v>29</v>
      </c>
      <c r="G7" s="5" t="s">
        <v>30</v>
      </c>
    </row>
    <row r="8" spans="1:7" ht="14.25" customHeight="1" x14ac:dyDescent="0.2">
      <c r="A8" s="5" t="s">
        <v>38</v>
      </c>
      <c r="B8" s="6" t="s">
        <v>39</v>
      </c>
      <c r="C8" s="8"/>
      <c r="D8" s="9">
        <v>1933.2</v>
      </c>
      <c r="E8" s="11">
        <v>-25980.600000000002</v>
      </c>
      <c r="F8" s="13" t="s">
        <v>29</v>
      </c>
      <c r="G8" s="5" t="s">
        <v>30</v>
      </c>
    </row>
    <row r="9" spans="1:7" ht="14.25" customHeight="1" x14ac:dyDescent="0.2">
      <c r="A9" s="5" t="s">
        <v>38</v>
      </c>
      <c r="B9" s="6" t="s">
        <v>40</v>
      </c>
      <c r="C9" s="8"/>
      <c r="D9" s="9">
        <v>6085.74</v>
      </c>
      <c r="E9" s="11">
        <v>-32066.340000000004</v>
      </c>
      <c r="F9" s="13" t="s">
        <v>29</v>
      </c>
      <c r="G9" s="5" t="s">
        <v>30</v>
      </c>
    </row>
    <row r="10" spans="1:7" ht="14.25" customHeight="1" x14ac:dyDescent="0.2">
      <c r="A10" s="5" t="s">
        <v>38</v>
      </c>
      <c r="B10" s="6" t="s">
        <v>41</v>
      </c>
      <c r="C10" s="8"/>
      <c r="D10" s="9">
        <v>1997.89</v>
      </c>
      <c r="E10" s="11">
        <v>-34064.230000000003</v>
      </c>
      <c r="F10" s="13" t="s">
        <v>29</v>
      </c>
      <c r="G10" s="5" t="s">
        <v>30</v>
      </c>
    </row>
    <row r="11" spans="1:7" ht="14.25" customHeight="1" x14ac:dyDescent="0.2">
      <c r="A11" s="5" t="s">
        <v>38</v>
      </c>
      <c r="B11" s="6" t="s">
        <v>42</v>
      </c>
      <c r="C11" s="8"/>
      <c r="D11" s="9">
        <v>450</v>
      </c>
      <c r="E11" s="11">
        <v>-34514.230000000003</v>
      </c>
      <c r="F11" s="13" t="s">
        <v>43</v>
      </c>
      <c r="G11" s="5" t="s">
        <v>30</v>
      </c>
    </row>
    <row r="12" spans="1:7" ht="14.25" customHeight="1" x14ac:dyDescent="0.2">
      <c r="A12" s="20" t="s">
        <v>38</v>
      </c>
      <c r="B12" s="14" t="s">
        <v>45</v>
      </c>
      <c r="C12" s="24">
        <v>30000</v>
      </c>
      <c r="D12" s="27"/>
      <c r="E12" s="28">
        <v>-4514.2300000000032</v>
      </c>
      <c r="F12" s="30" t="s">
        <v>49</v>
      </c>
      <c r="G12" s="20" t="s">
        <v>50</v>
      </c>
    </row>
    <row r="13" spans="1:7" ht="14.25" customHeight="1" x14ac:dyDescent="0.2">
      <c r="A13" s="16" t="s">
        <v>38</v>
      </c>
      <c r="B13" s="12" t="s">
        <v>53</v>
      </c>
      <c r="C13" s="15"/>
      <c r="D13" s="18">
        <v>2500</v>
      </c>
      <c r="E13" s="19">
        <v>-7014.2300000000032</v>
      </c>
      <c r="F13" s="21" t="s">
        <v>55</v>
      </c>
      <c r="G13" s="16" t="s">
        <v>35</v>
      </c>
    </row>
    <row r="14" spans="1:7" ht="14.25" customHeight="1" x14ac:dyDescent="0.2">
      <c r="A14" s="5" t="s">
        <v>58</v>
      </c>
      <c r="B14" s="6" t="s">
        <v>40</v>
      </c>
      <c r="C14" s="8"/>
      <c r="D14" s="9">
        <v>324.82</v>
      </c>
      <c r="E14" s="11">
        <v>-7339.0500000000029</v>
      </c>
      <c r="F14" s="13" t="s">
        <v>29</v>
      </c>
      <c r="G14" s="5" t="s">
        <v>30</v>
      </c>
    </row>
    <row r="15" spans="1:7" ht="14.25" customHeight="1" x14ac:dyDescent="0.2">
      <c r="A15" s="5" t="s">
        <v>60</v>
      </c>
      <c r="B15" s="6" t="s">
        <v>62</v>
      </c>
      <c r="C15" s="8"/>
      <c r="D15" s="9">
        <v>59825</v>
      </c>
      <c r="E15" s="11">
        <v>-67164.05</v>
      </c>
      <c r="F15" s="13" t="s">
        <v>64</v>
      </c>
      <c r="G15" s="5" t="s">
        <v>30</v>
      </c>
    </row>
    <row r="16" spans="1:7" ht="14.25" customHeight="1" x14ac:dyDescent="0.2">
      <c r="A16" s="5" t="s">
        <v>67</v>
      </c>
      <c r="B16" s="6" t="s">
        <v>39</v>
      </c>
      <c r="C16" s="8"/>
      <c r="D16" s="9">
        <v>45.9</v>
      </c>
      <c r="E16" s="11">
        <v>-67209.95</v>
      </c>
      <c r="F16" s="13" t="s">
        <v>29</v>
      </c>
      <c r="G16" s="5" t="s">
        <v>30</v>
      </c>
    </row>
    <row r="17" spans="1:7" ht="14.25" customHeight="1" x14ac:dyDescent="0.2">
      <c r="A17" s="5" t="s">
        <v>67</v>
      </c>
      <c r="B17" s="6" t="s">
        <v>40</v>
      </c>
      <c r="C17" s="8"/>
      <c r="D17" s="9">
        <v>74.900000000000006</v>
      </c>
      <c r="E17" s="11">
        <v>-67284.849999999991</v>
      </c>
      <c r="F17" s="13" t="s">
        <v>29</v>
      </c>
      <c r="G17" s="5" t="s">
        <v>30</v>
      </c>
    </row>
    <row r="18" spans="1:7" ht="14.25" customHeight="1" x14ac:dyDescent="0.2">
      <c r="A18" s="20" t="s">
        <v>67</v>
      </c>
      <c r="B18" s="14" t="s">
        <v>74</v>
      </c>
      <c r="C18" s="24">
        <v>25000</v>
      </c>
      <c r="D18" s="27"/>
      <c r="E18" s="28">
        <v>-42284.849999999991</v>
      </c>
      <c r="F18" s="30" t="s">
        <v>49</v>
      </c>
      <c r="G18" s="20" t="s">
        <v>50</v>
      </c>
    </row>
    <row r="19" spans="1:7" ht="14.25" customHeight="1" x14ac:dyDescent="0.2">
      <c r="A19" s="20" t="s">
        <v>67</v>
      </c>
      <c r="B19" s="14" t="s">
        <v>74</v>
      </c>
      <c r="C19" s="24">
        <v>25000</v>
      </c>
      <c r="D19" s="27"/>
      <c r="E19" s="28">
        <v>-17284.849999999991</v>
      </c>
      <c r="F19" s="30" t="s">
        <v>49</v>
      </c>
      <c r="G19" s="20" t="s">
        <v>50</v>
      </c>
    </row>
    <row r="20" spans="1:7" ht="14.25" customHeight="1" x14ac:dyDescent="0.2">
      <c r="A20" s="20" t="s">
        <v>84</v>
      </c>
      <c r="B20" s="14" t="s">
        <v>86</v>
      </c>
      <c r="C20" s="24">
        <v>43158.5</v>
      </c>
      <c r="D20" s="27"/>
      <c r="E20" s="28">
        <v>25873.650000000009</v>
      </c>
      <c r="F20" s="30" t="s">
        <v>87</v>
      </c>
      <c r="G20" s="20" t="s">
        <v>50</v>
      </c>
    </row>
    <row r="21" spans="1:7" ht="14.25" customHeight="1" x14ac:dyDescent="0.2">
      <c r="A21" s="5" t="s">
        <v>84</v>
      </c>
      <c r="B21" s="6" t="s">
        <v>40</v>
      </c>
      <c r="C21" s="8"/>
      <c r="D21" s="9">
        <v>43</v>
      </c>
      <c r="E21" s="11">
        <v>25830.650000000009</v>
      </c>
      <c r="F21" s="13" t="s">
        <v>29</v>
      </c>
      <c r="G21" s="5" t="s">
        <v>30</v>
      </c>
    </row>
    <row r="22" spans="1:7" ht="14.25" customHeight="1" x14ac:dyDescent="0.2">
      <c r="A22" s="5" t="s">
        <v>91</v>
      </c>
      <c r="B22" s="6" t="s">
        <v>40</v>
      </c>
      <c r="C22" s="8"/>
      <c r="D22" s="9">
        <v>3.9</v>
      </c>
      <c r="E22" s="11">
        <v>25826.750000000007</v>
      </c>
      <c r="F22" s="13" t="s">
        <v>29</v>
      </c>
      <c r="G22" s="5" t="s">
        <v>30</v>
      </c>
    </row>
    <row r="23" spans="1:7" ht="14.25" customHeight="1" x14ac:dyDescent="0.2">
      <c r="A23" s="16" t="s">
        <v>91</v>
      </c>
      <c r="B23" s="12" t="s">
        <v>95</v>
      </c>
      <c r="C23" s="15"/>
      <c r="D23" s="18">
        <v>18290</v>
      </c>
      <c r="E23" s="19">
        <v>7536.7500000000073</v>
      </c>
      <c r="F23" s="21" t="s">
        <v>96</v>
      </c>
      <c r="G23" s="16" t="s">
        <v>35</v>
      </c>
    </row>
    <row r="24" spans="1:7" ht="14.25" customHeight="1" x14ac:dyDescent="0.2">
      <c r="A24" s="16" t="s">
        <v>98</v>
      </c>
      <c r="B24" s="12" t="s">
        <v>99</v>
      </c>
      <c r="C24" s="15"/>
      <c r="D24" s="18">
        <v>349.02</v>
      </c>
      <c r="E24" s="19">
        <v>7187.7300000000068</v>
      </c>
      <c r="F24" s="21" t="s">
        <v>101</v>
      </c>
      <c r="G24" s="16" t="s">
        <v>35</v>
      </c>
    </row>
    <row r="25" spans="1:7" ht="14.25" customHeight="1" x14ac:dyDescent="0.2">
      <c r="A25" s="16" t="s">
        <v>98</v>
      </c>
      <c r="B25" s="12" t="s">
        <v>99</v>
      </c>
      <c r="C25" s="15"/>
      <c r="D25" s="18">
        <v>510.99</v>
      </c>
      <c r="E25" s="19">
        <v>6676.7400000000071</v>
      </c>
      <c r="F25" s="21" t="s">
        <v>101</v>
      </c>
      <c r="G25" s="16" t="s">
        <v>35</v>
      </c>
    </row>
    <row r="26" spans="1:7" ht="14.25" customHeight="1" x14ac:dyDescent="0.2">
      <c r="A26" s="16" t="s">
        <v>98</v>
      </c>
      <c r="B26" s="12" t="s">
        <v>99</v>
      </c>
      <c r="C26" s="15"/>
      <c r="D26" s="18">
        <v>840.59</v>
      </c>
      <c r="E26" s="19">
        <v>5836.1500000000069</v>
      </c>
      <c r="F26" s="21" t="s">
        <v>105</v>
      </c>
      <c r="G26" s="16" t="s">
        <v>35</v>
      </c>
    </row>
    <row r="27" spans="1:7" ht="14.25" customHeight="1" x14ac:dyDescent="0.2">
      <c r="A27" s="16" t="s">
        <v>98</v>
      </c>
      <c r="B27" s="12" t="s">
        <v>99</v>
      </c>
      <c r="C27" s="15"/>
      <c r="D27" s="18">
        <v>1110.96</v>
      </c>
      <c r="E27" s="19">
        <v>4725.1900000000069</v>
      </c>
      <c r="F27" s="21" t="s">
        <v>101</v>
      </c>
      <c r="G27" s="16" t="s">
        <v>35</v>
      </c>
    </row>
    <row r="28" spans="1:7" ht="14.25" customHeight="1" x14ac:dyDescent="0.2">
      <c r="A28" s="16" t="s">
        <v>98</v>
      </c>
      <c r="B28" s="12" t="s">
        <v>99</v>
      </c>
      <c r="C28" s="15"/>
      <c r="D28" s="18">
        <v>1299.1600000000001</v>
      </c>
      <c r="E28" s="19">
        <v>3426.030000000007</v>
      </c>
      <c r="F28" s="21" t="s">
        <v>101</v>
      </c>
      <c r="G28" s="16" t="s">
        <v>35</v>
      </c>
    </row>
    <row r="29" spans="1:7" ht="14.25" customHeight="1" x14ac:dyDescent="0.2">
      <c r="A29" s="16" t="s">
        <v>98</v>
      </c>
      <c r="B29" s="12" t="s">
        <v>99</v>
      </c>
      <c r="C29" s="15"/>
      <c r="D29" s="18">
        <v>2798.3</v>
      </c>
      <c r="E29" s="19">
        <v>627.73000000000684</v>
      </c>
      <c r="F29" s="21" t="s">
        <v>101</v>
      </c>
      <c r="G29" s="16" t="s">
        <v>35</v>
      </c>
    </row>
    <row r="30" spans="1:7" ht="14.25" customHeight="1" x14ac:dyDescent="0.2">
      <c r="A30" s="5" t="s">
        <v>98</v>
      </c>
      <c r="B30" s="6" t="s">
        <v>116</v>
      </c>
      <c r="C30" s="8"/>
      <c r="D30" s="9">
        <v>8820</v>
      </c>
      <c r="E30" s="11">
        <v>-8192.2699999999932</v>
      </c>
      <c r="F30" s="13" t="s">
        <v>118</v>
      </c>
      <c r="G30" s="5" t="s">
        <v>30</v>
      </c>
    </row>
    <row r="31" spans="1:7" ht="14.25" customHeight="1" x14ac:dyDescent="0.2">
      <c r="A31" s="5" t="s">
        <v>122</v>
      </c>
      <c r="B31" s="6" t="s">
        <v>123</v>
      </c>
      <c r="C31" s="8"/>
      <c r="D31" s="9">
        <v>500</v>
      </c>
      <c r="E31" s="11">
        <v>-8692.2699999999932</v>
      </c>
      <c r="F31" s="13" t="s">
        <v>124</v>
      </c>
      <c r="G31" s="5" t="s">
        <v>30</v>
      </c>
    </row>
    <row r="32" spans="1:7" ht="14.25" customHeight="1" x14ac:dyDescent="0.2">
      <c r="A32" s="20" t="s">
        <v>122</v>
      </c>
      <c r="B32" s="14" t="s">
        <v>125</v>
      </c>
      <c r="C32" s="24">
        <v>26697.5</v>
      </c>
      <c r="D32" s="27"/>
      <c r="E32" s="28">
        <v>18005.230000000007</v>
      </c>
      <c r="F32" s="30" t="s">
        <v>128</v>
      </c>
      <c r="G32" s="20" t="s">
        <v>50</v>
      </c>
    </row>
    <row r="33" spans="1:7" ht="14.25" customHeight="1" x14ac:dyDescent="0.2">
      <c r="A33" s="20" t="s">
        <v>122</v>
      </c>
      <c r="B33" s="14" t="s">
        <v>130</v>
      </c>
      <c r="C33" s="24">
        <v>112180.24</v>
      </c>
      <c r="D33" s="27"/>
      <c r="E33" s="28">
        <v>130185.47000000002</v>
      </c>
      <c r="F33" s="30" t="s">
        <v>134</v>
      </c>
      <c r="G33" s="20" t="s">
        <v>50</v>
      </c>
    </row>
    <row r="34" spans="1:7" ht="14.25" customHeight="1" x14ac:dyDescent="0.2">
      <c r="A34" s="16" t="s">
        <v>122</v>
      </c>
      <c r="B34" s="12" t="s">
        <v>135</v>
      </c>
      <c r="C34" s="15"/>
      <c r="D34" s="18">
        <v>6047</v>
      </c>
      <c r="E34" s="19">
        <v>124138.47000000002</v>
      </c>
      <c r="F34" s="21" t="s">
        <v>137</v>
      </c>
      <c r="G34" s="16" t="s">
        <v>35</v>
      </c>
    </row>
    <row r="35" spans="1:7" ht="14.25" customHeight="1" x14ac:dyDescent="0.2">
      <c r="A35" s="20" t="s">
        <v>122</v>
      </c>
      <c r="B35" s="14" t="s">
        <v>138</v>
      </c>
      <c r="C35" s="24">
        <v>25772</v>
      </c>
      <c r="D35" s="27"/>
      <c r="E35" s="28">
        <v>149910.47000000003</v>
      </c>
      <c r="F35" s="30" t="s">
        <v>139</v>
      </c>
      <c r="G35" s="20" t="s">
        <v>50</v>
      </c>
    </row>
    <row r="36" spans="1:7" ht="14.25" customHeight="1" x14ac:dyDescent="0.2">
      <c r="A36" s="20" t="s">
        <v>122</v>
      </c>
      <c r="B36" s="14" t="s">
        <v>141</v>
      </c>
      <c r="C36" s="24">
        <v>42075.85</v>
      </c>
      <c r="D36" s="27"/>
      <c r="E36" s="28">
        <v>191986.32000000004</v>
      </c>
      <c r="F36" s="30" t="s">
        <v>144</v>
      </c>
      <c r="G36" s="20" t="s">
        <v>50</v>
      </c>
    </row>
    <row r="37" spans="1:7" ht="14.25" customHeight="1" x14ac:dyDescent="0.2">
      <c r="A37" s="20" t="s">
        <v>122</v>
      </c>
      <c r="B37" s="14" t="s">
        <v>145</v>
      </c>
      <c r="C37" s="24">
        <v>182847</v>
      </c>
      <c r="D37" s="27"/>
      <c r="E37" s="28">
        <v>374833.32000000007</v>
      </c>
      <c r="F37" s="30" t="s">
        <v>147</v>
      </c>
      <c r="G37" s="20" t="s">
        <v>50</v>
      </c>
    </row>
    <row r="38" spans="1:7" ht="14.25" customHeight="1" x14ac:dyDescent="0.2">
      <c r="A38" s="16" t="s">
        <v>149</v>
      </c>
      <c r="B38" s="12" t="s">
        <v>135</v>
      </c>
      <c r="C38" s="15"/>
      <c r="D38" s="18">
        <v>10880</v>
      </c>
      <c r="E38" s="19">
        <v>363953.32000000007</v>
      </c>
      <c r="F38" s="21" t="s">
        <v>137</v>
      </c>
      <c r="G38" s="16" t="s">
        <v>35</v>
      </c>
    </row>
    <row r="39" spans="1:7" ht="14.25" customHeight="1" x14ac:dyDescent="0.2">
      <c r="A39" s="16" t="s">
        <v>149</v>
      </c>
      <c r="B39" s="12" t="s">
        <v>135</v>
      </c>
      <c r="C39" s="15"/>
      <c r="D39" s="18">
        <v>14000</v>
      </c>
      <c r="E39" s="19">
        <v>349953.32000000007</v>
      </c>
      <c r="F39" s="21" t="s">
        <v>137</v>
      </c>
      <c r="G39" s="16" t="s">
        <v>35</v>
      </c>
    </row>
    <row r="40" spans="1:7" ht="14.25" customHeight="1" x14ac:dyDescent="0.2">
      <c r="A40" s="5" t="s">
        <v>149</v>
      </c>
      <c r="B40" s="6" t="s">
        <v>153</v>
      </c>
      <c r="C40" s="8"/>
      <c r="D40" s="9">
        <v>16520</v>
      </c>
      <c r="E40" s="11">
        <v>333433.32000000007</v>
      </c>
      <c r="F40" s="13" t="s">
        <v>154</v>
      </c>
      <c r="G40" s="5" t="s">
        <v>30</v>
      </c>
    </row>
    <row r="41" spans="1:7" ht="14.25" customHeight="1" x14ac:dyDescent="0.2">
      <c r="A41" s="5" t="s">
        <v>149</v>
      </c>
      <c r="B41" s="6" t="s">
        <v>156</v>
      </c>
      <c r="C41" s="8"/>
      <c r="D41" s="9">
        <v>100000</v>
      </c>
      <c r="E41" s="11">
        <v>233433.32000000007</v>
      </c>
      <c r="F41" s="13" t="s">
        <v>158</v>
      </c>
      <c r="G41" s="5" t="s">
        <v>30</v>
      </c>
    </row>
    <row r="42" spans="1:7" ht="14.25" customHeight="1" x14ac:dyDescent="0.2">
      <c r="A42" s="16" t="s">
        <v>149</v>
      </c>
      <c r="B42" s="12" t="s">
        <v>159</v>
      </c>
      <c r="C42" s="15"/>
      <c r="D42" s="18">
        <v>12980</v>
      </c>
      <c r="E42" s="19">
        <v>220453.32000000007</v>
      </c>
      <c r="F42" s="21" t="s">
        <v>160</v>
      </c>
      <c r="G42" s="16" t="s">
        <v>35</v>
      </c>
    </row>
    <row r="43" spans="1:7" ht="14.25" customHeight="1" x14ac:dyDescent="0.2">
      <c r="A43" s="16" t="s">
        <v>149</v>
      </c>
      <c r="B43" s="12" t="s">
        <v>162</v>
      </c>
      <c r="C43" s="15"/>
      <c r="D43" s="18">
        <v>8850</v>
      </c>
      <c r="E43" s="19">
        <v>211603.32000000007</v>
      </c>
      <c r="F43" s="21" t="s">
        <v>164</v>
      </c>
      <c r="G43" s="16" t="s">
        <v>35</v>
      </c>
    </row>
    <row r="44" spans="1:7" ht="14.25" customHeight="1" x14ac:dyDescent="0.2">
      <c r="A44" s="5" t="s">
        <v>149</v>
      </c>
      <c r="B44" s="6" t="s">
        <v>165</v>
      </c>
      <c r="C44" s="8"/>
      <c r="D44" s="9">
        <v>9659</v>
      </c>
      <c r="E44" s="11">
        <v>201944.32000000007</v>
      </c>
      <c r="F44" s="13" t="s">
        <v>169</v>
      </c>
      <c r="G44" s="5" t="s">
        <v>30</v>
      </c>
    </row>
    <row r="45" spans="1:7" ht="14.25" customHeight="1" x14ac:dyDescent="0.2">
      <c r="A45" s="5" t="s">
        <v>149</v>
      </c>
      <c r="B45" s="6" t="s">
        <v>172</v>
      </c>
      <c r="C45" s="8"/>
      <c r="D45" s="9">
        <v>504.45</v>
      </c>
      <c r="E45" s="11">
        <v>201439.87000000005</v>
      </c>
      <c r="F45" s="13" t="s">
        <v>173</v>
      </c>
      <c r="G45" s="5" t="s">
        <v>30</v>
      </c>
    </row>
    <row r="46" spans="1:7" ht="14.25" customHeight="1" x14ac:dyDescent="0.2">
      <c r="A46" s="20" t="s">
        <v>175</v>
      </c>
      <c r="B46" s="14" t="s">
        <v>178</v>
      </c>
      <c r="C46" s="24">
        <v>2.89</v>
      </c>
      <c r="D46" s="27"/>
      <c r="E46" s="28">
        <v>201442.76000000007</v>
      </c>
      <c r="F46" s="30" t="s">
        <v>179</v>
      </c>
      <c r="G46" s="20" t="s">
        <v>50</v>
      </c>
    </row>
    <row r="47" spans="1:7" ht="14.25" customHeight="1" x14ac:dyDescent="0.2">
      <c r="A47" s="20" t="s">
        <v>175</v>
      </c>
      <c r="B47" s="14" t="s">
        <v>181</v>
      </c>
      <c r="C47" s="24">
        <v>45593.63</v>
      </c>
      <c r="D47" s="27"/>
      <c r="E47" s="28">
        <v>247036.39000000007</v>
      </c>
      <c r="F47" s="30" t="s">
        <v>183</v>
      </c>
      <c r="G47" s="20" t="s">
        <v>50</v>
      </c>
    </row>
    <row r="48" spans="1:7" ht="14.25" customHeight="1" x14ac:dyDescent="0.2">
      <c r="A48" s="5" t="s">
        <v>175</v>
      </c>
      <c r="B48" s="6" t="s">
        <v>186</v>
      </c>
      <c r="C48" s="8"/>
      <c r="D48" s="9">
        <v>45596.52</v>
      </c>
      <c r="E48" s="11">
        <v>201439.87000000008</v>
      </c>
      <c r="F48" s="13" t="s">
        <v>183</v>
      </c>
      <c r="G48" s="5" t="s">
        <v>30</v>
      </c>
    </row>
    <row r="49" spans="1:7" ht="14.25" customHeight="1" x14ac:dyDescent="0.2">
      <c r="A49" s="5" t="s">
        <v>175</v>
      </c>
      <c r="B49" s="6" t="s">
        <v>40</v>
      </c>
      <c r="C49" s="8"/>
      <c r="D49" s="9">
        <v>350.13</v>
      </c>
      <c r="E49" s="11">
        <v>201089.74000000008</v>
      </c>
      <c r="F49" s="13" t="s">
        <v>29</v>
      </c>
      <c r="G49" s="5" t="s">
        <v>30</v>
      </c>
    </row>
    <row r="50" spans="1:7" ht="14.25" customHeight="1" x14ac:dyDescent="0.2">
      <c r="A50" s="20" t="s">
        <v>175</v>
      </c>
      <c r="B50" s="14" t="s">
        <v>195</v>
      </c>
      <c r="C50" s="24">
        <v>6000</v>
      </c>
      <c r="D50" s="27"/>
      <c r="E50" s="28">
        <v>207089.74000000008</v>
      </c>
      <c r="F50" s="30" t="s">
        <v>197</v>
      </c>
      <c r="G50" s="20" t="s">
        <v>50</v>
      </c>
    </row>
    <row r="51" spans="1:7" ht="14.25" customHeight="1" x14ac:dyDescent="0.2">
      <c r="A51" s="16" t="s">
        <v>175</v>
      </c>
      <c r="B51" s="12" t="s">
        <v>201</v>
      </c>
      <c r="C51" s="15"/>
      <c r="D51" s="18">
        <v>7000</v>
      </c>
      <c r="E51" s="19">
        <v>200089.74000000008</v>
      </c>
      <c r="F51" s="21" t="s">
        <v>203</v>
      </c>
      <c r="G51" s="16" t="s">
        <v>35</v>
      </c>
    </row>
    <row r="52" spans="1:7" ht="14.25" customHeight="1" x14ac:dyDescent="0.2">
      <c r="A52" s="16" t="s">
        <v>175</v>
      </c>
      <c r="B52" s="12" t="s">
        <v>206</v>
      </c>
      <c r="C52" s="15"/>
      <c r="D52" s="18">
        <v>9600</v>
      </c>
      <c r="E52" s="19">
        <v>190489.74000000008</v>
      </c>
      <c r="F52" s="21" t="s">
        <v>208</v>
      </c>
      <c r="G52" s="16" t="s">
        <v>35</v>
      </c>
    </row>
    <row r="53" spans="1:7" ht="14.25" customHeight="1" x14ac:dyDescent="0.2">
      <c r="A53" s="16" t="s">
        <v>175</v>
      </c>
      <c r="B53" s="12" t="s">
        <v>210</v>
      </c>
      <c r="C53" s="15"/>
      <c r="D53" s="18">
        <v>4000</v>
      </c>
      <c r="E53" s="19">
        <v>186489.74000000008</v>
      </c>
      <c r="F53" s="21" t="s">
        <v>212</v>
      </c>
      <c r="G53" s="16" t="s">
        <v>35</v>
      </c>
    </row>
    <row r="54" spans="1:7" ht="14.25" customHeight="1" x14ac:dyDescent="0.2">
      <c r="A54" s="16" t="s">
        <v>175</v>
      </c>
      <c r="B54" s="12" t="s">
        <v>216</v>
      </c>
      <c r="C54" s="15"/>
      <c r="D54" s="18">
        <v>4000</v>
      </c>
      <c r="E54" s="19">
        <v>182489.74000000008</v>
      </c>
      <c r="F54" s="21" t="s">
        <v>217</v>
      </c>
      <c r="G54" s="16" t="s">
        <v>35</v>
      </c>
    </row>
    <row r="55" spans="1:7" ht="14.25" customHeight="1" x14ac:dyDescent="0.2">
      <c r="A55" s="16" t="s">
        <v>175</v>
      </c>
      <c r="B55" s="12" t="s">
        <v>226</v>
      </c>
      <c r="C55" s="15"/>
      <c r="D55" s="18">
        <v>3000</v>
      </c>
      <c r="E55" s="19">
        <v>179489.74000000008</v>
      </c>
      <c r="F55" s="21" t="s">
        <v>229</v>
      </c>
      <c r="G55" s="16" t="s">
        <v>35</v>
      </c>
    </row>
    <row r="56" spans="1:7" ht="14.25" customHeight="1" x14ac:dyDescent="0.2">
      <c r="A56" s="5" t="s">
        <v>175</v>
      </c>
      <c r="B56" s="6" t="s">
        <v>233</v>
      </c>
      <c r="C56" s="8"/>
      <c r="D56" s="9">
        <v>1770</v>
      </c>
      <c r="E56" s="11">
        <v>177719.74000000008</v>
      </c>
      <c r="F56" s="13" t="s">
        <v>169</v>
      </c>
      <c r="G56" s="5" t="s">
        <v>30</v>
      </c>
    </row>
    <row r="57" spans="1:7" ht="14.25" customHeight="1" x14ac:dyDescent="0.2">
      <c r="A57" s="16" t="s">
        <v>175</v>
      </c>
      <c r="B57" s="12" t="s">
        <v>238</v>
      </c>
      <c r="C57" s="15"/>
      <c r="D57" s="18">
        <v>4700</v>
      </c>
      <c r="E57" s="19">
        <v>173019.74000000008</v>
      </c>
      <c r="F57" s="21" t="s">
        <v>239</v>
      </c>
      <c r="G57" s="16" t="s">
        <v>35</v>
      </c>
    </row>
    <row r="58" spans="1:7" ht="14.25" customHeight="1" x14ac:dyDescent="0.2">
      <c r="A58" s="5" t="s">
        <v>240</v>
      </c>
      <c r="B58" s="6" t="s">
        <v>241</v>
      </c>
      <c r="C58" s="8"/>
      <c r="D58" s="9">
        <v>7967.63</v>
      </c>
      <c r="E58" s="11">
        <v>165052.11000000007</v>
      </c>
      <c r="F58" s="13" t="s">
        <v>29</v>
      </c>
      <c r="G58" s="5" t="s">
        <v>30</v>
      </c>
    </row>
    <row r="59" spans="1:7" ht="14.25" customHeight="1" x14ac:dyDescent="0.2">
      <c r="A59" s="5" t="s">
        <v>240</v>
      </c>
      <c r="B59" s="6" t="s">
        <v>39</v>
      </c>
      <c r="C59" s="8"/>
      <c r="D59" s="9">
        <v>10127.67</v>
      </c>
      <c r="E59" s="11">
        <v>154924.44000000006</v>
      </c>
      <c r="F59" s="13" t="s">
        <v>29</v>
      </c>
      <c r="G59" s="5" t="s">
        <v>30</v>
      </c>
    </row>
    <row r="60" spans="1:7" ht="14.25" customHeight="1" x14ac:dyDescent="0.2">
      <c r="A60" s="20" t="s">
        <v>240</v>
      </c>
      <c r="B60" s="14" t="s">
        <v>243</v>
      </c>
      <c r="C60" s="24">
        <v>35643.379999999997</v>
      </c>
      <c r="D60" s="27"/>
      <c r="E60" s="28">
        <v>190567.82000000007</v>
      </c>
      <c r="F60" s="30" t="s">
        <v>244</v>
      </c>
      <c r="G60" s="20" t="s">
        <v>50</v>
      </c>
    </row>
    <row r="61" spans="1:7" ht="14.25" customHeight="1" x14ac:dyDescent="0.2">
      <c r="A61" s="5" t="s">
        <v>240</v>
      </c>
      <c r="B61" s="6" t="s">
        <v>41</v>
      </c>
      <c r="C61" s="8"/>
      <c r="D61" s="9">
        <v>3795.77</v>
      </c>
      <c r="E61" s="11">
        <v>186772.05000000008</v>
      </c>
      <c r="F61" s="13" t="s">
        <v>29</v>
      </c>
      <c r="G61" s="5" t="s">
        <v>30</v>
      </c>
    </row>
    <row r="62" spans="1:7" ht="14.25" customHeight="1" x14ac:dyDescent="0.2">
      <c r="A62" s="20" t="s">
        <v>240</v>
      </c>
      <c r="B62" s="14" t="s">
        <v>195</v>
      </c>
      <c r="C62" s="24">
        <v>2360</v>
      </c>
      <c r="D62" s="27"/>
      <c r="E62" s="28">
        <v>189132.05000000008</v>
      </c>
      <c r="F62" s="30" t="s">
        <v>197</v>
      </c>
      <c r="G62" s="20" t="s">
        <v>50</v>
      </c>
    </row>
    <row r="63" spans="1:7" ht="14.25" customHeight="1" x14ac:dyDescent="0.2">
      <c r="A63" s="20" t="s">
        <v>240</v>
      </c>
      <c r="B63" s="14" t="s">
        <v>250</v>
      </c>
      <c r="C63" s="24">
        <v>20000</v>
      </c>
      <c r="D63" s="27"/>
      <c r="E63" s="28">
        <v>209132.05000000008</v>
      </c>
      <c r="F63" s="30" t="s">
        <v>253</v>
      </c>
      <c r="G63" s="20" t="s">
        <v>50</v>
      </c>
    </row>
    <row r="64" spans="1:7" ht="14.25" customHeight="1" x14ac:dyDescent="0.2">
      <c r="A64" s="20" t="s">
        <v>254</v>
      </c>
      <c r="B64" s="14" t="s">
        <v>255</v>
      </c>
      <c r="C64" s="24">
        <v>7174.4</v>
      </c>
      <c r="D64" s="27"/>
      <c r="E64" s="28">
        <v>216306.45000000007</v>
      </c>
      <c r="F64" s="30" t="s">
        <v>258</v>
      </c>
      <c r="G64" s="20" t="s">
        <v>50</v>
      </c>
    </row>
    <row r="65" spans="1:7" ht="14.25" customHeight="1" x14ac:dyDescent="0.2">
      <c r="A65" s="20" t="s">
        <v>254</v>
      </c>
      <c r="B65" s="14" t="s">
        <v>259</v>
      </c>
      <c r="C65" s="24">
        <v>29658</v>
      </c>
      <c r="D65" s="27"/>
      <c r="E65" s="28">
        <v>245964.45000000007</v>
      </c>
      <c r="F65" s="30" t="s">
        <v>253</v>
      </c>
      <c r="G65" s="20" t="s">
        <v>50</v>
      </c>
    </row>
    <row r="66" spans="1:7" ht="14.25" customHeight="1" x14ac:dyDescent="0.2">
      <c r="A66" s="20" t="s">
        <v>262</v>
      </c>
      <c r="B66" s="14" t="s">
        <v>263</v>
      </c>
      <c r="C66" s="24">
        <v>63148</v>
      </c>
      <c r="D66" s="27"/>
      <c r="E66" s="28">
        <v>309112.45000000007</v>
      </c>
      <c r="F66" s="30" t="s">
        <v>264</v>
      </c>
      <c r="G66" s="20" t="s">
        <v>50</v>
      </c>
    </row>
    <row r="67" spans="1:7" ht="14.25" customHeight="1" x14ac:dyDescent="0.2">
      <c r="A67" s="5" t="s">
        <v>262</v>
      </c>
      <c r="B67" s="6" t="s">
        <v>40</v>
      </c>
      <c r="C67" s="8"/>
      <c r="D67" s="9">
        <v>74.900000000000006</v>
      </c>
      <c r="E67" s="11">
        <v>309037.55000000005</v>
      </c>
      <c r="F67" s="13" t="s">
        <v>29</v>
      </c>
      <c r="G67" s="5" t="s">
        <v>30</v>
      </c>
    </row>
    <row r="68" spans="1:7" ht="14.25" customHeight="1" x14ac:dyDescent="0.2">
      <c r="A68" s="16" t="s">
        <v>266</v>
      </c>
      <c r="B68" s="12" t="s">
        <v>268</v>
      </c>
      <c r="C68" s="15"/>
      <c r="D68" s="18">
        <v>1357</v>
      </c>
      <c r="E68" s="19">
        <v>307680.55000000005</v>
      </c>
      <c r="F68" s="21" t="s">
        <v>269</v>
      </c>
      <c r="G68" s="16" t="s">
        <v>35</v>
      </c>
    </row>
    <row r="69" spans="1:7" ht="14.25" customHeight="1" x14ac:dyDescent="0.2">
      <c r="A69" s="5" t="s">
        <v>266</v>
      </c>
      <c r="B69" s="6" t="s">
        <v>156</v>
      </c>
      <c r="C69" s="8"/>
      <c r="D69" s="9">
        <v>66380.44</v>
      </c>
      <c r="E69" s="11">
        <v>241300.11000000004</v>
      </c>
      <c r="F69" s="13" t="s">
        <v>158</v>
      </c>
      <c r="G69" s="5" t="s">
        <v>30</v>
      </c>
    </row>
    <row r="70" spans="1:7" ht="14.25" customHeight="1" x14ac:dyDescent="0.2">
      <c r="A70" s="20" t="s">
        <v>271</v>
      </c>
      <c r="B70" s="14" t="s">
        <v>272</v>
      </c>
      <c r="C70" s="24">
        <v>40000</v>
      </c>
      <c r="D70" s="27"/>
      <c r="E70" s="28">
        <v>281300.11000000004</v>
      </c>
      <c r="F70" s="30" t="s">
        <v>274</v>
      </c>
      <c r="G70" s="20" t="s">
        <v>50</v>
      </c>
    </row>
    <row r="71" spans="1:7" ht="14.25" customHeight="1" x14ac:dyDescent="0.2">
      <c r="A71" s="5" t="s">
        <v>271</v>
      </c>
      <c r="B71" s="6" t="s">
        <v>276</v>
      </c>
      <c r="C71" s="8"/>
      <c r="D71" s="9">
        <v>4097.78</v>
      </c>
      <c r="E71" s="11">
        <v>277202.33</v>
      </c>
      <c r="F71" s="13" t="s">
        <v>278</v>
      </c>
      <c r="G71" s="5" t="s">
        <v>30</v>
      </c>
    </row>
    <row r="72" spans="1:7" ht="14.25" customHeight="1" x14ac:dyDescent="0.2">
      <c r="A72" s="16" t="s">
        <v>271</v>
      </c>
      <c r="B72" s="12" t="s">
        <v>279</v>
      </c>
      <c r="C72" s="15"/>
      <c r="D72" s="18">
        <v>1825</v>
      </c>
      <c r="E72" s="19">
        <v>275377.33</v>
      </c>
      <c r="F72" s="21" t="s">
        <v>283</v>
      </c>
      <c r="G72" s="16" t="s">
        <v>35</v>
      </c>
    </row>
    <row r="73" spans="1:7" ht="14.25" customHeight="1" x14ac:dyDescent="0.2">
      <c r="A73" s="5" t="s">
        <v>271</v>
      </c>
      <c r="B73" s="6" t="s">
        <v>285</v>
      </c>
      <c r="C73" s="8"/>
      <c r="D73" s="9">
        <v>25773.599999999999</v>
      </c>
      <c r="E73" s="11">
        <v>249603.73</v>
      </c>
      <c r="F73" s="13" t="s">
        <v>287</v>
      </c>
      <c r="G73" s="5" t="s">
        <v>30</v>
      </c>
    </row>
    <row r="74" spans="1:7" ht="14.25" customHeight="1" x14ac:dyDescent="0.2">
      <c r="A74" s="5" t="s">
        <v>289</v>
      </c>
      <c r="B74" s="6" t="s">
        <v>233</v>
      </c>
      <c r="C74" s="8"/>
      <c r="D74" s="9">
        <v>4303</v>
      </c>
      <c r="E74" s="11">
        <v>245300.73</v>
      </c>
      <c r="F74" s="13" t="s">
        <v>169</v>
      </c>
      <c r="G74" s="5" t="s">
        <v>30</v>
      </c>
    </row>
    <row r="75" spans="1:7" ht="14.25" customHeight="1" x14ac:dyDescent="0.2">
      <c r="A75" s="5" t="s">
        <v>289</v>
      </c>
      <c r="B75" s="6" t="s">
        <v>292</v>
      </c>
      <c r="C75" s="8"/>
      <c r="D75" s="9">
        <v>164926.24</v>
      </c>
      <c r="E75" s="11">
        <v>80374.49000000002</v>
      </c>
      <c r="F75" s="13" t="s">
        <v>293</v>
      </c>
      <c r="G75" s="5" t="s">
        <v>30</v>
      </c>
    </row>
    <row r="76" spans="1:7" ht="14.25" customHeight="1" x14ac:dyDescent="0.2">
      <c r="A76" s="20" t="s">
        <v>295</v>
      </c>
      <c r="B76" s="14" t="s">
        <v>296</v>
      </c>
      <c r="C76" s="24">
        <v>150119.5</v>
      </c>
      <c r="D76" s="27"/>
      <c r="E76" s="28">
        <v>230493.99000000002</v>
      </c>
      <c r="F76" s="30" t="s">
        <v>297</v>
      </c>
      <c r="G76" s="20" t="s">
        <v>50</v>
      </c>
    </row>
    <row r="77" spans="1:7" ht="14.25" customHeight="1" x14ac:dyDescent="0.2">
      <c r="A77" s="5" t="s">
        <v>298</v>
      </c>
      <c r="B77" s="6" t="s">
        <v>299</v>
      </c>
      <c r="C77" s="8"/>
      <c r="D77" s="9">
        <v>132462</v>
      </c>
      <c r="E77" s="11">
        <v>98031.99000000002</v>
      </c>
      <c r="F77" s="13" t="s">
        <v>301</v>
      </c>
      <c r="G77" s="5" t="s">
        <v>30</v>
      </c>
    </row>
    <row r="78" spans="1:7" ht="14.25" customHeight="1" x14ac:dyDescent="0.2">
      <c r="A78" s="5" t="s">
        <v>302</v>
      </c>
      <c r="B78" s="6" t="s">
        <v>303</v>
      </c>
      <c r="C78" s="8"/>
      <c r="D78" s="9">
        <v>100000</v>
      </c>
      <c r="E78" s="11">
        <v>-1968.0099999999802</v>
      </c>
      <c r="F78" s="13" t="s">
        <v>305</v>
      </c>
      <c r="G78" s="5" t="s">
        <v>30</v>
      </c>
    </row>
    <row r="79" spans="1:7" ht="14.25" customHeight="1" x14ac:dyDescent="0.2">
      <c r="A79" s="20" t="s">
        <v>306</v>
      </c>
      <c r="B79" s="14" t="s">
        <v>74</v>
      </c>
      <c r="C79" s="24">
        <v>32951</v>
      </c>
      <c r="D79" s="27"/>
      <c r="E79" s="28">
        <v>30982.99000000002</v>
      </c>
      <c r="F79" s="30" t="s">
        <v>49</v>
      </c>
      <c r="G79" s="20" t="s">
        <v>50</v>
      </c>
    </row>
    <row r="80" spans="1:7" ht="14.25" customHeight="1" x14ac:dyDescent="0.2">
      <c r="A80" s="20" t="s">
        <v>308</v>
      </c>
      <c r="B80" s="14" t="s">
        <v>309</v>
      </c>
      <c r="C80" s="24">
        <v>5.5</v>
      </c>
      <c r="D80" s="27"/>
      <c r="E80" s="28">
        <v>30988.49000000002</v>
      </c>
      <c r="F80" s="30" t="s">
        <v>310</v>
      </c>
      <c r="G80" s="20" t="s">
        <v>50</v>
      </c>
    </row>
    <row r="81" spans="1:7" ht="14.25" customHeight="1" x14ac:dyDescent="0.2">
      <c r="A81" s="16" t="s">
        <v>308</v>
      </c>
      <c r="B81" s="12" t="s">
        <v>312</v>
      </c>
      <c r="C81" s="15"/>
      <c r="D81" s="18">
        <v>5120</v>
      </c>
      <c r="E81" s="19">
        <v>25868.49000000002</v>
      </c>
      <c r="F81" s="21" t="s">
        <v>315</v>
      </c>
      <c r="G81" s="16" t="s">
        <v>35</v>
      </c>
    </row>
    <row r="82" spans="1:7" ht="14.25" customHeight="1" x14ac:dyDescent="0.2">
      <c r="A82" s="20" t="s">
        <v>308</v>
      </c>
      <c r="B82" s="14" t="s">
        <v>316</v>
      </c>
      <c r="C82" s="24">
        <v>40000</v>
      </c>
      <c r="D82" s="27"/>
      <c r="E82" s="28">
        <v>65868.49000000002</v>
      </c>
      <c r="F82" s="30" t="s">
        <v>274</v>
      </c>
      <c r="G82" s="20" t="s">
        <v>50</v>
      </c>
    </row>
    <row r="83" spans="1:7" ht="14.25" customHeight="1" x14ac:dyDescent="0.2">
      <c r="A83" s="5" t="s">
        <v>308</v>
      </c>
      <c r="B83" s="6" t="s">
        <v>322</v>
      </c>
      <c r="C83" s="8"/>
      <c r="D83" s="9">
        <v>70837</v>
      </c>
      <c r="E83" s="11">
        <v>-4968.5099999999802</v>
      </c>
      <c r="F83" s="13" t="s">
        <v>305</v>
      </c>
      <c r="G83" s="5" t="s">
        <v>30</v>
      </c>
    </row>
    <row r="84" spans="1:7" ht="14.25" customHeight="1" x14ac:dyDescent="0.2">
      <c r="A84" s="20" t="s">
        <v>324</v>
      </c>
      <c r="B84" s="14" t="s">
        <v>316</v>
      </c>
      <c r="C84" s="24">
        <v>25000</v>
      </c>
      <c r="D84" s="27"/>
      <c r="E84" s="28">
        <v>20031.49000000002</v>
      </c>
      <c r="F84" s="30" t="s">
        <v>274</v>
      </c>
      <c r="G84" s="20" t="s">
        <v>50</v>
      </c>
    </row>
    <row r="85" spans="1:7" ht="14.25" customHeight="1" x14ac:dyDescent="0.2">
      <c r="A85" s="16" t="s">
        <v>94</v>
      </c>
      <c r="B85" s="12" t="s">
        <v>329</v>
      </c>
      <c r="C85" s="15"/>
      <c r="D85" s="18">
        <v>5056</v>
      </c>
      <c r="E85" s="19">
        <v>14975.49000000002</v>
      </c>
      <c r="F85" s="21" t="s">
        <v>331</v>
      </c>
      <c r="G85" s="16" t="s">
        <v>35</v>
      </c>
    </row>
    <row r="86" spans="1:7" ht="14.25" customHeight="1" x14ac:dyDescent="0.2">
      <c r="A86" s="16" t="s">
        <v>94</v>
      </c>
      <c r="B86" s="12" t="s">
        <v>135</v>
      </c>
      <c r="C86" s="15"/>
      <c r="D86" s="18">
        <v>4000</v>
      </c>
      <c r="E86" s="19">
        <v>10975.49000000002</v>
      </c>
      <c r="F86" s="21" t="s">
        <v>137</v>
      </c>
      <c r="G86" s="16" t="s">
        <v>35</v>
      </c>
    </row>
    <row r="87" spans="1:7" ht="14.25" customHeight="1" x14ac:dyDescent="0.2">
      <c r="A87" s="20" t="s">
        <v>94</v>
      </c>
      <c r="B87" s="14" t="s">
        <v>45</v>
      </c>
      <c r="C87" s="24">
        <v>25000</v>
      </c>
      <c r="D87" s="27"/>
      <c r="E87" s="28">
        <v>35975.49000000002</v>
      </c>
      <c r="F87" s="30" t="s">
        <v>49</v>
      </c>
      <c r="G87" s="20" t="s">
        <v>50</v>
      </c>
    </row>
    <row r="88" spans="1:7" ht="14.25" customHeight="1" x14ac:dyDescent="0.2">
      <c r="A88" s="5" t="s">
        <v>94</v>
      </c>
      <c r="B88" s="6" t="s">
        <v>336</v>
      </c>
      <c r="C88" s="8"/>
      <c r="D88" s="9">
        <v>42764.639999999999</v>
      </c>
      <c r="E88" s="11">
        <v>-6789.15</v>
      </c>
      <c r="F88" s="13" t="s">
        <v>158</v>
      </c>
      <c r="G88" s="5" t="s">
        <v>30</v>
      </c>
    </row>
    <row r="89" spans="1:7" ht="14.25" customHeight="1" x14ac:dyDescent="0.2">
      <c r="A89" s="10" t="s">
        <v>338</v>
      </c>
      <c r="B89" s="12"/>
      <c r="C89" s="15"/>
      <c r="D89" s="18"/>
      <c r="E89" s="57">
        <v>-6789.15</v>
      </c>
      <c r="F89" s="21"/>
      <c r="G89" s="16"/>
    </row>
    <row r="90" spans="1:7" ht="14.25" customHeight="1" x14ac:dyDescent="0.2"/>
    <row r="91" spans="1:7" ht="14.25" customHeight="1" x14ac:dyDescent="0.2">
      <c r="A91" s="58" t="s">
        <v>345</v>
      </c>
    </row>
    <row r="92" spans="1:7" ht="14.25" customHeight="1" x14ac:dyDescent="0.2">
      <c r="A92" s="58" t="s">
        <v>348</v>
      </c>
    </row>
    <row r="93" spans="1:7" ht="14.25" customHeight="1" x14ac:dyDescent="0.2"/>
    <row r="94" spans="1:7" ht="14.25" customHeight="1" x14ac:dyDescent="0.2"/>
    <row r="95" spans="1:7" ht="14.25" customHeight="1" x14ac:dyDescent="0.2"/>
    <row r="96" spans="1:7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">
    <mergeCell ref="A1:G1"/>
    <mergeCell ref="A2:D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rightToLeft="1" workbookViewId="0">
      <pane ySplit="4" topLeftCell="A5" activePane="bottomLeft" state="frozen"/>
      <selection pane="bottomLeft" activeCell="B6" sqref="B6"/>
    </sheetView>
  </sheetViews>
  <sheetFormatPr defaultColWidth="12.625" defaultRowHeight="15" customHeight="1" x14ac:dyDescent="0.2"/>
  <cols>
    <col min="1" max="1" width="12" customWidth="1"/>
    <col min="2" max="2" width="38" customWidth="1"/>
    <col min="3" max="3" width="14.375" customWidth="1"/>
    <col min="4" max="4" width="13.5" customWidth="1"/>
    <col min="5" max="5" width="14.5" customWidth="1"/>
    <col min="6" max="6" width="42" customWidth="1"/>
    <col min="7" max="7" width="12" customWidth="1"/>
    <col min="8" max="8" width="17.75" customWidth="1"/>
    <col min="9" max="26" width="8.625" customWidth="1"/>
  </cols>
  <sheetData>
    <row r="1" spans="1:8" ht="24" customHeight="1" x14ac:dyDescent="0.2">
      <c r="A1" s="129" t="s">
        <v>2</v>
      </c>
      <c r="B1" s="127"/>
      <c r="C1" s="127"/>
      <c r="D1" s="127"/>
      <c r="E1" s="127"/>
      <c r="F1" s="127"/>
      <c r="G1" s="128"/>
    </row>
    <row r="2" spans="1:8" ht="14.25" customHeight="1" x14ac:dyDescent="0.25">
      <c r="A2" s="133" t="s">
        <v>6</v>
      </c>
      <c r="B2" s="127"/>
      <c r="C2" s="127"/>
      <c r="D2" s="128"/>
      <c r="E2" s="1">
        <v>-6789.15</v>
      </c>
      <c r="F2" s="2"/>
      <c r="G2" s="2"/>
    </row>
    <row r="3" spans="1:8" ht="14.25" customHeight="1" x14ac:dyDescent="0.2"/>
    <row r="4" spans="1:8" ht="14.25" customHeight="1" x14ac:dyDescent="0.25">
      <c r="A4" s="3" t="s">
        <v>8</v>
      </c>
      <c r="B4" s="3" t="s">
        <v>9</v>
      </c>
      <c r="C4" s="3" t="s">
        <v>10</v>
      </c>
      <c r="D4" s="3" t="s">
        <v>11</v>
      </c>
      <c r="E4" s="4" t="s">
        <v>12</v>
      </c>
      <c r="F4" s="3" t="s">
        <v>14</v>
      </c>
      <c r="G4" s="3" t="s">
        <v>15</v>
      </c>
      <c r="H4" s="7" t="s">
        <v>17</v>
      </c>
    </row>
    <row r="5" spans="1:8" ht="14.25" customHeight="1" x14ac:dyDescent="0.2">
      <c r="A5" s="5" t="s">
        <v>23</v>
      </c>
      <c r="B5" s="6" t="s">
        <v>25</v>
      </c>
      <c r="C5" s="8"/>
      <c r="D5" s="9">
        <v>600</v>
      </c>
      <c r="E5" s="17">
        <v>-7389.15</v>
      </c>
      <c r="F5" s="13" t="s">
        <v>33</v>
      </c>
      <c r="G5" s="5" t="s">
        <v>30</v>
      </c>
      <c r="H5" s="22"/>
    </row>
    <row r="6" spans="1:8" ht="14.25" customHeight="1" x14ac:dyDescent="0.2">
      <c r="A6" s="16" t="s">
        <v>23</v>
      </c>
      <c r="B6" s="12" t="s">
        <v>37</v>
      </c>
      <c r="C6" s="15"/>
      <c r="D6" s="18">
        <v>102.3</v>
      </c>
      <c r="E6" s="25">
        <v>-7491.45</v>
      </c>
      <c r="F6" s="21" t="s">
        <v>44</v>
      </c>
      <c r="G6" s="16" t="s">
        <v>35</v>
      </c>
      <c r="H6" s="26" t="s">
        <v>46</v>
      </c>
    </row>
    <row r="7" spans="1:8" ht="14.25" customHeight="1" x14ac:dyDescent="0.2">
      <c r="A7" s="16" t="s">
        <v>23</v>
      </c>
      <c r="B7" s="12" t="s">
        <v>48</v>
      </c>
      <c r="C7" s="15"/>
      <c r="D7" s="18">
        <v>7967.22</v>
      </c>
      <c r="E7" s="25">
        <v>-15458.67</v>
      </c>
      <c r="F7" s="21" t="s">
        <v>44</v>
      </c>
      <c r="G7" s="16" t="s">
        <v>35</v>
      </c>
      <c r="H7" s="26" t="s">
        <v>46</v>
      </c>
    </row>
    <row r="8" spans="1:8" ht="14.25" customHeight="1" x14ac:dyDescent="0.2">
      <c r="A8" s="16" t="s">
        <v>23</v>
      </c>
      <c r="B8" s="12" t="s">
        <v>52</v>
      </c>
      <c r="C8" s="15"/>
      <c r="D8" s="18">
        <v>2526.1</v>
      </c>
      <c r="E8" s="25">
        <v>-17984.77</v>
      </c>
      <c r="F8" s="21" t="s">
        <v>44</v>
      </c>
      <c r="G8" s="16" t="s">
        <v>35</v>
      </c>
      <c r="H8" s="26" t="s">
        <v>46</v>
      </c>
    </row>
    <row r="9" spans="1:8" ht="14.25" customHeight="1" x14ac:dyDescent="0.2">
      <c r="A9" s="16" t="s">
        <v>23</v>
      </c>
      <c r="B9" s="12" t="s">
        <v>59</v>
      </c>
      <c r="C9" s="15"/>
      <c r="D9" s="18">
        <v>4486.53</v>
      </c>
      <c r="E9" s="25">
        <v>-22471.3</v>
      </c>
      <c r="F9" s="21" t="s">
        <v>44</v>
      </c>
      <c r="G9" s="16" t="s">
        <v>35</v>
      </c>
      <c r="H9" s="26" t="s">
        <v>46</v>
      </c>
    </row>
    <row r="10" spans="1:8" ht="14.25" customHeight="1" x14ac:dyDescent="0.2">
      <c r="A10" s="16" t="s">
        <v>23</v>
      </c>
      <c r="B10" s="12" t="s">
        <v>27</v>
      </c>
      <c r="C10" s="15"/>
      <c r="D10" s="18">
        <v>9167</v>
      </c>
      <c r="E10" s="25">
        <v>-31638.3</v>
      </c>
      <c r="F10" s="21" t="s">
        <v>44</v>
      </c>
      <c r="G10" s="16" t="s">
        <v>35</v>
      </c>
      <c r="H10" s="26" t="s">
        <v>46</v>
      </c>
    </row>
    <row r="11" spans="1:8" ht="14.25" customHeight="1" x14ac:dyDescent="0.2">
      <c r="A11" s="20" t="s">
        <v>73</v>
      </c>
      <c r="B11" s="14" t="s">
        <v>76</v>
      </c>
      <c r="C11" s="24">
        <v>2284.0500000000002</v>
      </c>
      <c r="D11" s="27"/>
      <c r="E11" s="31">
        <v>-29354.25</v>
      </c>
      <c r="F11" s="30" t="s">
        <v>89</v>
      </c>
      <c r="G11" s="20" t="s">
        <v>50</v>
      </c>
      <c r="H11" s="33"/>
    </row>
    <row r="12" spans="1:8" ht="14.25" customHeight="1" x14ac:dyDescent="0.2">
      <c r="A12" s="20" t="s">
        <v>73</v>
      </c>
      <c r="B12" s="14" t="s">
        <v>93</v>
      </c>
      <c r="C12" s="24">
        <v>64257.58</v>
      </c>
      <c r="D12" s="27"/>
      <c r="E12" s="36">
        <v>34903.33</v>
      </c>
      <c r="F12" s="30" t="s">
        <v>97</v>
      </c>
      <c r="G12" s="20" t="s">
        <v>50</v>
      </c>
      <c r="H12" s="33"/>
    </row>
    <row r="13" spans="1:8" ht="14.25" customHeight="1" x14ac:dyDescent="0.2">
      <c r="A13" s="16" t="s">
        <v>100</v>
      </c>
      <c r="B13" s="12" t="s">
        <v>77</v>
      </c>
      <c r="C13" s="15"/>
      <c r="D13" s="18">
        <v>3908</v>
      </c>
      <c r="E13" s="41">
        <v>30995.33</v>
      </c>
      <c r="F13" s="21" t="s">
        <v>44</v>
      </c>
      <c r="G13" s="16" t="s">
        <v>35</v>
      </c>
      <c r="H13" s="26" t="s">
        <v>46</v>
      </c>
    </row>
    <row r="14" spans="1:8" ht="14.25" customHeight="1" x14ac:dyDescent="0.2">
      <c r="A14" s="20" t="s">
        <v>100</v>
      </c>
      <c r="B14" s="14" t="s">
        <v>108</v>
      </c>
      <c r="C14" s="24">
        <v>10089</v>
      </c>
      <c r="D14" s="27"/>
      <c r="E14" s="36">
        <v>41084.33</v>
      </c>
      <c r="F14" s="30" t="s">
        <v>109</v>
      </c>
      <c r="G14" s="20" t="s">
        <v>50</v>
      </c>
      <c r="H14" s="33"/>
    </row>
    <row r="15" spans="1:8" ht="14.25" customHeight="1" x14ac:dyDescent="0.2">
      <c r="A15" s="20" t="s">
        <v>100</v>
      </c>
      <c r="B15" s="14" t="s">
        <v>114</v>
      </c>
      <c r="C15" s="24">
        <v>17098</v>
      </c>
      <c r="D15" s="27"/>
      <c r="E15" s="36">
        <v>58182.33</v>
      </c>
      <c r="F15" s="30" t="s">
        <v>115</v>
      </c>
      <c r="G15" s="20" t="s">
        <v>50</v>
      </c>
      <c r="H15" s="33"/>
    </row>
    <row r="16" spans="1:8" ht="14.25" customHeight="1" x14ac:dyDescent="0.2">
      <c r="A16" s="20" t="s">
        <v>119</v>
      </c>
      <c r="B16" s="14" t="s">
        <v>120</v>
      </c>
      <c r="C16" s="24">
        <v>40614.42</v>
      </c>
      <c r="D16" s="27"/>
      <c r="E16" s="36">
        <v>98796.75</v>
      </c>
      <c r="F16" s="30"/>
      <c r="G16" s="20" t="s">
        <v>50</v>
      </c>
      <c r="H16" s="33"/>
    </row>
    <row r="17" spans="1:8" ht="14.25" customHeight="1" x14ac:dyDescent="0.2">
      <c r="A17" s="16" t="s">
        <v>119</v>
      </c>
      <c r="B17" s="12" t="s">
        <v>59</v>
      </c>
      <c r="C17" s="15"/>
      <c r="D17" s="18">
        <v>182.5</v>
      </c>
      <c r="E17" s="41">
        <v>98614.25</v>
      </c>
      <c r="F17" s="21" t="s">
        <v>44</v>
      </c>
      <c r="G17" s="16" t="s">
        <v>35</v>
      </c>
      <c r="H17" s="26" t="s">
        <v>46</v>
      </c>
    </row>
    <row r="18" spans="1:8" ht="14.25" customHeight="1" x14ac:dyDescent="0.2">
      <c r="A18" s="20" t="s">
        <v>119</v>
      </c>
      <c r="B18" s="14" t="s">
        <v>131</v>
      </c>
      <c r="C18" s="24">
        <v>50588</v>
      </c>
      <c r="D18" s="27"/>
      <c r="E18" s="36">
        <v>149202.25</v>
      </c>
      <c r="F18" s="30"/>
      <c r="G18" s="20" t="s">
        <v>50</v>
      </c>
      <c r="H18" s="33"/>
    </row>
    <row r="19" spans="1:8" ht="14.25" customHeight="1" x14ac:dyDescent="0.2">
      <c r="A19" s="16" t="s">
        <v>119</v>
      </c>
      <c r="B19" s="12" t="s">
        <v>142</v>
      </c>
      <c r="C19" s="15"/>
      <c r="D19" s="18">
        <v>18290</v>
      </c>
      <c r="E19" s="41">
        <v>130912.25</v>
      </c>
      <c r="F19" s="21" t="s">
        <v>44</v>
      </c>
      <c r="G19" s="16" t="s">
        <v>35</v>
      </c>
      <c r="H19" s="26" t="s">
        <v>46</v>
      </c>
    </row>
    <row r="20" spans="1:8" ht="14.25" customHeight="1" x14ac:dyDescent="0.2">
      <c r="A20" s="5" t="s">
        <v>119</v>
      </c>
      <c r="B20" s="6" t="s">
        <v>148</v>
      </c>
      <c r="C20" s="8"/>
      <c r="D20" s="9">
        <v>17098.2</v>
      </c>
      <c r="E20" s="46">
        <v>113814.05</v>
      </c>
      <c r="F20" s="13" t="s">
        <v>150</v>
      </c>
      <c r="G20" s="5" t="s">
        <v>30</v>
      </c>
      <c r="H20" s="22" t="s">
        <v>46</v>
      </c>
    </row>
    <row r="21" spans="1:8" ht="14.25" customHeight="1" x14ac:dyDescent="0.2">
      <c r="A21" s="16" t="s">
        <v>119</v>
      </c>
      <c r="B21" s="12" t="s">
        <v>157</v>
      </c>
      <c r="C21" s="15"/>
      <c r="D21" s="18">
        <v>2500</v>
      </c>
      <c r="E21" s="41">
        <v>111314.05</v>
      </c>
      <c r="F21" s="21" t="s">
        <v>44</v>
      </c>
      <c r="G21" s="16" t="s">
        <v>35</v>
      </c>
      <c r="H21" s="26" t="s">
        <v>46</v>
      </c>
    </row>
    <row r="22" spans="1:8" ht="14.25" customHeight="1" x14ac:dyDescent="0.2">
      <c r="A22" s="16" t="s">
        <v>161</v>
      </c>
      <c r="B22" s="12" t="s">
        <v>59</v>
      </c>
      <c r="C22" s="15"/>
      <c r="D22" s="18">
        <v>412.46</v>
      </c>
      <c r="E22" s="41">
        <v>110901.59</v>
      </c>
      <c r="F22" s="21" t="s">
        <v>44</v>
      </c>
      <c r="G22" s="16" t="s">
        <v>35</v>
      </c>
      <c r="H22" s="26" t="s">
        <v>46</v>
      </c>
    </row>
    <row r="23" spans="1:8" ht="14.25" customHeight="1" x14ac:dyDescent="0.2">
      <c r="A23" s="20" t="s">
        <v>161</v>
      </c>
      <c r="B23" s="14" t="s">
        <v>168</v>
      </c>
      <c r="C23" s="24">
        <v>282192.28000000003</v>
      </c>
      <c r="D23" s="27"/>
      <c r="E23" s="36">
        <v>393093.87</v>
      </c>
      <c r="F23" s="30" t="s">
        <v>171</v>
      </c>
      <c r="G23" s="14" t="s">
        <v>50</v>
      </c>
      <c r="H23" s="33"/>
    </row>
    <row r="24" spans="1:8" ht="14.25" customHeight="1" x14ac:dyDescent="0.2">
      <c r="A24" s="20" t="s">
        <v>174</v>
      </c>
      <c r="B24" s="14" t="s">
        <v>176</v>
      </c>
      <c r="C24" s="24">
        <v>50000</v>
      </c>
      <c r="D24" s="27"/>
      <c r="E24" s="36">
        <v>443093.87</v>
      </c>
      <c r="F24" s="30"/>
      <c r="G24" s="14" t="s">
        <v>50</v>
      </c>
      <c r="H24" s="33"/>
    </row>
    <row r="25" spans="1:8" ht="14.25" customHeight="1" x14ac:dyDescent="0.2">
      <c r="A25" s="20" t="s">
        <v>174</v>
      </c>
      <c r="B25" s="14" t="s">
        <v>182</v>
      </c>
      <c r="C25" s="24">
        <v>8177.4</v>
      </c>
      <c r="D25" s="27"/>
      <c r="E25" s="36">
        <v>451271.27</v>
      </c>
      <c r="F25" s="30" t="s">
        <v>184</v>
      </c>
      <c r="G25" s="14" t="s">
        <v>50</v>
      </c>
      <c r="H25" s="33"/>
    </row>
    <row r="26" spans="1:8" ht="14.25" customHeight="1" x14ac:dyDescent="0.2">
      <c r="A26" s="20" t="s">
        <v>174</v>
      </c>
      <c r="B26" s="14" t="s">
        <v>191</v>
      </c>
      <c r="C26" s="24">
        <v>25772</v>
      </c>
      <c r="D26" s="27"/>
      <c r="E26" s="36">
        <v>477043.27</v>
      </c>
      <c r="F26" s="30" t="s">
        <v>192</v>
      </c>
      <c r="G26" s="14" t="s">
        <v>50</v>
      </c>
      <c r="H26" s="33"/>
    </row>
    <row r="27" spans="1:8" ht="14.25" customHeight="1" x14ac:dyDescent="0.2">
      <c r="A27" s="20" t="s">
        <v>174</v>
      </c>
      <c r="B27" s="14" t="s">
        <v>196</v>
      </c>
      <c r="C27" s="24">
        <v>102940.84</v>
      </c>
      <c r="D27" s="27"/>
      <c r="E27" s="36">
        <v>579984.11</v>
      </c>
      <c r="F27" s="30" t="s">
        <v>199</v>
      </c>
      <c r="G27" s="14" t="s">
        <v>50</v>
      </c>
      <c r="H27" s="33"/>
    </row>
    <row r="28" spans="1:8" ht="14.25" customHeight="1" x14ac:dyDescent="0.2">
      <c r="A28" s="20" t="s">
        <v>174</v>
      </c>
      <c r="B28" s="14" t="s">
        <v>205</v>
      </c>
      <c r="C28" s="24">
        <v>174158.56</v>
      </c>
      <c r="D28" s="27"/>
      <c r="E28" s="36">
        <v>754142.67</v>
      </c>
      <c r="F28" s="30" t="s">
        <v>209</v>
      </c>
      <c r="G28" s="14" t="s">
        <v>50</v>
      </c>
      <c r="H28" s="33"/>
    </row>
    <row r="29" spans="1:8" ht="14.25" customHeight="1" x14ac:dyDescent="0.2">
      <c r="A29" s="16" t="s">
        <v>213</v>
      </c>
      <c r="B29" s="12" t="s">
        <v>214</v>
      </c>
      <c r="C29" s="15"/>
      <c r="D29" s="18">
        <v>6908.94</v>
      </c>
      <c r="E29" s="41">
        <v>747233.73</v>
      </c>
      <c r="F29" s="21" t="s">
        <v>218</v>
      </c>
      <c r="G29" s="12" t="s">
        <v>35</v>
      </c>
      <c r="H29" s="26" t="s">
        <v>46</v>
      </c>
    </row>
    <row r="30" spans="1:8" ht="14.25" customHeight="1" x14ac:dyDescent="0.2">
      <c r="A30" s="20" t="s">
        <v>213</v>
      </c>
      <c r="B30" s="14" t="s">
        <v>224</v>
      </c>
      <c r="C30" s="24">
        <v>24425.66</v>
      </c>
      <c r="D30" s="27"/>
      <c r="E30" s="36">
        <v>771659.39</v>
      </c>
      <c r="F30" s="30" t="s">
        <v>227</v>
      </c>
      <c r="G30" s="14" t="s">
        <v>50</v>
      </c>
      <c r="H30" s="33"/>
    </row>
    <row r="31" spans="1:8" ht="14.25" customHeight="1" x14ac:dyDescent="0.2">
      <c r="A31" s="5" t="s">
        <v>213</v>
      </c>
      <c r="B31" s="6" t="s">
        <v>232</v>
      </c>
      <c r="C31" s="8"/>
      <c r="D31" s="9">
        <v>32951</v>
      </c>
      <c r="E31" s="46">
        <v>738708.39</v>
      </c>
      <c r="F31" s="13" t="s">
        <v>237</v>
      </c>
      <c r="G31" s="6" t="s">
        <v>30</v>
      </c>
      <c r="H31" s="22" t="s">
        <v>223</v>
      </c>
    </row>
    <row r="32" spans="1:8" ht="14.25" customHeight="1" x14ac:dyDescent="0.2">
      <c r="A32" s="16" t="s">
        <v>213</v>
      </c>
      <c r="B32" s="12" t="s">
        <v>135</v>
      </c>
      <c r="C32" s="15"/>
      <c r="D32" s="18">
        <v>10223</v>
      </c>
      <c r="E32" s="41">
        <v>728485.39</v>
      </c>
      <c r="F32" s="21" t="s">
        <v>44</v>
      </c>
      <c r="G32" s="12" t="s">
        <v>35</v>
      </c>
      <c r="H32" s="26" t="s">
        <v>46</v>
      </c>
    </row>
    <row r="33" spans="1:8" ht="14.25" customHeight="1" x14ac:dyDescent="0.2">
      <c r="A33" s="16" t="s">
        <v>213</v>
      </c>
      <c r="B33" s="12" t="s">
        <v>135</v>
      </c>
      <c r="C33" s="15"/>
      <c r="D33" s="18">
        <v>6130</v>
      </c>
      <c r="E33" s="41">
        <v>722355.39</v>
      </c>
      <c r="F33" s="21" t="s">
        <v>44</v>
      </c>
      <c r="G33" s="12" t="s">
        <v>35</v>
      </c>
      <c r="H33" s="26" t="s">
        <v>46</v>
      </c>
    </row>
    <row r="34" spans="1:8" ht="14.25" customHeight="1" x14ac:dyDescent="0.2">
      <c r="A34" s="5" t="s">
        <v>213</v>
      </c>
      <c r="B34" s="6" t="s">
        <v>246</v>
      </c>
      <c r="C34" s="8"/>
      <c r="D34" s="9">
        <v>50000</v>
      </c>
      <c r="E34" s="46">
        <v>672355.39</v>
      </c>
      <c r="F34" s="13" t="s">
        <v>247</v>
      </c>
      <c r="G34" s="6" t="s">
        <v>30</v>
      </c>
      <c r="H34" s="22" t="s">
        <v>223</v>
      </c>
    </row>
    <row r="35" spans="1:8" ht="14.25" customHeight="1" x14ac:dyDescent="0.2">
      <c r="A35" s="5" t="s">
        <v>213</v>
      </c>
      <c r="B35" s="6" t="s">
        <v>249</v>
      </c>
      <c r="C35" s="8"/>
      <c r="D35" s="9">
        <v>1560</v>
      </c>
      <c r="E35" s="46">
        <v>670795.39</v>
      </c>
      <c r="F35" s="13" t="s">
        <v>251</v>
      </c>
      <c r="G35" s="6" t="s">
        <v>30</v>
      </c>
      <c r="H35" s="22" t="s">
        <v>46</v>
      </c>
    </row>
    <row r="36" spans="1:8" ht="14.25" customHeight="1" x14ac:dyDescent="0.2">
      <c r="A36" s="16" t="s">
        <v>213</v>
      </c>
      <c r="B36" s="12" t="s">
        <v>257</v>
      </c>
      <c r="C36" s="15"/>
      <c r="D36" s="18">
        <v>12980</v>
      </c>
      <c r="E36" s="41">
        <v>657815.39</v>
      </c>
      <c r="F36" s="21" t="s">
        <v>44</v>
      </c>
      <c r="G36" s="12" t="s">
        <v>35</v>
      </c>
      <c r="H36" s="26" t="s">
        <v>46</v>
      </c>
    </row>
    <row r="37" spans="1:8" ht="14.25" customHeight="1" x14ac:dyDescent="0.2">
      <c r="A37" s="16" t="s">
        <v>213</v>
      </c>
      <c r="B37" s="12" t="s">
        <v>275</v>
      </c>
      <c r="C37" s="15"/>
      <c r="D37" s="18">
        <v>8850</v>
      </c>
      <c r="E37" s="41">
        <v>648965.39</v>
      </c>
      <c r="F37" s="21" t="s">
        <v>44</v>
      </c>
      <c r="G37" s="12" t="s">
        <v>35</v>
      </c>
      <c r="H37" s="26" t="s">
        <v>46</v>
      </c>
    </row>
    <row r="38" spans="1:8" ht="14.25" customHeight="1" x14ac:dyDescent="0.2">
      <c r="A38" s="10" t="s">
        <v>281</v>
      </c>
      <c r="B38" s="12" t="s">
        <v>282</v>
      </c>
      <c r="C38" s="15">
        <v>90</v>
      </c>
      <c r="D38" s="18"/>
      <c r="E38" s="41">
        <v>649055.39</v>
      </c>
      <c r="F38" s="21" t="s">
        <v>286</v>
      </c>
      <c r="G38" s="12" t="s">
        <v>50</v>
      </c>
      <c r="H38" s="26"/>
    </row>
    <row r="39" spans="1:8" ht="14.25" customHeight="1" x14ac:dyDescent="0.2">
      <c r="A39" s="10" t="s">
        <v>281</v>
      </c>
      <c r="B39" s="12" t="s">
        <v>135</v>
      </c>
      <c r="C39" s="15"/>
      <c r="D39" s="18">
        <v>15000</v>
      </c>
      <c r="E39" s="41">
        <v>634055.39</v>
      </c>
      <c r="F39" s="21" t="s">
        <v>44</v>
      </c>
      <c r="G39" s="12" t="s">
        <v>35</v>
      </c>
      <c r="H39" s="26" t="s">
        <v>46</v>
      </c>
    </row>
    <row r="40" spans="1:8" ht="14.25" customHeight="1" x14ac:dyDescent="0.2">
      <c r="A40" s="10" t="s">
        <v>281</v>
      </c>
      <c r="B40" s="12" t="s">
        <v>135</v>
      </c>
      <c r="C40" s="15"/>
      <c r="D40" s="18">
        <v>14142</v>
      </c>
      <c r="E40" s="41">
        <v>619913.39</v>
      </c>
      <c r="F40" s="21" t="s">
        <v>44</v>
      </c>
      <c r="G40" s="12" t="s">
        <v>35</v>
      </c>
      <c r="H40" s="26" t="s">
        <v>46</v>
      </c>
    </row>
    <row r="41" spans="1:8" ht="14.25" customHeight="1" x14ac:dyDescent="0.2">
      <c r="A41" s="10" t="s">
        <v>281</v>
      </c>
      <c r="B41" s="12" t="s">
        <v>114</v>
      </c>
      <c r="C41" s="15">
        <v>32202</v>
      </c>
      <c r="D41" s="18"/>
      <c r="E41" s="41">
        <v>652115.39</v>
      </c>
      <c r="F41" s="21"/>
      <c r="G41" s="12" t="s">
        <v>50</v>
      </c>
      <c r="H41" s="26"/>
    </row>
    <row r="42" spans="1:8" ht="14.25" customHeight="1" x14ac:dyDescent="0.2">
      <c r="A42" s="10" t="s">
        <v>281</v>
      </c>
      <c r="B42" s="12" t="s">
        <v>114</v>
      </c>
      <c r="C42" s="15">
        <v>3188</v>
      </c>
      <c r="D42" s="18"/>
      <c r="E42" s="41">
        <v>655303.39</v>
      </c>
      <c r="F42" s="21"/>
      <c r="G42" s="12" t="s">
        <v>50</v>
      </c>
      <c r="H42" s="26"/>
    </row>
    <row r="43" spans="1:8" ht="14.25" customHeight="1" x14ac:dyDescent="0.2">
      <c r="A43" s="10" t="s">
        <v>317</v>
      </c>
      <c r="B43" s="12" t="s">
        <v>186</v>
      </c>
      <c r="C43" s="15"/>
      <c r="D43" s="18">
        <v>45599.41</v>
      </c>
      <c r="E43" s="41">
        <v>609703.98</v>
      </c>
      <c r="F43" s="21" t="s">
        <v>321</v>
      </c>
      <c r="G43" s="12" t="s">
        <v>30</v>
      </c>
      <c r="H43" s="26"/>
    </row>
    <row r="44" spans="1:8" ht="14.25" customHeight="1" x14ac:dyDescent="0.2">
      <c r="A44" s="10" t="s">
        <v>317</v>
      </c>
      <c r="B44" s="12" t="s">
        <v>181</v>
      </c>
      <c r="C44" s="15">
        <v>45596.52</v>
      </c>
      <c r="D44" s="18"/>
      <c r="E44" s="41">
        <v>655300.5</v>
      </c>
      <c r="F44" s="21"/>
      <c r="G44" s="12" t="s">
        <v>50</v>
      </c>
      <c r="H44" s="26"/>
    </row>
    <row r="45" spans="1:8" ht="14.25" customHeight="1" x14ac:dyDescent="0.2">
      <c r="A45" s="10" t="s">
        <v>317</v>
      </c>
      <c r="B45" s="12" t="s">
        <v>178</v>
      </c>
      <c r="C45" s="15">
        <v>2.89</v>
      </c>
      <c r="D45" s="18"/>
      <c r="E45" s="41">
        <v>655303.39</v>
      </c>
      <c r="F45" s="21"/>
      <c r="G45" s="12" t="s">
        <v>50</v>
      </c>
      <c r="H45" s="26"/>
    </row>
    <row r="46" spans="1:8" ht="14.25" customHeight="1" x14ac:dyDescent="0.2">
      <c r="A46" s="10" t="s">
        <v>334</v>
      </c>
      <c r="B46" s="12" t="s">
        <v>335</v>
      </c>
      <c r="C46" s="55"/>
      <c r="D46" s="55">
        <v>4700</v>
      </c>
      <c r="E46" s="56">
        <v>650603.39</v>
      </c>
      <c r="F46" s="21" t="s">
        <v>44</v>
      </c>
      <c r="G46" s="12" t="s">
        <v>35</v>
      </c>
      <c r="H46" s="26" t="s">
        <v>46</v>
      </c>
    </row>
    <row r="47" spans="1:8" ht="14.25" customHeight="1" x14ac:dyDescent="0.2">
      <c r="A47" s="10" t="s">
        <v>334</v>
      </c>
      <c r="B47" s="12" t="s">
        <v>340</v>
      </c>
      <c r="C47" s="55"/>
      <c r="D47" s="55">
        <v>9600</v>
      </c>
      <c r="E47" s="56">
        <v>641003.39</v>
      </c>
      <c r="F47" s="21" t="s">
        <v>44</v>
      </c>
      <c r="G47" s="12" t="s">
        <v>35</v>
      </c>
      <c r="H47" s="26" t="s">
        <v>46</v>
      </c>
    </row>
    <row r="48" spans="1:8" ht="14.25" customHeight="1" x14ac:dyDescent="0.2">
      <c r="A48" s="10" t="s">
        <v>334</v>
      </c>
      <c r="B48" s="12" t="s">
        <v>343</v>
      </c>
      <c r="C48" s="55"/>
      <c r="D48" s="55">
        <v>7000</v>
      </c>
      <c r="E48" s="56">
        <v>634003.39</v>
      </c>
      <c r="F48" s="21" t="s">
        <v>44</v>
      </c>
      <c r="G48" s="12" t="s">
        <v>35</v>
      </c>
      <c r="H48" s="26" t="s">
        <v>46</v>
      </c>
    </row>
    <row r="49" spans="1:8" ht="14.25" customHeight="1" x14ac:dyDescent="0.2">
      <c r="A49" s="10" t="s">
        <v>334</v>
      </c>
      <c r="B49" s="12" t="s">
        <v>347</v>
      </c>
      <c r="C49" s="55"/>
      <c r="D49" s="55">
        <v>4000</v>
      </c>
      <c r="E49" s="56">
        <v>630003.39</v>
      </c>
      <c r="F49" s="21" t="s">
        <v>44</v>
      </c>
      <c r="G49" s="12" t="s">
        <v>35</v>
      </c>
      <c r="H49" s="26" t="s">
        <v>46</v>
      </c>
    </row>
    <row r="50" spans="1:8" ht="14.25" customHeight="1" x14ac:dyDescent="0.2">
      <c r="A50" s="10" t="s">
        <v>334</v>
      </c>
      <c r="B50" s="12" t="s">
        <v>351</v>
      </c>
      <c r="C50" s="55"/>
      <c r="D50" s="55">
        <v>3000</v>
      </c>
      <c r="E50" s="56">
        <v>627003.39</v>
      </c>
      <c r="F50" s="21" t="s">
        <v>44</v>
      </c>
      <c r="G50" s="12" t="s">
        <v>35</v>
      </c>
      <c r="H50" s="26" t="s">
        <v>46</v>
      </c>
    </row>
    <row r="51" spans="1:8" ht="14.25" customHeight="1" x14ac:dyDescent="0.2">
      <c r="A51" s="10" t="s">
        <v>334</v>
      </c>
      <c r="B51" s="12" t="s">
        <v>352</v>
      </c>
      <c r="C51" s="55"/>
      <c r="D51" s="55">
        <v>4000</v>
      </c>
      <c r="E51" s="56">
        <v>623003.39</v>
      </c>
      <c r="F51" s="21" t="s">
        <v>44</v>
      </c>
      <c r="G51" s="12" t="s">
        <v>35</v>
      </c>
      <c r="H51" s="26" t="s">
        <v>46</v>
      </c>
    </row>
    <row r="52" spans="1:8" ht="14.25" customHeight="1" x14ac:dyDescent="0.2">
      <c r="A52" s="10" t="s">
        <v>355</v>
      </c>
      <c r="B52" s="12" t="s">
        <v>356</v>
      </c>
      <c r="C52" s="55"/>
      <c r="D52" s="55">
        <v>10418.52</v>
      </c>
      <c r="E52" s="56">
        <v>612584.87</v>
      </c>
      <c r="F52" s="21"/>
      <c r="G52" s="12" t="s">
        <v>35</v>
      </c>
      <c r="H52" s="26" t="s">
        <v>46</v>
      </c>
    </row>
    <row r="53" spans="1:8" ht="14.25" customHeight="1" x14ac:dyDescent="0.2">
      <c r="A53" s="10" t="s">
        <v>355</v>
      </c>
      <c r="B53" s="12" t="s">
        <v>59</v>
      </c>
      <c r="C53" s="55"/>
      <c r="D53" s="55">
        <v>10284.200000000001</v>
      </c>
      <c r="E53" s="56">
        <v>602300.67000000004</v>
      </c>
      <c r="F53" s="21" t="s">
        <v>44</v>
      </c>
      <c r="G53" s="12" t="s">
        <v>35</v>
      </c>
      <c r="H53" s="26" t="s">
        <v>46</v>
      </c>
    </row>
    <row r="54" spans="1:8" ht="14.25" customHeight="1" x14ac:dyDescent="0.2">
      <c r="A54" s="10" t="s">
        <v>355</v>
      </c>
      <c r="B54" s="12" t="s">
        <v>48</v>
      </c>
      <c r="C54" s="55"/>
      <c r="D54" s="55">
        <v>174.21</v>
      </c>
      <c r="E54" s="56">
        <v>602126.46</v>
      </c>
      <c r="F54" s="21"/>
      <c r="G54" s="12" t="s">
        <v>35</v>
      </c>
      <c r="H54" s="26" t="s">
        <v>46</v>
      </c>
    </row>
    <row r="55" spans="1:8" ht="14.25" customHeight="1" x14ac:dyDescent="0.2">
      <c r="A55" s="47" t="s">
        <v>355</v>
      </c>
      <c r="B55" s="6" t="s">
        <v>364</v>
      </c>
      <c r="C55" s="60"/>
      <c r="D55" s="60">
        <v>16520</v>
      </c>
      <c r="E55" s="61">
        <v>585606.46</v>
      </c>
      <c r="F55" s="13"/>
      <c r="G55" s="6" t="s">
        <v>30</v>
      </c>
      <c r="H55" s="22" t="s">
        <v>46</v>
      </c>
    </row>
    <row r="56" spans="1:8" ht="14.25" customHeight="1" x14ac:dyDescent="0.2">
      <c r="A56" s="38" t="s">
        <v>368</v>
      </c>
      <c r="B56" s="14" t="s">
        <v>369</v>
      </c>
      <c r="C56" s="23">
        <v>50703.26</v>
      </c>
      <c r="D56" s="23"/>
      <c r="E56" s="62">
        <v>636309.72</v>
      </c>
      <c r="F56" s="30" t="s">
        <v>371</v>
      </c>
      <c r="G56" s="14" t="s">
        <v>50</v>
      </c>
      <c r="H56" s="33"/>
    </row>
    <row r="57" spans="1:8" ht="14.25" customHeight="1" x14ac:dyDescent="0.2">
      <c r="A57" s="38" t="s">
        <v>368</v>
      </c>
      <c r="B57" s="14" t="s">
        <v>373</v>
      </c>
      <c r="C57" s="23">
        <v>81389</v>
      </c>
      <c r="D57" s="23"/>
      <c r="E57" s="62">
        <v>717698.72</v>
      </c>
      <c r="F57" s="30"/>
      <c r="G57" s="14" t="s">
        <v>50</v>
      </c>
      <c r="H57" s="33"/>
    </row>
    <row r="58" spans="1:8" ht="14.25" customHeight="1" x14ac:dyDescent="0.2">
      <c r="A58" s="38" t="s">
        <v>368</v>
      </c>
      <c r="B58" s="14" t="s">
        <v>374</v>
      </c>
      <c r="C58" s="23">
        <v>36064</v>
      </c>
      <c r="D58" s="23"/>
      <c r="E58" s="62">
        <v>753762.72</v>
      </c>
      <c r="F58" s="30"/>
      <c r="G58" s="14" t="s">
        <v>50</v>
      </c>
      <c r="H58" s="33"/>
    </row>
    <row r="59" spans="1:8" ht="14.25" customHeight="1" x14ac:dyDescent="0.2">
      <c r="A59" s="38" t="s">
        <v>368</v>
      </c>
      <c r="B59" s="14" t="s">
        <v>375</v>
      </c>
      <c r="C59" s="23">
        <v>16425</v>
      </c>
      <c r="D59" s="23"/>
      <c r="E59" s="62">
        <v>770187.72</v>
      </c>
      <c r="F59" s="30" t="s">
        <v>376</v>
      </c>
      <c r="G59" s="14" t="s">
        <v>50</v>
      </c>
      <c r="H59" s="33"/>
    </row>
    <row r="60" spans="1:8" ht="14.25" customHeight="1" x14ac:dyDescent="0.2">
      <c r="A60" s="10" t="s">
        <v>368</v>
      </c>
      <c r="B60" s="12" t="s">
        <v>268</v>
      </c>
      <c r="C60" s="55"/>
      <c r="D60" s="55">
        <v>1357</v>
      </c>
      <c r="E60" s="56">
        <v>768830.72</v>
      </c>
      <c r="F60" s="21" t="s">
        <v>44</v>
      </c>
      <c r="G60" s="12" t="s">
        <v>35</v>
      </c>
      <c r="H60" s="26" t="s">
        <v>46</v>
      </c>
    </row>
    <row r="61" spans="1:8" ht="14.25" customHeight="1" x14ac:dyDescent="0.2">
      <c r="A61" s="47" t="s">
        <v>368</v>
      </c>
      <c r="B61" s="6" t="s">
        <v>379</v>
      </c>
      <c r="C61" s="60"/>
      <c r="D61" s="60">
        <v>10113.67</v>
      </c>
      <c r="E61" s="61">
        <v>758717.05</v>
      </c>
      <c r="F61" s="13"/>
      <c r="G61" s="6" t="s">
        <v>30</v>
      </c>
      <c r="H61" s="22" t="s">
        <v>46</v>
      </c>
    </row>
    <row r="62" spans="1:8" ht="14.25" customHeight="1" x14ac:dyDescent="0.25">
      <c r="A62" s="63" t="s">
        <v>381</v>
      </c>
      <c r="B62" s="22" t="s">
        <v>25</v>
      </c>
      <c r="C62" s="64"/>
      <c r="D62" s="64">
        <v>206.95</v>
      </c>
      <c r="E62" s="65">
        <v>758510.1</v>
      </c>
      <c r="F62" s="22" t="s">
        <v>382</v>
      </c>
      <c r="G62" s="66" t="s">
        <v>30</v>
      </c>
      <c r="H62" s="22" t="s">
        <v>46</v>
      </c>
    </row>
    <row r="63" spans="1:8" ht="14.25" customHeight="1" x14ac:dyDescent="0.25">
      <c r="A63" s="67" t="s">
        <v>381</v>
      </c>
      <c r="B63" s="22" t="s">
        <v>386</v>
      </c>
      <c r="C63" s="64"/>
      <c r="D63" s="64">
        <v>5489</v>
      </c>
      <c r="E63" s="68">
        <v>753021.1</v>
      </c>
      <c r="F63" s="22"/>
      <c r="G63" s="66" t="s">
        <v>30</v>
      </c>
      <c r="H63" s="22" t="s">
        <v>46</v>
      </c>
    </row>
    <row r="64" spans="1:8" ht="14.25" customHeight="1" x14ac:dyDescent="0.25">
      <c r="A64" s="67" t="s">
        <v>381</v>
      </c>
      <c r="B64" s="22" t="s">
        <v>388</v>
      </c>
      <c r="C64" s="64"/>
      <c r="D64" s="64">
        <v>492998.1</v>
      </c>
      <c r="E64" s="68">
        <v>260023</v>
      </c>
      <c r="F64" s="22"/>
      <c r="G64" s="66" t="s">
        <v>30</v>
      </c>
      <c r="H64" s="22" t="s">
        <v>46</v>
      </c>
    </row>
    <row r="65" spans="1:8" ht="14.25" customHeight="1" x14ac:dyDescent="0.25">
      <c r="A65" s="67" t="s">
        <v>381</v>
      </c>
      <c r="B65" s="22" t="s">
        <v>390</v>
      </c>
      <c r="C65" s="64"/>
      <c r="D65" s="64">
        <v>3.85</v>
      </c>
      <c r="E65" s="68">
        <v>260019.15</v>
      </c>
      <c r="F65" s="22" t="s">
        <v>392</v>
      </c>
      <c r="G65" s="66" t="s">
        <v>30</v>
      </c>
      <c r="H65" s="22" t="s">
        <v>46</v>
      </c>
    </row>
    <row r="66" spans="1:8" ht="14.25" customHeight="1" x14ac:dyDescent="0.25">
      <c r="A66" s="67" t="s">
        <v>381</v>
      </c>
      <c r="B66" s="22" t="s">
        <v>395</v>
      </c>
      <c r="C66" s="64"/>
      <c r="D66" s="64">
        <v>48883.26</v>
      </c>
      <c r="E66" s="68">
        <v>211135.89</v>
      </c>
      <c r="F66" s="22"/>
      <c r="G66" s="66" t="s">
        <v>30</v>
      </c>
      <c r="H66" s="22"/>
    </row>
    <row r="67" spans="1:8" ht="14.25" customHeight="1" x14ac:dyDescent="0.25">
      <c r="A67" s="33" t="s">
        <v>399</v>
      </c>
      <c r="B67" s="33" t="s">
        <v>400</v>
      </c>
      <c r="C67" s="33">
        <v>50000</v>
      </c>
      <c r="D67" s="33"/>
      <c r="E67" s="69">
        <v>261135.89</v>
      </c>
      <c r="F67" s="33" t="s">
        <v>402</v>
      </c>
      <c r="G67" s="70" t="s">
        <v>50</v>
      </c>
      <c r="H67" s="33"/>
    </row>
    <row r="68" spans="1:8" ht="14.25" customHeight="1" x14ac:dyDescent="0.25">
      <c r="A68" s="33" t="s">
        <v>399</v>
      </c>
      <c r="B68" s="33" t="s">
        <v>404</v>
      </c>
      <c r="C68" s="33">
        <v>35000</v>
      </c>
      <c r="D68" s="33"/>
      <c r="E68" s="69">
        <v>296135.89</v>
      </c>
      <c r="F68" s="33"/>
      <c r="G68" s="70" t="s">
        <v>50</v>
      </c>
      <c r="H68" s="33"/>
    </row>
    <row r="69" spans="1:8" ht="14.25" customHeight="1" x14ac:dyDescent="0.25">
      <c r="A69" s="22" t="s">
        <v>399</v>
      </c>
      <c r="B69" s="22" t="s">
        <v>405</v>
      </c>
      <c r="C69" s="22"/>
      <c r="D69" s="22">
        <v>2832</v>
      </c>
      <c r="E69" s="71">
        <v>293303.89</v>
      </c>
      <c r="F69" s="22"/>
      <c r="G69" s="66" t="s">
        <v>30</v>
      </c>
      <c r="H69" s="22" t="s">
        <v>46</v>
      </c>
    </row>
    <row r="70" spans="1:8" ht="14.25" customHeight="1" x14ac:dyDescent="0.25">
      <c r="A70" s="22" t="s">
        <v>399</v>
      </c>
      <c r="B70" s="22" t="s">
        <v>408</v>
      </c>
      <c r="C70" s="22"/>
      <c r="D70" s="22">
        <v>69822.720000000001</v>
      </c>
      <c r="E70" s="71">
        <v>223481.17</v>
      </c>
      <c r="F70" s="22" t="s">
        <v>409</v>
      </c>
      <c r="G70" s="66" t="s">
        <v>30</v>
      </c>
      <c r="H70" s="22" t="s">
        <v>46</v>
      </c>
    </row>
    <row r="71" spans="1:8" ht="14.25" customHeight="1" x14ac:dyDescent="0.25">
      <c r="A71" s="22" t="s">
        <v>411</v>
      </c>
      <c r="B71" s="22" t="s">
        <v>276</v>
      </c>
      <c r="C71" s="22"/>
      <c r="D71" s="22">
        <v>4141.4399999999996</v>
      </c>
      <c r="E71" s="71">
        <v>219339.73</v>
      </c>
      <c r="F71" s="22"/>
      <c r="G71" s="66" t="s">
        <v>30</v>
      </c>
      <c r="H71" s="22" t="s">
        <v>46</v>
      </c>
    </row>
    <row r="72" spans="1:8" ht="14.25" customHeight="1" x14ac:dyDescent="0.25">
      <c r="A72" s="22" t="s">
        <v>414</v>
      </c>
      <c r="B72" s="22" t="s">
        <v>415</v>
      </c>
      <c r="C72" s="22"/>
      <c r="D72" s="22">
        <v>1825</v>
      </c>
      <c r="E72" s="71">
        <v>217514.73</v>
      </c>
      <c r="F72" s="22"/>
      <c r="G72" s="66" t="s">
        <v>30</v>
      </c>
      <c r="H72" s="22" t="s">
        <v>46</v>
      </c>
    </row>
    <row r="73" spans="1:8" ht="14.25" customHeight="1" x14ac:dyDescent="0.25">
      <c r="A73" s="22" t="s">
        <v>414</v>
      </c>
      <c r="B73" s="22" t="s">
        <v>418</v>
      </c>
      <c r="C73" s="22"/>
      <c r="D73" s="22">
        <v>94801.79</v>
      </c>
      <c r="E73" s="71">
        <v>122712.94000000002</v>
      </c>
      <c r="F73" s="22"/>
      <c r="G73" s="66" t="s">
        <v>30</v>
      </c>
      <c r="H73" s="22" t="s">
        <v>46</v>
      </c>
    </row>
    <row r="74" spans="1:8" ht="14.25" customHeight="1" x14ac:dyDescent="0.25">
      <c r="A74" s="22" t="s">
        <v>414</v>
      </c>
      <c r="B74" s="22" t="s">
        <v>422</v>
      </c>
      <c r="C74" s="22"/>
      <c r="D74" s="22">
        <v>25869.7</v>
      </c>
      <c r="E74" s="71">
        <v>96843.24000000002</v>
      </c>
      <c r="F74" s="22"/>
      <c r="G74" s="66" t="s">
        <v>30</v>
      </c>
      <c r="H74" s="22" t="s">
        <v>46</v>
      </c>
    </row>
    <row r="75" spans="1:8" ht="14.25" customHeight="1" x14ac:dyDescent="0.25">
      <c r="A75" s="33" t="s">
        <v>414</v>
      </c>
      <c r="B75" s="33" t="s">
        <v>425</v>
      </c>
      <c r="C75" s="33">
        <v>9166.24</v>
      </c>
      <c r="D75" s="33"/>
      <c r="E75" s="69">
        <v>106009.48000000001</v>
      </c>
      <c r="F75" s="33"/>
      <c r="G75" s="70" t="s">
        <v>50</v>
      </c>
      <c r="H75" s="33"/>
    </row>
    <row r="76" spans="1:8" ht="14.25" customHeight="1" x14ac:dyDescent="0.25">
      <c r="A76" s="33" t="s">
        <v>426</v>
      </c>
      <c r="B76" s="33" t="s">
        <v>400</v>
      </c>
      <c r="C76" s="33">
        <v>28642</v>
      </c>
      <c r="D76" s="33"/>
      <c r="E76" s="69">
        <v>134651.47999999998</v>
      </c>
      <c r="F76" s="33" t="s">
        <v>429</v>
      </c>
      <c r="G76" s="70" t="s">
        <v>50</v>
      </c>
      <c r="H76" s="33"/>
    </row>
    <row r="77" spans="1:8" ht="14.25" customHeight="1" x14ac:dyDescent="0.25">
      <c r="A77" s="33" t="s">
        <v>426</v>
      </c>
      <c r="B77" s="33" t="s">
        <v>431</v>
      </c>
      <c r="C77" s="33">
        <v>20000</v>
      </c>
      <c r="D77" s="33"/>
      <c r="E77" s="69">
        <v>154651.47999999998</v>
      </c>
      <c r="F77" s="33"/>
      <c r="G77" s="70" t="s">
        <v>50</v>
      </c>
      <c r="H77" s="33"/>
    </row>
    <row r="78" spans="1:8" ht="14.25" customHeight="1" x14ac:dyDescent="0.25">
      <c r="A78" s="33" t="s">
        <v>426</v>
      </c>
      <c r="B78" s="33" t="s">
        <v>434</v>
      </c>
      <c r="C78" s="33">
        <v>58826</v>
      </c>
      <c r="D78" s="33"/>
      <c r="E78" s="69">
        <v>213477.47999999998</v>
      </c>
      <c r="F78" s="33" t="s">
        <v>436</v>
      </c>
      <c r="G78" s="70" t="s">
        <v>50</v>
      </c>
      <c r="H78" s="33"/>
    </row>
    <row r="79" spans="1:8" ht="14.25" customHeight="1" x14ac:dyDescent="0.25">
      <c r="A79" s="22" t="s">
        <v>426</v>
      </c>
      <c r="B79" s="22" t="s">
        <v>438</v>
      </c>
      <c r="C79" s="22"/>
      <c r="D79" s="22">
        <v>600</v>
      </c>
      <c r="E79" s="71">
        <v>212877.47999999998</v>
      </c>
      <c r="F79" s="22"/>
      <c r="G79" s="66" t="s">
        <v>30</v>
      </c>
      <c r="H79" s="22" t="s">
        <v>46</v>
      </c>
    </row>
    <row r="80" spans="1:8" ht="14.25" customHeight="1" x14ac:dyDescent="0.25">
      <c r="A80" s="22" t="s">
        <v>426</v>
      </c>
      <c r="B80" s="22" t="s">
        <v>441</v>
      </c>
      <c r="C80" s="22"/>
      <c r="D80" s="22">
        <v>300</v>
      </c>
      <c r="E80" s="71">
        <v>212577.47999999998</v>
      </c>
      <c r="F80" s="22"/>
      <c r="G80" s="66" t="s">
        <v>30</v>
      </c>
      <c r="H80" s="22" t="s">
        <v>46</v>
      </c>
    </row>
    <row r="81" spans="1:8" ht="14.25" customHeight="1" x14ac:dyDescent="0.25">
      <c r="A81" s="67" t="s">
        <v>444</v>
      </c>
      <c r="B81" s="22" t="s">
        <v>445</v>
      </c>
      <c r="C81" s="22"/>
      <c r="D81" s="22">
        <v>132000</v>
      </c>
      <c r="E81" s="71">
        <v>80577.48000000001</v>
      </c>
      <c r="F81" s="22"/>
      <c r="G81" s="66" t="s">
        <v>30</v>
      </c>
      <c r="H81" s="22" t="s">
        <v>223</v>
      </c>
    </row>
    <row r="82" spans="1:8" ht="14.25" customHeight="1" x14ac:dyDescent="0.25">
      <c r="A82" s="67" t="s">
        <v>444</v>
      </c>
      <c r="B82" s="22" t="s">
        <v>448</v>
      </c>
      <c r="C82" s="22"/>
      <c r="D82" s="22">
        <v>40000</v>
      </c>
      <c r="E82" s="71">
        <v>40577.48000000001</v>
      </c>
      <c r="F82" s="22"/>
      <c r="G82" s="66" t="s">
        <v>30</v>
      </c>
      <c r="H82" s="22" t="s">
        <v>46</v>
      </c>
    </row>
    <row r="83" spans="1:8" ht="14.25" customHeight="1" x14ac:dyDescent="0.25">
      <c r="A83" s="67" t="s">
        <v>450</v>
      </c>
      <c r="B83" s="22" t="s">
        <v>451</v>
      </c>
      <c r="C83" s="22"/>
      <c r="D83" s="22">
        <v>58836</v>
      </c>
      <c r="E83" s="71">
        <v>-18258.519999999997</v>
      </c>
      <c r="F83" s="22" t="s">
        <v>453</v>
      </c>
      <c r="G83" s="66" t="s">
        <v>30</v>
      </c>
      <c r="H83" s="22" t="s">
        <v>223</v>
      </c>
    </row>
    <row r="84" spans="1:8" ht="14.25" customHeight="1" x14ac:dyDescent="0.25">
      <c r="A84" s="67" t="s">
        <v>450</v>
      </c>
      <c r="B84" s="22" t="s">
        <v>455</v>
      </c>
      <c r="C84" s="22"/>
      <c r="D84" s="22">
        <v>44156</v>
      </c>
      <c r="E84" s="71">
        <v>-62414.52</v>
      </c>
      <c r="F84" s="22"/>
      <c r="G84" s="66" t="s">
        <v>30</v>
      </c>
      <c r="H84" s="22" t="s">
        <v>46</v>
      </c>
    </row>
    <row r="85" spans="1:8" ht="14.25" customHeight="1" x14ac:dyDescent="0.25">
      <c r="A85" s="67" t="s">
        <v>460</v>
      </c>
      <c r="B85" s="22" t="s">
        <v>329</v>
      </c>
      <c r="C85" s="22"/>
      <c r="D85" s="22">
        <v>27839</v>
      </c>
      <c r="E85" s="71">
        <v>-90253.51999999999</v>
      </c>
      <c r="F85" s="22" t="s">
        <v>461</v>
      </c>
      <c r="G85" s="66" t="s">
        <v>35</v>
      </c>
      <c r="H85" s="22" t="s">
        <v>46</v>
      </c>
    </row>
    <row r="86" spans="1:8" ht="14.25" customHeight="1" x14ac:dyDescent="0.25">
      <c r="A86" s="67" t="s">
        <v>460</v>
      </c>
      <c r="B86" s="22" t="s">
        <v>77</v>
      </c>
      <c r="C86" s="22"/>
      <c r="D86" s="22">
        <v>8168</v>
      </c>
      <c r="E86" s="71">
        <v>-98421.51999999999</v>
      </c>
      <c r="F86" s="22" t="s">
        <v>464</v>
      </c>
      <c r="G86" s="66" t="s">
        <v>35</v>
      </c>
      <c r="H86" s="22" t="s">
        <v>46</v>
      </c>
    </row>
    <row r="87" spans="1:8" ht="14.25" customHeight="1" x14ac:dyDescent="0.25">
      <c r="A87" s="75" t="s">
        <v>460</v>
      </c>
      <c r="B87" s="33" t="s">
        <v>465</v>
      </c>
      <c r="C87" s="33">
        <v>50000</v>
      </c>
      <c r="D87" s="33"/>
      <c r="E87" s="69">
        <v>-48421.51999999999</v>
      </c>
      <c r="F87" s="33" t="s">
        <v>466</v>
      </c>
      <c r="G87" s="70" t="s">
        <v>50</v>
      </c>
      <c r="H87" s="33"/>
    </row>
    <row r="88" spans="1:8" ht="14.25" customHeight="1" x14ac:dyDescent="0.25">
      <c r="A88" s="75" t="s">
        <v>469</v>
      </c>
      <c r="B88" s="33" t="s">
        <v>465</v>
      </c>
      <c r="C88" s="33">
        <v>30000</v>
      </c>
      <c r="D88" s="33"/>
      <c r="E88" s="69">
        <v>-18421.51999999999</v>
      </c>
      <c r="F88" s="33" t="s">
        <v>472</v>
      </c>
      <c r="G88" s="70" t="s">
        <v>50</v>
      </c>
      <c r="H88" s="33"/>
    </row>
    <row r="89" spans="1:8" ht="14.25" customHeight="1" x14ac:dyDescent="0.25">
      <c r="A89" s="67" t="s">
        <v>442</v>
      </c>
      <c r="B89" s="22" t="s">
        <v>475</v>
      </c>
      <c r="C89" s="22"/>
      <c r="D89" s="22">
        <v>6.89</v>
      </c>
      <c r="E89" s="71">
        <v>-18428.41</v>
      </c>
      <c r="F89" s="22" t="s">
        <v>476</v>
      </c>
      <c r="G89" s="66" t="s">
        <v>30</v>
      </c>
      <c r="H89" s="22" t="s">
        <v>46</v>
      </c>
    </row>
    <row r="90" spans="1:8" ht="14.25" customHeight="1" x14ac:dyDescent="0.25">
      <c r="A90" s="75" t="s">
        <v>442</v>
      </c>
      <c r="B90" s="33" t="s">
        <v>478</v>
      </c>
      <c r="C90" s="33">
        <v>2077.6999999999998</v>
      </c>
      <c r="D90" s="33"/>
      <c r="E90" s="69">
        <v>-16350.71</v>
      </c>
      <c r="F90" s="33" t="s">
        <v>481</v>
      </c>
      <c r="G90" s="70" t="s">
        <v>50</v>
      </c>
      <c r="H90" s="33"/>
    </row>
    <row r="91" spans="1:8" ht="14.25" customHeight="1" x14ac:dyDescent="0.25">
      <c r="A91" s="67" t="s">
        <v>106</v>
      </c>
      <c r="B91" s="22" t="s">
        <v>482</v>
      </c>
      <c r="C91" s="22"/>
      <c r="D91" s="22">
        <v>5056</v>
      </c>
      <c r="E91" s="71">
        <v>-21406.71</v>
      </c>
      <c r="F91" s="22"/>
      <c r="G91" s="66" t="s">
        <v>35</v>
      </c>
      <c r="H91" s="22" t="s">
        <v>46</v>
      </c>
    </row>
    <row r="92" spans="1:8" ht="14.25" customHeight="1" x14ac:dyDescent="0.25">
      <c r="A92" s="58" t="s">
        <v>486</v>
      </c>
      <c r="E92" s="76">
        <v>-21406.71</v>
      </c>
    </row>
    <row r="93" spans="1:8" ht="14.25" customHeight="1" x14ac:dyDescent="0.2">
      <c r="A93" s="58" t="s">
        <v>488</v>
      </c>
    </row>
    <row r="94" spans="1:8" ht="14.25" customHeight="1" x14ac:dyDescent="0.2"/>
    <row r="95" spans="1:8" ht="14.25" customHeight="1" x14ac:dyDescent="0.25">
      <c r="A95" s="78" t="s">
        <v>491</v>
      </c>
      <c r="B95" s="80"/>
      <c r="C95" s="80"/>
      <c r="D95" s="80"/>
    </row>
    <row r="96" spans="1:8" ht="14.25" customHeight="1" x14ac:dyDescent="0.2">
      <c r="A96" s="80" t="s">
        <v>495</v>
      </c>
      <c r="B96" s="80"/>
      <c r="C96" s="80"/>
      <c r="D96" s="83">
        <v>1047718.29</v>
      </c>
    </row>
    <row r="97" spans="1:4" ht="14.25" customHeight="1" x14ac:dyDescent="0.2">
      <c r="A97" s="80" t="s">
        <v>497</v>
      </c>
      <c r="B97" s="80"/>
      <c r="C97" s="80"/>
      <c r="D97" s="83">
        <v>273787</v>
      </c>
    </row>
    <row r="98" spans="1:4" ht="14.25" customHeight="1" x14ac:dyDescent="0.2"/>
    <row r="99" spans="1:4" ht="14.25" customHeight="1" x14ac:dyDescent="0.2"/>
    <row r="100" spans="1:4" ht="14.25" customHeight="1" x14ac:dyDescent="0.2"/>
    <row r="101" spans="1:4" ht="14.25" customHeight="1" x14ac:dyDescent="0.2"/>
    <row r="102" spans="1:4" ht="14.25" customHeight="1" x14ac:dyDescent="0.2"/>
    <row r="103" spans="1:4" ht="14.25" customHeight="1" x14ac:dyDescent="0.2"/>
    <row r="104" spans="1:4" ht="14.25" customHeight="1" x14ac:dyDescent="0.2"/>
    <row r="105" spans="1:4" ht="14.25" customHeight="1" x14ac:dyDescent="0.2"/>
    <row r="106" spans="1:4" ht="14.25" customHeight="1" x14ac:dyDescent="0.2"/>
    <row r="107" spans="1:4" ht="14.25" customHeight="1" x14ac:dyDescent="0.2"/>
    <row r="108" spans="1:4" ht="14.25" customHeight="1" x14ac:dyDescent="0.2"/>
    <row r="109" spans="1:4" ht="14.25" customHeight="1" x14ac:dyDescent="0.2"/>
    <row r="110" spans="1:4" ht="14.25" customHeight="1" x14ac:dyDescent="0.2"/>
    <row r="111" spans="1:4" ht="14.25" customHeight="1" x14ac:dyDescent="0.2"/>
    <row r="112" spans="1:4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</sheetData>
  <mergeCells count="2">
    <mergeCell ref="A1:G1"/>
    <mergeCell ref="A2:D2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43"/>
  <sheetViews>
    <sheetView rightToLeft="1" workbookViewId="0">
      <pane ySplit="4" topLeftCell="A5" activePane="bottomLeft" state="frozen"/>
      <selection pane="bottomLeft" activeCell="B6" sqref="B6"/>
    </sheetView>
  </sheetViews>
  <sheetFormatPr defaultColWidth="12.625" defaultRowHeight="15" customHeight="1" x14ac:dyDescent="0.2"/>
  <cols>
    <col min="1" max="1" width="12" customWidth="1"/>
    <col min="2" max="2" width="38" customWidth="1"/>
    <col min="3" max="3" width="17.375" customWidth="1"/>
    <col min="4" max="4" width="13.5" customWidth="1"/>
    <col min="5" max="5" width="14.5" customWidth="1"/>
    <col min="6" max="6" width="42" customWidth="1"/>
    <col min="7" max="7" width="12" customWidth="1"/>
    <col min="8" max="8" width="17.75" customWidth="1"/>
  </cols>
  <sheetData>
    <row r="1" spans="1:8" ht="24" customHeight="1" x14ac:dyDescent="0.2">
      <c r="A1" s="129" t="s">
        <v>3</v>
      </c>
      <c r="B1" s="127"/>
      <c r="C1" s="127"/>
      <c r="D1" s="127"/>
      <c r="E1" s="127"/>
      <c r="F1" s="127"/>
      <c r="G1" s="128"/>
    </row>
    <row r="2" spans="1:8" ht="14.25" customHeight="1" x14ac:dyDescent="0.25">
      <c r="A2" s="133" t="s">
        <v>5</v>
      </c>
      <c r="B2" s="127"/>
      <c r="C2" s="127"/>
      <c r="D2" s="128"/>
      <c r="E2" s="1">
        <v>-21406.71</v>
      </c>
      <c r="F2" s="2"/>
      <c r="G2" s="2"/>
    </row>
    <row r="3" spans="1:8" ht="14.25" customHeight="1" x14ac:dyDescent="0.2"/>
    <row r="4" spans="1:8" ht="14.25" customHeight="1" x14ac:dyDescent="0.25">
      <c r="A4" s="3" t="s">
        <v>8</v>
      </c>
      <c r="B4" s="3" t="s">
        <v>9</v>
      </c>
      <c r="C4" s="3" t="s">
        <v>10</v>
      </c>
      <c r="D4" s="3" t="s">
        <v>11</v>
      </c>
      <c r="E4" s="4" t="s">
        <v>12</v>
      </c>
      <c r="F4" s="3" t="s">
        <v>14</v>
      </c>
      <c r="G4" s="3" t="s">
        <v>15</v>
      </c>
      <c r="H4" s="7" t="s">
        <v>17</v>
      </c>
    </row>
    <row r="5" spans="1:8" ht="14.25" customHeight="1" x14ac:dyDescent="0.2">
      <c r="A5" s="10" t="s">
        <v>22</v>
      </c>
      <c r="B5" s="12" t="s">
        <v>27</v>
      </c>
      <c r="C5" s="15"/>
      <c r="D5" s="18">
        <v>9209</v>
      </c>
      <c r="E5" s="25">
        <f>E2+N(C5)-N(D5)</f>
        <v>-30615.71</v>
      </c>
      <c r="F5" s="21" t="s">
        <v>47</v>
      </c>
      <c r="G5" s="16" t="s">
        <v>35</v>
      </c>
      <c r="H5" s="26" t="s">
        <v>46</v>
      </c>
    </row>
    <row r="6" spans="1:8" ht="14.25" customHeight="1" x14ac:dyDescent="0.2">
      <c r="A6" s="10" t="s">
        <v>22</v>
      </c>
      <c r="B6" s="12" t="s">
        <v>37</v>
      </c>
      <c r="C6" s="15"/>
      <c r="D6" s="18">
        <v>110.55</v>
      </c>
      <c r="E6" s="25">
        <f t="shared" ref="E6:E82" si="0">E5+N(C6)-N(D6)</f>
        <v>-30726.26</v>
      </c>
      <c r="F6" s="21" t="s">
        <v>44</v>
      </c>
      <c r="G6" s="16" t="s">
        <v>35</v>
      </c>
      <c r="H6" s="26" t="s">
        <v>46</v>
      </c>
    </row>
    <row r="7" spans="1:8" ht="14.25" customHeight="1" x14ac:dyDescent="0.2">
      <c r="A7" s="10" t="s">
        <v>68</v>
      </c>
      <c r="B7" s="12" t="s">
        <v>39</v>
      </c>
      <c r="C7" s="15"/>
      <c r="D7" s="18">
        <v>2224.4899999999998</v>
      </c>
      <c r="E7" s="25">
        <f t="shared" si="0"/>
        <v>-32950.75</v>
      </c>
      <c r="F7" s="21" t="s">
        <v>44</v>
      </c>
      <c r="G7" s="16" t="s">
        <v>35</v>
      </c>
      <c r="H7" s="26" t="s">
        <v>46</v>
      </c>
    </row>
    <row r="8" spans="1:8" ht="14.25" customHeight="1" x14ac:dyDescent="0.2">
      <c r="A8" s="10" t="s">
        <v>68</v>
      </c>
      <c r="B8" s="12" t="s">
        <v>77</v>
      </c>
      <c r="C8" s="15"/>
      <c r="D8" s="18">
        <v>3956</v>
      </c>
      <c r="E8" s="25">
        <f t="shared" si="0"/>
        <v>-36906.75</v>
      </c>
      <c r="F8" s="21" t="s">
        <v>44</v>
      </c>
      <c r="G8" s="16" t="s">
        <v>35</v>
      </c>
      <c r="H8" s="26" t="s">
        <v>46</v>
      </c>
    </row>
    <row r="9" spans="1:8" ht="14.25" customHeight="1" x14ac:dyDescent="0.2">
      <c r="A9" s="10" t="s">
        <v>68</v>
      </c>
      <c r="B9" s="12" t="s">
        <v>40</v>
      </c>
      <c r="C9" s="15"/>
      <c r="D9" s="18">
        <v>191.5</v>
      </c>
      <c r="E9" s="25">
        <f t="shared" si="0"/>
        <v>-37098.25</v>
      </c>
      <c r="F9" s="21" t="s">
        <v>44</v>
      </c>
      <c r="G9" s="16" t="s">
        <v>35</v>
      </c>
      <c r="H9" s="26" t="s">
        <v>46</v>
      </c>
    </row>
    <row r="10" spans="1:8" ht="14.25" customHeight="1" x14ac:dyDescent="0.2">
      <c r="A10" s="10" t="s">
        <v>68</v>
      </c>
      <c r="B10" s="12" t="s">
        <v>41</v>
      </c>
      <c r="C10" s="15"/>
      <c r="D10" s="18">
        <v>5709.09</v>
      </c>
      <c r="E10" s="25">
        <f t="shared" si="0"/>
        <v>-42807.34</v>
      </c>
      <c r="F10" s="21" t="s">
        <v>44</v>
      </c>
      <c r="G10" s="16" t="s">
        <v>35</v>
      </c>
      <c r="H10" s="26" t="s">
        <v>46</v>
      </c>
    </row>
    <row r="11" spans="1:8" ht="14.25" customHeight="1" x14ac:dyDescent="0.2">
      <c r="A11" s="38" t="s">
        <v>68</v>
      </c>
      <c r="B11" s="14" t="s">
        <v>45</v>
      </c>
      <c r="C11" s="24">
        <v>16000</v>
      </c>
      <c r="D11" s="27"/>
      <c r="E11" s="36">
        <f t="shared" si="0"/>
        <v>-26807.339999999997</v>
      </c>
      <c r="F11" s="30" t="s">
        <v>107</v>
      </c>
      <c r="G11" s="20" t="s">
        <v>50</v>
      </c>
      <c r="H11" s="33"/>
    </row>
    <row r="12" spans="1:8" ht="14.25" customHeight="1" x14ac:dyDescent="0.2">
      <c r="A12" s="38" t="s">
        <v>68</v>
      </c>
      <c r="B12" s="14" t="s">
        <v>112</v>
      </c>
      <c r="C12" s="24">
        <v>40223</v>
      </c>
      <c r="D12" s="27"/>
      <c r="E12" s="36">
        <f t="shared" si="0"/>
        <v>13415.660000000003</v>
      </c>
      <c r="F12" s="30" t="s">
        <v>117</v>
      </c>
      <c r="G12" s="20" t="s">
        <v>50</v>
      </c>
      <c r="H12" s="33"/>
    </row>
    <row r="13" spans="1:8" ht="14.25" customHeight="1" x14ac:dyDescent="0.2">
      <c r="A13" s="38" t="s">
        <v>68</v>
      </c>
      <c r="B13" s="14" t="s">
        <v>121</v>
      </c>
      <c r="C13" s="24">
        <v>25772</v>
      </c>
      <c r="D13" s="27"/>
      <c r="E13" s="36">
        <f t="shared" si="0"/>
        <v>39187.660000000003</v>
      </c>
      <c r="F13" s="30" t="s">
        <v>117</v>
      </c>
      <c r="G13" s="20" t="s">
        <v>50</v>
      </c>
      <c r="H13" s="33"/>
    </row>
    <row r="14" spans="1:8" ht="14.25" customHeight="1" x14ac:dyDescent="0.2">
      <c r="A14" s="38" t="s">
        <v>126</v>
      </c>
      <c r="B14" s="14" t="s">
        <v>127</v>
      </c>
      <c r="C14" s="24">
        <v>41069</v>
      </c>
      <c r="D14" s="27"/>
      <c r="E14" s="36">
        <f t="shared" si="0"/>
        <v>80256.66</v>
      </c>
      <c r="F14" s="30" t="s">
        <v>133</v>
      </c>
      <c r="G14" s="20" t="s">
        <v>50</v>
      </c>
      <c r="H14" s="33"/>
    </row>
    <row r="15" spans="1:8" ht="14.25" customHeight="1" x14ac:dyDescent="0.2">
      <c r="A15" s="38" t="s">
        <v>126</v>
      </c>
      <c r="B15" s="14" t="s">
        <v>136</v>
      </c>
      <c r="C15" s="24">
        <v>64849.85</v>
      </c>
      <c r="D15" s="27"/>
      <c r="E15" s="36">
        <f t="shared" si="0"/>
        <v>145106.51</v>
      </c>
      <c r="F15" s="30" t="s">
        <v>140</v>
      </c>
      <c r="G15" s="20" t="s">
        <v>50</v>
      </c>
      <c r="H15" s="33"/>
    </row>
    <row r="16" spans="1:8" ht="14.25" customHeight="1" x14ac:dyDescent="0.2">
      <c r="A16" s="10" t="s">
        <v>126</v>
      </c>
      <c r="B16" s="12" t="s">
        <v>143</v>
      </c>
      <c r="C16" s="15"/>
      <c r="D16" s="18">
        <v>2500</v>
      </c>
      <c r="E16" s="25">
        <f t="shared" si="0"/>
        <v>142606.51</v>
      </c>
      <c r="F16" s="21" t="s">
        <v>146</v>
      </c>
      <c r="G16" s="16" t="s">
        <v>35</v>
      </c>
      <c r="H16" s="26" t="s">
        <v>46</v>
      </c>
    </row>
    <row r="17" spans="1:8" ht="14.25" customHeight="1" x14ac:dyDescent="0.2">
      <c r="A17" s="10" t="s">
        <v>126</v>
      </c>
      <c r="B17" s="12" t="s">
        <v>142</v>
      </c>
      <c r="C17" s="15"/>
      <c r="D17" s="18">
        <v>18290</v>
      </c>
      <c r="E17" s="25">
        <f t="shared" si="0"/>
        <v>124316.51000000001</v>
      </c>
      <c r="F17" s="21" t="s">
        <v>44</v>
      </c>
      <c r="G17" s="16" t="s">
        <v>35</v>
      </c>
      <c r="H17" s="26" t="s">
        <v>46</v>
      </c>
    </row>
    <row r="18" spans="1:8" ht="14.25" customHeight="1" x14ac:dyDescent="0.2">
      <c r="A18" s="47" t="s">
        <v>151</v>
      </c>
      <c r="B18" s="6" t="s">
        <v>155</v>
      </c>
      <c r="C18" s="8"/>
      <c r="D18" s="9">
        <v>37541.699999999997</v>
      </c>
      <c r="E18" s="46">
        <f t="shared" si="0"/>
        <v>86774.810000000012</v>
      </c>
      <c r="F18" s="13" t="s">
        <v>163</v>
      </c>
      <c r="G18" s="5" t="s">
        <v>30</v>
      </c>
      <c r="H18" s="22" t="s">
        <v>46</v>
      </c>
    </row>
    <row r="19" spans="1:8" ht="14.25" customHeight="1" x14ac:dyDescent="0.2">
      <c r="A19" s="47" t="s">
        <v>151</v>
      </c>
      <c r="B19" s="6" t="s">
        <v>170</v>
      </c>
      <c r="C19" s="8"/>
      <c r="D19" s="9">
        <v>1475</v>
      </c>
      <c r="E19" s="46">
        <f t="shared" si="0"/>
        <v>85299.810000000012</v>
      </c>
      <c r="F19" s="13" t="s">
        <v>177</v>
      </c>
      <c r="G19" s="5" t="s">
        <v>30</v>
      </c>
      <c r="H19" s="22" t="s">
        <v>46</v>
      </c>
    </row>
    <row r="20" spans="1:8" ht="14.25" customHeight="1" x14ac:dyDescent="0.2">
      <c r="A20" s="10" t="s">
        <v>180</v>
      </c>
      <c r="B20" s="12" t="s">
        <v>59</v>
      </c>
      <c r="C20" s="15"/>
      <c r="D20" s="18">
        <v>45.9</v>
      </c>
      <c r="E20" s="25">
        <f t="shared" si="0"/>
        <v>85253.910000000018</v>
      </c>
      <c r="F20" s="21" t="s">
        <v>44</v>
      </c>
      <c r="G20" s="16" t="s">
        <v>35</v>
      </c>
      <c r="H20" s="26" t="s">
        <v>46</v>
      </c>
    </row>
    <row r="21" spans="1:8" ht="14.25" customHeight="1" x14ac:dyDescent="0.2">
      <c r="A21" s="38" t="s">
        <v>187</v>
      </c>
      <c r="B21" s="14" t="s">
        <v>189</v>
      </c>
      <c r="C21" s="24">
        <v>1298</v>
      </c>
      <c r="D21" s="27"/>
      <c r="E21" s="36">
        <f t="shared" si="0"/>
        <v>86551.910000000018</v>
      </c>
      <c r="F21" s="30"/>
      <c r="G21" s="20" t="s">
        <v>50</v>
      </c>
      <c r="H21" s="33"/>
    </row>
    <row r="22" spans="1:8" ht="14.25" customHeight="1" x14ac:dyDescent="0.2">
      <c r="A22" s="10" t="s">
        <v>187</v>
      </c>
      <c r="B22" s="12" t="s">
        <v>194</v>
      </c>
      <c r="C22" s="15"/>
      <c r="D22" s="18">
        <v>2500</v>
      </c>
      <c r="E22" s="25">
        <f t="shared" si="0"/>
        <v>84051.910000000018</v>
      </c>
      <c r="F22" s="21" t="s">
        <v>198</v>
      </c>
      <c r="G22" s="16" t="s">
        <v>35</v>
      </c>
      <c r="H22" s="26" t="s">
        <v>46</v>
      </c>
    </row>
    <row r="23" spans="1:8" ht="14.25" customHeight="1" x14ac:dyDescent="0.2">
      <c r="A23" s="38" t="s">
        <v>202</v>
      </c>
      <c r="B23" s="14" t="s">
        <v>204</v>
      </c>
      <c r="C23" s="24">
        <v>55238</v>
      </c>
      <c r="D23" s="27"/>
      <c r="E23" s="36">
        <f t="shared" si="0"/>
        <v>139289.91000000003</v>
      </c>
      <c r="F23" s="30" t="s">
        <v>211</v>
      </c>
      <c r="G23" s="20" t="s">
        <v>50</v>
      </c>
      <c r="H23" s="33"/>
    </row>
    <row r="24" spans="1:8" ht="14.25" customHeight="1" x14ac:dyDescent="0.2">
      <c r="A24" s="47" t="s">
        <v>202</v>
      </c>
      <c r="B24" s="6" t="s">
        <v>45</v>
      </c>
      <c r="C24" s="8"/>
      <c r="D24" s="9">
        <v>19700</v>
      </c>
      <c r="E24" s="46">
        <f t="shared" si="0"/>
        <v>119589.91000000003</v>
      </c>
      <c r="F24" s="13" t="s">
        <v>220</v>
      </c>
      <c r="G24" s="5" t="s">
        <v>221</v>
      </c>
      <c r="H24" s="22" t="s">
        <v>223</v>
      </c>
    </row>
    <row r="25" spans="1:8" ht="14.25" customHeight="1" x14ac:dyDescent="0.2">
      <c r="A25" s="47" t="s">
        <v>202</v>
      </c>
      <c r="B25" s="6" t="s">
        <v>225</v>
      </c>
      <c r="C25" s="8"/>
      <c r="D25" s="9">
        <v>1180</v>
      </c>
      <c r="E25" s="46">
        <f t="shared" si="0"/>
        <v>118409.91000000003</v>
      </c>
      <c r="F25" s="13" t="s">
        <v>231</v>
      </c>
      <c r="G25" s="5" t="s">
        <v>30</v>
      </c>
      <c r="H25" s="22" t="s">
        <v>46</v>
      </c>
    </row>
    <row r="26" spans="1:8" ht="14.25" customHeight="1" x14ac:dyDescent="0.2">
      <c r="A26" s="38" t="s">
        <v>234</v>
      </c>
      <c r="B26" s="14" t="s">
        <v>236</v>
      </c>
      <c r="C26" s="24">
        <v>96620</v>
      </c>
      <c r="D26" s="27"/>
      <c r="E26" s="36">
        <f t="shared" si="0"/>
        <v>215029.91000000003</v>
      </c>
      <c r="F26" s="30"/>
      <c r="G26" s="20" t="s">
        <v>50</v>
      </c>
      <c r="H26" s="33"/>
    </row>
    <row r="27" spans="1:8" ht="14.25" customHeight="1" x14ac:dyDescent="0.2">
      <c r="A27" s="38" t="s">
        <v>234</v>
      </c>
      <c r="B27" s="14" t="s">
        <v>242</v>
      </c>
      <c r="C27" s="24">
        <v>5036</v>
      </c>
      <c r="D27" s="27"/>
      <c r="E27" s="36">
        <f t="shared" si="0"/>
        <v>220065.91000000003</v>
      </c>
      <c r="F27" s="30"/>
      <c r="G27" s="20" t="s">
        <v>50</v>
      </c>
      <c r="H27" s="33"/>
    </row>
    <row r="28" spans="1:8" ht="14.25" customHeight="1" x14ac:dyDescent="0.2">
      <c r="A28" s="38" t="s">
        <v>234</v>
      </c>
      <c r="B28" s="14" t="s">
        <v>245</v>
      </c>
      <c r="C28" s="24">
        <v>23069</v>
      </c>
      <c r="D28" s="27"/>
      <c r="E28" s="36">
        <f t="shared" si="0"/>
        <v>243134.91000000003</v>
      </c>
      <c r="F28" s="30"/>
      <c r="G28" s="20" t="s">
        <v>50</v>
      </c>
      <c r="H28" s="33"/>
    </row>
    <row r="29" spans="1:8" ht="14.25" customHeight="1" x14ac:dyDescent="0.2">
      <c r="A29" s="38" t="s">
        <v>234</v>
      </c>
      <c r="B29" s="14" t="s">
        <v>248</v>
      </c>
      <c r="C29" s="24">
        <v>18990</v>
      </c>
      <c r="D29" s="27"/>
      <c r="E29" s="36">
        <f t="shared" si="0"/>
        <v>262124.91000000003</v>
      </c>
      <c r="F29" s="30" t="s">
        <v>252</v>
      </c>
      <c r="G29" s="20" t="s">
        <v>50</v>
      </c>
      <c r="H29" s="33"/>
    </row>
    <row r="30" spans="1:8" ht="14.25" customHeight="1" x14ac:dyDescent="0.2">
      <c r="A30" s="38" t="s">
        <v>234</v>
      </c>
      <c r="B30" s="14" t="s">
        <v>112</v>
      </c>
      <c r="C30" s="24">
        <v>82721.75</v>
      </c>
      <c r="D30" s="27"/>
      <c r="E30" s="36">
        <f t="shared" si="0"/>
        <v>344846.66000000003</v>
      </c>
      <c r="F30" s="30" t="s">
        <v>260</v>
      </c>
      <c r="G30" s="20" t="s">
        <v>50</v>
      </c>
      <c r="H30" s="33"/>
    </row>
    <row r="31" spans="1:8" ht="14.25" customHeight="1" x14ac:dyDescent="0.2">
      <c r="A31" s="47" t="s">
        <v>234</v>
      </c>
      <c r="B31" s="6" t="s">
        <v>261</v>
      </c>
      <c r="C31" s="8"/>
      <c r="D31" s="9">
        <v>169845.3</v>
      </c>
      <c r="E31" s="46">
        <f t="shared" si="0"/>
        <v>175001.36000000004</v>
      </c>
      <c r="F31" s="13" t="s">
        <v>265</v>
      </c>
      <c r="G31" s="5" t="s">
        <v>30</v>
      </c>
      <c r="H31" s="22" t="s">
        <v>223</v>
      </c>
    </row>
    <row r="32" spans="1:8" ht="14.25" customHeight="1" x14ac:dyDescent="0.2">
      <c r="A32" s="38" t="s">
        <v>234</v>
      </c>
      <c r="B32" s="14" t="s">
        <v>267</v>
      </c>
      <c r="C32" s="24">
        <v>5000</v>
      </c>
      <c r="D32" s="27"/>
      <c r="E32" s="36">
        <f t="shared" si="0"/>
        <v>180001.36000000004</v>
      </c>
      <c r="F32" s="30" t="s">
        <v>270</v>
      </c>
      <c r="G32" s="20" t="s">
        <v>50</v>
      </c>
      <c r="H32" s="33"/>
    </row>
    <row r="33" spans="1:8" ht="14.25" customHeight="1" x14ac:dyDescent="0.2">
      <c r="A33" s="47" t="s">
        <v>234</v>
      </c>
      <c r="B33" s="6" t="s">
        <v>273</v>
      </c>
      <c r="C33" s="8"/>
      <c r="D33" s="9">
        <v>75065</v>
      </c>
      <c r="E33" s="46">
        <f t="shared" si="0"/>
        <v>104936.36000000004</v>
      </c>
      <c r="F33" s="13" t="s">
        <v>277</v>
      </c>
      <c r="G33" s="5" t="s">
        <v>30</v>
      </c>
      <c r="H33" s="22" t="s">
        <v>46</v>
      </c>
    </row>
    <row r="34" spans="1:8" ht="14.25" customHeight="1" x14ac:dyDescent="0.2">
      <c r="A34" s="38" t="s">
        <v>234</v>
      </c>
      <c r="B34" s="14" t="s">
        <v>280</v>
      </c>
      <c r="C34" s="24">
        <v>129446</v>
      </c>
      <c r="D34" s="27"/>
      <c r="E34" s="36">
        <f t="shared" si="0"/>
        <v>234382.36000000004</v>
      </c>
      <c r="F34" s="30" t="s">
        <v>284</v>
      </c>
      <c r="G34" s="20" t="s">
        <v>50</v>
      </c>
      <c r="H34" s="33"/>
    </row>
    <row r="35" spans="1:8" ht="14.25" customHeight="1" x14ac:dyDescent="0.2">
      <c r="A35" s="10" t="s">
        <v>288</v>
      </c>
      <c r="B35" s="12" t="s">
        <v>290</v>
      </c>
      <c r="C35" s="15"/>
      <c r="D35" s="18">
        <v>12635</v>
      </c>
      <c r="E35" s="25">
        <f t="shared" si="0"/>
        <v>221747.36000000004</v>
      </c>
      <c r="F35" s="21" t="s">
        <v>291</v>
      </c>
      <c r="G35" s="16" t="s">
        <v>35</v>
      </c>
      <c r="H35" s="26" t="s">
        <v>46</v>
      </c>
    </row>
    <row r="36" spans="1:8" ht="14.25" customHeight="1" x14ac:dyDescent="0.2">
      <c r="A36" s="10" t="s">
        <v>288</v>
      </c>
      <c r="B36" s="12" t="s">
        <v>294</v>
      </c>
      <c r="C36" s="15"/>
      <c r="D36" s="18">
        <v>11755</v>
      </c>
      <c r="E36" s="25">
        <f t="shared" si="0"/>
        <v>209992.36000000004</v>
      </c>
      <c r="F36" s="21" t="s">
        <v>300</v>
      </c>
      <c r="G36" s="16" t="s">
        <v>35</v>
      </c>
      <c r="H36" s="26" t="s">
        <v>46</v>
      </c>
    </row>
    <row r="37" spans="1:8" ht="14.25" customHeight="1" x14ac:dyDescent="0.2">
      <c r="A37" s="10" t="s">
        <v>288</v>
      </c>
      <c r="B37" s="12" t="s">
        <v>304</v>
      </c>
      <c r="C37" s="15"/>
      <c r="D37" s="18">
        <v>12514</v>
      </c>
      <c r="E37" s="25">
        <f t="shared" si="0"/>
        <v>197478.36000000004</v>
      </c>
      <c r="F37" s="21" t="s">
        <v>307</v>
      </c>
      <c r="G37" s="16" t="s">
        <v>35</v>
      </c>
      <c r="H37" s="26" t="s">
        <v>46</v>
      </c>
    </row>
    <row r="38" spans="1:8" ht="14.25" customHeight="1" x14ac:dyDescent="0.2">
      <c r="A38" s="38" t="s">
        <v>288</v>
      </c>
      <c r="B38" s="14" t="s">
        <v>311</v>
      </c>
      <c r="C38" s="24">
        <v>29500</v>
      </c>
      <c r="D38" s="27"/>
      <c r="E38" s="36">
        <f t="shared" si="0"/>
        <v>226978.36000000004</v>
      </c>
      <c r="F38" s="30" t="s">
        <v>318</v>
      </c>
      <c r="G38" s="20" t="s">
        <v>50</v>
      </c>
      <c r="H38" s="33"/>
    </row>
    <row r="39" spans="1:8" ht="14.25" customHeight="1" x14ac:dyDescent="0.2">
      <c r="A39" s="38" t="s">
        <v>288</v>
      </c>
      <c r="B39" s="14" t="s">
        <v>323</v>
      </c>
      <c r="C39" s="24">
        <v>15340</v>
      </c>
      <c r="D39" s="27"/>
      <c r="E39" s="36">
        <f t="shared" si="0"/>
        <v>242318.36000000004</v>
      </c>
      <c r="F39" s="30" t="s">
        <v>326</v>
      </c>
      <c r="G39" s="20" t="s">
        <v>50</v>
      </c>
      <c r="H39" s="33"/>
    </row>
    <row r="40" spans="1:8" ht="14.25" customHeight="1" x14ac:dyDescent="0.2">
      <c r="A40" s="38" t="s">
        <v>288</v>
      </c>
      <c r="B40" s="14" t="s">
        <v>328</v>
      </c>
      <c r="C40" s="24">
        <v>12675</v>
      </c>
      <c r="D40" s="27"/>
      <c r="E40" s="36">
        <f t="shared" si="0"/>
        <v>254993.36000000004</v>
      </c>
      <c r="F40" s="30" t="s">
        <v>333</v>
      </c>
      <c r="G40" s="20" t="s">
        <v>50</v>
      </c>
      <c r="H40" s="33"/>
    </row>
    <row r="41" spans="1:8" ht="14.25" customHeight="1" x14ac:dyDescent="0.2">
      <c r="A41" s="10" t="s">
        <v>288</v>
      </c>
      <c r="B41" s="12" t="s">
        <v>214</v>
      </c>
      <c r="C41" s="15"/>
      <c r="D41" s="18">
        <v>6928.76</v>
      </c>
      <c r="E41" s="25">
        <f t="shared" si="0"/>
        <v>248064.60000000003</v>
      </c>
      <c r="F41" s="21" t="s">
        <v>218</v>
      </c>
      <c r="G41" s="16" t="s">
        <v>35</v>
      </c>
      <c r="H41" s="26" t="s">
        <v>46</v>
      </c>
    </row>
    <row r="42" spans="1:8" ht="14.25" customHeight="1" x14ac:dyDescent="0.2">
      <c r="A42" s="38" t="s">
        <v>288</v>
      </c>
      <c r="B42" s="14" t="s">
        <v>112</v>
      </c>
      <c r="C42" s="24">
        <v>142805.25</v>
      </c>
      <c r="D42" s="27"/>
      <c r="E42" s="36">
        <f t="shared" si="0"/>
        <v>390869.85000000003</v>
      </c>
      <c r="F42" s="30" t="s">
        <v>339</v>
      </c>
      <c r="G42" s="20" t="s">
        <v>50</v>
      </c>
      <c r="H42" s="33"/>
    </row>
    <row r="43" spans="1:8" ht="14.25" customHeight="1" x14ac:dyDescent="0.2">
      <c r="A43" s="47" t="s">
        <v>341</v>
      </c>
      <c r="B43" s="6" t="s">
        <v>342</v>
      </c>
      <c r="C43" s="8"/>
      <c r="D43" s="9">
        <v>5000</v>
      </c>
      <c r="E43" s="46">
        <f t="shared" si="0"/>
        <v>385869.85000000003</v>
      </c>
      <c r="F43" s="13" t="s">
        <v>344</v>
      </c>
      <c r="G43" s="5" t="s">
        <v>30</v>
      </c>
      <c r="H43" s="22"/>
    </row>
    <row r="44" spans="1:8" ht="14.25" customHeight="1" x14ac:dyDescent="0.2">
      <c r="A44" s="47" t="s">
        <v>349</v>
      </c>
      <c r="B44" s="6" t="s">
        <v>350</v>
      </c>
      <c r="C44" s="8"/>
      <c r="D44" s="9">
        <v>45602.49</v>
      </c>
      <c r="E44" s="46">
        <f t="shared" si="0"/>
        <v>340267.36000000004</v>
      </c>
      <c r="F44" s="13" t="s">
        <v>321</v>
      </c>
      <c r="G44" s="5" t="s">
        <v>30</v>
      </c>
      <c r="H44" s="22"/>
    </row>
    <row r="45" spans="1:8" ht="14.25" customHeight="1" x14ac:dyDescent="0.2">
      <c r="A45" s="38" t="s">
        <v>349</v>
      </c>
      <c r="B45" s="14" t="s">
        <v>181</v>
      </c>
      <c r="C45" s="24">
        <v>45599.41</v>
      </c>
      <c r="D45" s="27"/>
      <c r="E45" s="36">
        <f t="shared" si="0"/>
        <v>385866.77</v>
      </c>
      <c r="F45" s="30" t="s">
        <v>354</v>
      </c>
      <c r="G45" s="20" t="s">
        <v>50</v>
      </c>
      <c r="H45" s="33"/>
    </row>
    <row r="46" spans="1:8" ht="14.25" customHeight="1" x14ac:dyDescent="0.2">
      <c r="A46" s="38" t="s">
        <v>349</v>
      </c>
      <c r="B46" s="14" t="s">
        <v>178</v>
      </c>
      <c r="C46" s="24">
        <v>3.08</v>
      </c>
      <c r="D46" s="27"/>
      <c r="E46" s="36">
        <f t="shared" si="0"/>
        <v>385869.85000000003</v>
      </c>
      <c r="F46" s="30"/>
      <c r="G46" s="20" t="s">
        <v>50</v>
      </c>
      <c r="H46" s="33"/>
    </row>
    <row r="47" spans="1:8" ht="14.25" customHeight="1" x14ac:dyDescent="0.2">
      <c r="A47" s="38" t="s">
        <v>349</v>
      </c>
      <c r="B47" s="14" t="s">
        <v>357</v>
      </c>
      <c r="C47" s="24">
        <v>286847</v>
      </c>
      <c r="D47" s="27"/>
      <c r="E47" s="36">
        <f t="shared" si="0"/>
        <v>672716.85000000009</v>
      </c>
      <c r="F47" s="30" t="s">
        <v>359</v>
      </c>
      <c r="G47" s="20" t="s">
        <v>50</v>
      </c>
      <c r="H47" s="33"/>
    </row>
    <row r="48" spans="1:8" ht="14.25" customHeight="1" x14ac:dyDescent="0.2">
      <c r="A48" s="47" t="s">
        <v>349</v>
      </c>
      <c r="B48" s="6" t="s">
        <v>360</v>
      </c>
      <c r="C48" s="8"/>
      <c r="D48" s="9">
        <v>16250</v>
      </c>
      <c r="E48" s="46">
        <f t="shared" si="0"/>
        <v>656466.85000000009</v>
      </c>
      <c r="F48" s="13" t="s">
        <v>344</v>
      </c>
      <c r="G48" s="5" t="s">
        <v>30</v>
      </c>
      <c r="H48" s="22"/>
    </row>
    <row r="49" spans="1:8" ht="14.25" customHeight="1" x14ac:dyDescent="0.2">
      <c r="A49" s="38" t="s">
        <v>349</v>
      </c>
      <c r="B49" s="14" t="s">
        <v>362</v>
      </c>
      <c r="C49" s="24">
        <v>42772</v>
      </c>
      <c r="D49" s="27"/>
      <c r="E49" s="36">
        <f t="shared" si="0"/>
        <v>699238.85000000009</v>
      </c>
      <c r="F49" s="30"/>
      <c r="G49" s="20" t="s">
        <v>50</v>
      </c>
      <c r="H49" s="33"/>
    </row>
    <row r="50" spans="1:8" ht="14.25" customHeight="1" x14ac:dyDescent="0.2">
      <c r="A50" s="10" t="s">
        <v>365</v>
      </c>
      <c r="B50" s="12" t="s">
        <v>366</v>
      </c>
      <c r="C50" s="15"/>
      <c r="D50" s="18">
        <v>171</v>
      </c>
      <c r="E50" s="25">
        <f t="shared" si="0"/>
        <v>699067.85000000009</v>
      </c>
      <c r="F50" s="21" t="s">
        <v>44</v>
      </c>
      <c r="G50" s="16" t="s">
        <v>35</v>
      </c>
      <c r="H50" s="26" t="s">
        <v>46</v>
      </c>
    </row>
    <row r="51" spans="1:8" ht="14.25" customHeight="1" x14ac:dyDescent="0.2">
      <c r="A51" s="10" t="s">
        <v>365</v>
      </c>
      <c r="B51" s="12" t="s">
        <v>367</v>
      </c>
      <c r="C51" s="15"/>
      <c r="D51" s="18">
        <v>12926.98</v>
      </c>
      <c r="E51" s="25">
        <f t="shared" si="0"/>
        <v>686140.87000000011</v>
      </c>
      <c r="F51" s="21" t="s">
        <v>44</v>
      </c>
      <c r="G51" s="16" t="s">
        <v>35</v>
      </c>
      <c r="H51" s="26" t="s">
        <v>46</v>
      </c>
    </row>
    <row r="52" spans="1:8" ht="14.25" customHeight="1" x14ac:dyDescent="0.2">
      <c r="A52" s="10" t="s">
        <v>365</v>
      </c>
      <c r="B52" s="12" t="s">
        <v>370</v>
      </c>
      <c r="C52" s="15"/>
      <c r="D52" s="18">
        <v>9600</v>
      </c>
      <c r="E52" s="25">
        <f t="shared" si="0"/>
        <v>676540.87000000011</v>
      </c>
      <c r="F52" s="21" t="s">
        <v>44</v>
      </c>
      <c r="G52" s="16" t="s">
        <v>35</v>
      </c>
      <c r="H52" s="26" t="s">
        <v>46</v>
      </c>
    </row>
    <row r="53" spans="1:8" ht="14.25" customHeight="1" x14ac:dyDescent="0.2">
      <c r="A53" s="10" t="s">
        <v>365</v>
      </c>
      <c r="B53" s="12" t="s">
        <v>210</v>
      </c>
      <c r="C53" s="15"/>
      <c r="D53" s="18">
        <v>4000</v>
      </c>
      <c r="E53" s="25">
        <f t="shared" si="0"/>
        <v>672540.87000000011</v>
      </c>
      <c r="F53" s="21" t="s">
        <v>44</v>
      </c>
      <c r="G53" s="16" t="s">
        <v>35</v>
      </c>
      <c r="H53" s="26" t="s">
        <v>46</v>
      </c>
    </row>
    <row r="54" spans="1:8" ht="14.25" customHeight="1" x14ac:dyDescent="0.2">
      <c r="A54" s="10" t="s">
        <v>365</v>
      </c>
      <c r="B54" s="12" t="s">
        <v>201</v>
      </c>
      <c r="C54" s="15"/>
      <c r="D54" s="18">
        <v>7000</v>
      </c>
      <c r="E54" s="25">
        <f t="shared" si="0"/>
        <v>665540.87000000011</v>
      </c>
      <c r="F54" s="21" t="s">
        <v>44</v>
      </c>
      <c r="G54" s="16" t="s">
        <v>35</v>
      </c>
      <c r="H54" s="26" t="s">
        <v>46</v>
      </c>
    </row>
    <row r="55" spans="1:8" ht="14.25" customHeight="1" x14ac:dyDescent="0.2">
      <c r="A55" s="10" t="s">
        <v>365</v>
      </c>
      <c r="B55" s="12" t="s">
        <v>226</v>
      </c>
      <c r="C55" s="15"/>
      <c r="D55" s="18">
        <v>3000</v>
      </c>
      <c r="E55" s="25">
        <f t="shared" si="0"/>
        <v>662540.87000000011</v>
      </c>
      <c r="F55" s="21" t="s">
        <v>44</v>
      </c>
      <c r="G55" s="16" t="s">
        <v>35</v>
      </c>
      <c r="H55" s="26" t="s">
        <v>46</v>
      </c>
    </row>
    <row r="56" spans="1:8" ht="14.25" customHeight="1" x14ac:dyDescent="0.2">
      <c r="A56" s="10" t="s">
        <v>365</v>
      </c>
      <c r="B56" s="12" t="s">
        <v>238</v>
      </c>
      <c r="C56" s="15"/>
      <c r="D56" s="18">
        <v>4700</v>
      </c>
      <c r="E56" s="25">
        <f t="shared" si="0"/>
        <v>657840.87000000011</v>
      </c>
      <c r="F56" s="21" t="s">
        <v>44</v>
      </c>
      <c r="G56" s="16" t="s">
        <v>35</v>
      </c>
      <c r="H56" s="26" t="s">
        <v>46</v>
      </c>
    </row>
    <row r="57" spans="1:8" ht="14.25" customHeight="1" x14ac:dyDescent="0.2">
      <c r="A57" s="10" t="s">
        <v>365</v>
      </c>
      <c r="B57" s="12" t="s">
        <v>383</v>
      </c>
      <c r="C57" s="15"/>
      <c r="D57" s="18">
        <v>8850</v>
      </c>
      <c r="E57" s="25">
        <f t="shared" si="0"/>
        <v>648990.87000000011</v>
      </c>
      <c r="F57" s="21" t="s">
        <v>44</v>
      </c>
      <c r="G57" s="16" t="s">
        <v>35</v>
      </c>
      <c r="H57" s="26" t="s">
        <v>46</v>
      </c>
    </row>
    <row r="58" spans="1:8" ht="14.25" customHeight="1" x14ac:dyDescent="0.2">
      <c r="A58" s="10" t="s">
        <v>365</v>
      </c>
      <c r="B58" s="12" t="s">
        <v>385</v>
      </c>
      <c r="C58" s="15"/>
      <c r="D58" s="18">
        <v>12980</v>
      </c>
      <c r="E58" s="25">
        <f t="shared" si="0"/>
        <v>636010.87000000011</v>
      </c>
      <c r="F58" s="21" t="s">
        <v>44</v>
      </c>
      <c r="G58" s="16" t="s">
        <v>35</v>
      </c>
      <c r="H58" s="26" t="s">
        <v>46</v>
      </c>
    </row>
    <row r="59" spans="1:8" ht="14.25" customHeight="1" x14ac:dyDescent="0.2">
      <c r="A59" s="10" t="s">
        <v>365</v>
      </c>
      <c r="B59" s="12" t="s">
        <v>387</v>
      </c>
      <c r="C59" s="15"/>
      <c r="D59" s="18">
        <v>10782.64</v>
      </c>
      <c r="E59" s="25">
        <f t="shared" si="0"/>
        <v>625228.2300000001</v>
      </c>
      <c r="F59" s="21" t="s">
        <v>389</v>
      </c>
      <c r="G59" s="16" t="s">
        <v>35</v>
      </c>
      <c r="H59" s="26" t="s">
        <v>46</v>
      </c>
    </row>
    <row r="60" spans="1:8" ht="14.25" customHeight="1" x14ac:dyDescent="0.2">
      <c r="A60" s="10" t="s">
        <v>365</v>
      </c>
      <c r="B60" s="12" t="s">
        <v>391</v>
      </c>
      <c r="C60" s="15"/>
      <c r="D60" s="18">
        <v>3540</v>
      </c>
      <c r="E60" s="25">
        <f t="shared" si="0"/>
        <v>621688.2300000001</v>
      </c>
      <c r="F60" s="21" t="s">
        <v>394</v>
      </c>
      <c r="G60" s="16" t="s">
        <v>35</v>
      </c>
      <c r="H60" s="26" t="s">
        <v>46</v>
      </c>
    </row>
    <row r="61" spans="1:8" ht="14.25" customHeight="1" x14ac:dyDescent="0.2">
      <c r="A61" s="10" t="s">
        <v>397</v>
      </c>
      <c r="B61" s="12" t="s">
        <v>398</v>
      </c>
      <c r="C61" s="15">
        <v>4839</v>
      </c>
      <c r="D61" s="18"/>
      <c r="E61" s="25">
        <f t="shared" si="0"/>
        <v>626527.2300000001</v>
      </c>
      <c r="F61" s="21" t="s">
        <v>401</v>
      </c>
      <c r="G61" s="16" t="s">
        <v>50</v>
      </c>
      <c r="H61" s="26"/>
    </row>
    <row r="62" spans="1:8" ht="14.25" customHeight="1" x14ac:dyDescent="0.2">
      <c r="A62" s="10" t="s">
        <v>397</v>
      </c>
      <c r="B62" s="12" t="s">
        <v>45</v>
      </c>
      <c r="C62" s="15"/>
      <c r="D62" s="18">
        <v>19770</v>
      </c>
      <c r="E62" s="25">
        <f t="shared" si="0"/>
        <v>606757.2300000001</v>
      </c>
      <c r="F62" s="21" t="s">
        <v>220</v>
      </c>
      <c r="G62" s="16" t="s">
        <v>221</v>
      </c>
      <c r="H62" s="26" t="s">
        <v>223</v>
      </c>
    </row>
    <row r="63" spans="1:8" ht="14.25" customHeight="1" x14ac:dyDescent="0.2">
      <c r="A63" s="10" t="s">
        <v>397</v>
      </c>
      <c r="B63" s="12" t="s">
        <v>112</v>
      </c>
      <c r="C63" s="15">
        <v>30000</v>
      </c>
      <c r="D63" s="18"/>
      <c r="E63" s="25">
        <f t="shared" si="0"/>
        <v>636757.2300000001</v>
      </c>
      <c r="F63" s="21" t="s">
        <v>406</v>
      </c>
      <c r="G63" s="16" t="s">
        <v>50</v>
      </c>
      <c r="H63" s="26"/>
    </row>
    <row r="64" spans="1:8" ht="14.25" customHeight="1" x14ac:dyDescent="0.2">
      <c r="A64" s="10" t="s">
        <v>397</v>
      </c>
      <c r="B64" s="12" t="s">
        <v>407</v>
      </c>
      <c r="C64" s="15"/>
      <c r="D64" s="18">
        <v>1357</v>
      </c>
      <c r="E64" s="25">
        <f t="shared" si="0"/>
        <v>635400.2300000001</v>
      </c>
      <c r="F64" s="21" t="s">
        <v>410</v>
      </c>
      <c r="G64" s="16" t="s">
        <v>35</v>
      </c>
      <c r="H64" s="26" t="s">
        <v>46</v>
      </c>
    </row>
    <row r="65" spans="1:8" ht="14.25" customHeight="1" x14ac:dyDescent="0.2">
      <c r="A65" s="10" t="s">
        <v>412</v>
      </c>
      <c r="B65" s="12" t="s">
        <v>413</v>
      </c>
      <c r="C65" s="15"/>
      <c r="D65" s="18">
        <v>13770</v>
      </c>
      <c r="E65" s="25">
        <f t="shared" si="0"/>
        <v>621630.2300000001</v>
      </c>
      <c r="F65" s="21"/>
      <c r="G65" s="16" t="s">
        <v>30</v>
      </c>
      <c r="H65" s="26"/>
    </row>
    <row r="66" spans="1:8" ht="14.25" customHeight="1" x14ac:dyDescent="0.2">
      <c r="A66" s="10" t="s">
        <v>412</v>
      </c>
      <c r="B66" s="12" t="s">
        <v>417</v>
      </c>
      <c r="C66" s="15"/>
      <c r="D66" s="18">
        <v>19770</v>
      </c>
      <c r="E66" s="25">
        <f t="shared" si="0"/>
        <v>601860.2300000001</v>
      </c>
      <c r="F66" s="21" t="s">
        <v>420</v>
      </c>
      <c r="G66" s="16" t="s">
        <v>35</v>
      </c>
      <c r="H66" s="26" t="s">
        <v>46</v>
      </c>
    </row>
    <row r="67" spans="1:8" ht="14.25" customHeight="1" x14ac:dyDescent="0.2">
      <c r="A67" s="10" t="s">
        <v>421</v>
      </c>
      <c r="B67" s="12" t="s">
        <v>276</v>
      </c>
      <c r="C67" s="15"/>
      <c r="D67" s="18">
        <v>4193.6400000000003</v>
      </c>
      <c r="E67" s="25">
        <f t="shared" si="0"/>
        <v>597666.59000000008</v>
      </c>
      <c r="F67" s="21" t="s">
        <v>423</v>
      </c>
      <c r="G67" s="16" t="s">
        <v>35</v>
      </c>
      <c r="H67" s="26" t="s">
        <v>46</v>
      </c>
    </row>
    <row r="68" spans="1:8" ht="14.25" customHeight="1" x14ac:dyDescent="0.2">
      <c r="A68" s="10" t="s">
        <v>421</v>
      </c>
      <c r="B68" s="12" t="s">
        <v>424</v>
      </c>
      <c r="C68" s="15"/>
      <c r="D68" s="18">
        <v>92498.4</v>
      </c>
      <c r="E68" s="25">
        <f t="shared" si="0"/>
        <v>505168.19000000006</v>
      </c>
      <c r="F68" s="21" t="s">
        <v>427</v>
      </c>
      <c r="G68" s="16" t="s">
        <v>30</v>
      </c>
      <c r="H68" s="26" t="s">
        <v>46</v>
      </c>
    </row>
    <row r="69" spans="1:8" ht="14.25" customHeight="1" x14ac:dyDescent="0.2">
      <c r="A69" s="10" t="s">
        <v>421</v>
      </c>
      <c r="B69" s="12" t="s">
        <v>430</v>
      </c>
      <c r="C69" s="15"/>
      <c r="D69" s="18">
        <v>1825</v>
      </c>
      <c r="E69" s="25">
        <f t="shared" si="0"/>
        <v>503343.19000000006</v>
      </c>
      <c r="F69" s="21" t="s">
        <v>432</v>
      </c>
      <c r="G69" s="16" t="s">
        <v>35</v>
      </c>
      <c r="H69" s="26" t="s">
        <v>46</v>
      </c>
    </row>
    <row r="70" spans="1:8" ht="14.25" customHeight="1" x14ac:dyDescent="0.2">
      <c r="A70" s="10" t="s">
        <v>421</v>
      </c>
      <c r="B70" s="12" t="s">
        <v>435</v>
      </c>
      <c r="C70" s="15"/>
      <c r="D70" s="18">
        <v>35758.81</v>
      </c>
      <c r="E70" s="25">
        <f t="shared" si="0"/>
        <v>467584.38000000006</v>
      </c>
      <c r="F70" s="21" t="s">
        <v>439</v>
      </c>
      <c r="G70" s="16" t="s">
        <v>30</v>
      </c>
      <c r="H70" s="26" t="s">
        <v>46</v>
      </c>
    </row>
    <row r="71" spans="1:8" ht="14.25" customHeight="1" x14ac:dyDescent="0.2">
      <c r="A71" s="10" t="s">
        <v>421</v>
      </c>
      <c r="B71" s="12" t="s">
        <v>440</v>
      </c>
      <c r="C71" s="15"/>
      <c r="D71" s="18">
        <v>190858.51</v>
      </c>
      <c r="E71" s="25">
        <f t="shared" si="0"/>
        <v>276725.87000000005</v>
      </c>
      <c r="F71" s="21" t="s">
        <v>443</v>
      </c>
      <c r="G71" s="16" t="s">
        <v>30</v>
      </c>
      <c r="H71" s="26" t="s">
        <v>46</v>
      </c>
    </row>
    <row r="72" spans="1:8" ht="14.25" customHeight="1" x14ac:dyDescent="0.2">
      <c r="A72" s="10" t="s">
        <v>421</v>
      </c>
      <c r="B72" s="12" t="s">
        <v>447</v>
      </c>
      <c r="C72" s="15"/>
      <c r="D72" s="18">
        <v>4085</v>
      </c>
      <c r="E72" s="25">
        <f t="shared" si="0"/>
        <v>272640.87000000005</v>
      </c>
      <c r="F72" s="21" t="s">
        <v>449</v>
      </c>
      <c r="G72" s="16" t="s">
        <v>30</v>
      </c>
      <c r="H72" s="26" t="s">
        <v>46</v>
      </c>
    </row>
    <row r="73" spans="1:8" ht="14.25" customHeight="1" x14ac:dyDescent="0.2">
      <c r="A73" s="10" t="s">
        <v>421</v>
      </c>
      <c r="B73" s="12" t="s">
        <v>452</v>
      </c>
      <c r="C73" s="15"/>
      <c r="D73" s="18">
        <v>25965</v>
      </c>
      <c r="E73" s="25">
        <f t="shared" si="0"/>
        <v>246675.87000000005</v>
      </c>
      <c r="F73" s="21" t="s">
        <v>454</v>
      </c>
      <c r="G73" s="16" t="s">
        <v>30</v>
      </c>
      <c r="H73" s="26" t="s">
        <v>46</v>
      </c>
    </row>
    <row r="74" spans="1:8" ht="14.25" customHeight="1" x14ac:dyDescent="0.2">
      <c r="A74" s="10" t="s">
        <v>457</v>
      </c>
      <c r="B74" s="12" t="s">
        <v>458</v>
      </c>
      <c r="C74" s="15"/>
      <c r="D74" s="18">
        <v>1260</v>
      </c>
      <c r="E74" s="25">
        <f t="shared" si="0"/>
        <v>245415.87000000005</v>
      </c>
      <c r="F74" s="21" t="s">
        <v>462</v>
      </c>
      <c r="G74" s="16" t="s">
        <v>30</v>
      </c>
      <c r="H74" s="26"/>
    </row>
    <row r="75" spans="1:8" ht="14.25" customHeight="1" x14ac:dyDescent="0.2">
      <c r="A75" s="10" t="s">
        <v>457</v>
      </c>
      <c r="B75" s="12" t="s">
        <v>463</v>
      </c>
      <c r="C75" s="15"/>
      <c r="D75" s="18">
        <v>2580</v>
      </c>
      <c r="E75" s="25">
        <f t="shared" si="0"/>
        <v>242835.87000000005</v>
      </c>
      <c r="F75" s="21" t="s">
        <v>462</v>
      </c>
      <c r="G75" s="16" t="s">
        <v>30</v>
      </c>
      <c r="H75" s="26"/>
    </row>
    <row r="76" spans="1:8" ht="14.25" customHeight="1" x14ac:dyDescent="0.2">
      <c r="A76" s="10" t="s">
        <v>457</v>
      </c>
      <c r="B76" s="12" t="s">
        <v>329</v>
      </c>
      <c r="C76" s="15"/>
      <c r="D76" s="18">
        <v>5056</v>
      </c>
      <c r="E76" s="25">
        <f t="shared" si="0"/>
        <v>237779.87000000005</v>
      </c>
      <c r="F76" s="21" t="s">
        <v>423</v>
      </c>
      <c r="G76" s="16" t="s">
        <v>35</v>
      </c>
      <c r="H76" s="26" t="s">
        <v>46</v>
      </c>
    </row>
    <row r="77" spans="1:8" ht="14.25" customHeight="1" x14ac:dyDescent="0.2">
      <c r="A77" s="10" t="s">
        <v>457</v>
      </c>
      <c r="B77" s="12" t="s">
        <v>468</v>
      </c>
      <c r="C77" s="15">
        <v>47973.78</v>
      </c>
      <c r="D77" s="18"/>
      <c r="E77" s="25">
        <f t="shared" si="0"/>
        <v>285753.65000000002</v>
      </c>
      <c r="F77" s="21" t="s">
        <v>471</v>
      </c>
      <c r="G77" s="16" t="s">
        <v>50</v>
      </c>
      <c r="H77" s="26"/>
    </row>
    <row r="78" spans="1:8" ht="14.25" customHeight="1" x14ac:dyDescent="0.2">
      <c r="A78" s="10" t="s">
        <v>457</v>
      </c>
      <c r="B78" s="12" t="s">
        <v>474</v>
      </c>
      <c r="C78" s="15"/>
      <c r="D78" s="18">
        <v>125000</v>
      </c>
      <c r="E78" s="25">
        <f t="shared" si="0"/>
        <v>160753.65000000002</v>
      </c>
      <c r="F78" s="21" t="s">
        <v>477</v>
      </c>
      <c r="G78" s="16" t="s">
        <v>30</v>
      </c>
      <c r="H78" s="26" t="s">
        <v>223</v>
      </c>
    </row>
    <row r="79" spans="1:8" ht="14.25" customHeight="1" x14ac:dyDescent="0.2">
      <c r="A79" s="10" t="s">
        <v>457</v>
      </c>
      <c r="B79" s="12" t="s">
        <v>480</v>
      </c>
      <c r="C79" s="15"/>
      <c r="D79" s="18">
        <v>67944</v>
      </c>
      <c r="E79" s="25">
        <f t="shared" si="0"/>
        <v>92809.650000000023</v>
      </c>
      <c r="F79" s="21" t="s">
        <v>443</v>
      </c>
      <c r="G79" s="16" t="s">
        <v>30</v>
      </c>
      <c r="H79" s="26" t="s">
        <v>46</v>
      </c>
    </row>
    <row r="80" spans="1:8" ht="14.25" customHeight="1" x14ac:dyDescent="0.2">
      <c r="A80" s="10" t="s">
        <v>484</v>
      </c>
      <c r="B80" s="12" t="s">
        <v>485</v>
      </c>
      <c r="C80" s="15">
        <v>25000</v>
      </c>
      <c r="D80" s="18"/>
      <c r="E80" s="25">
        <f t="shared" si="0"/>
        <v>117809.65000000002</v>
      </c>
      <c r="F80" s="21" t="s">
        <v>487</v>
      </c>
      <c r="G80" s="16" t="s">
        <v>50</v>
      </c>
      <c r="H80" s="26"/>
    </row>
    <row r="81" spans="1:8" ht="14.25" customHeight="1" x14ac:dyDescent="0.2">
      <c r="A81" s="10" t="s">
        <v>489</v>
      </c>
      <c r="B81" s="12" t="s">
        <v>475</v>
      </c>
      <c r="C81" s="15"/>
      <c r="D81" s="18">
        <v>5.5</v>
      </c>
      <c r="E81" s="25">
        <f t="shared" si="0"/>
        <v>117804.15000000002</v>
      </c>
      <c r="F81" s="21" t="s">
        <v>476</v>
      </c>
      <c r="G81" s="16" t="s">
        <v>30</v>
      </c>
      <c r="H81" s="26" t="s">
        <v>46</v>
      </c>
    </row>
    <row r="82" spans="1:8" ht="14.25" customHeight="1" x14ac:dyDescent="0.2">
      <c r="A82" s="10" t="s">
        <v>492</v>
      </c>
      <c r="B82" s="12" t="s">
        <v>493</v>
      </c>
      <c r="C82" s="15"/>
      <c r="D82" s="18">
        <v>145.49</v>
      </c>
      <c r="E82" s="25">
        <f t="shared" si="0"/>
        <v>117658.66000000002</v>
      </c>
      <c r="F82" s="21" t="s">
        <v>423</v>
      </c>
      <c r="G82" s="16" t="s">
        <v>30</v>
      </c>
      <c r="H82" s="26" t="s">
        <v>46</v>
      </c>
    </row>
    <row r="83" spans="1:8" ht="14.25" customHeight="1" x14ac:dyDescent="0.25">
      <c r="A83" s="58" t="s">
        <v>494</v>
      </c>
      <c r="C83" s="82"/>
      <c r="D83" s="82"/>
      <c r="E83" s="84">
        <f>E82</f>
        <v>117658.66000000002</v>
      </c>
    </row>
    <row r="84" spans="1:8" ht="30" customHeight="1" x14ac:dyDescent="0.2">
      <c r="A84" s="134" t="s">
        <v>500</v>
      </c>
      <c r="B84" s="131"/>
      <c r="C84" s="131"/>
      <c r="D84" s="131"/>
      <c r="E84" s="131"/>
      <c r="F84" s="131"/>
      <c r="G84" s="131"/>
      <c r="H84" s="131"/>
    </row>
    <row r="85" spans="1:8" ht="14.25" customHeight="1" x14ac:dyDescent="0.2">
      <c r="C85" s="82"/>
      <c r="D85" s="82"/>
      <c r="E85" s="82"/>
    </row>
    <row r="86" spans="1:8" ht="14.25" customHeight="1" x14ac:dyDescent="0.25">
      <c r="A86" s="135" t="s">
        <v>491</v>
      </c>
      <c r="B86" s="127"/>
      <c r="C86" s="127"/>
      <c r="D86" s="127"/>
      <c r="E86" s="127"/>
      <c r="F86" s="127"/>
      <c r="G86" s="127"/>
      <c r="H86" s="128"/>
    </row>
    <row r="87" spans="1:8" ht="14.25" customHeight="1" x14ac:dyDescent="0.2">
      <c r="A87" s="85" t="s">
        <v>503</v>
      </c>
      <c r="B87" s="85"/>
      <c r="C87" s="86"/>
      <c r="D87" s="83">
        <f>SUMIF(H5:H82,"כן",D5:D82)</f>
        <v>730843.96</v>
      </c>
      <c r="E87" s="82"/>
    </row>
    <row r="88" spans="1:8" ht="14.25" customHeight="1" x14ac:dyDescent="0.2">
      <c r="A88" s="85" t="s">
        <v>504</v>
      </c>
      <c r="B88" s="85"/>
      <c r="C88" s="86"/>
      <c r="D88" s="83">
        <f>SUMIF(H5:H82,"לא",D5:D82)</f>
        <v>334315.3</v>
      </c>
      <c r="E88" s="82"/>
    </row>
    <row r="89" spans="1:8" ht="14.25" customHeight="1" x14ac:dyDescent="0.2">
      <c r="A89" s="85" t="s">
        <v>505</v>
      </c>
      <c r="B89" s="85"/>
      <c r="C89" s="86"/>
      <c r="D89" s="83">
        <f>SUM(C5:C82)</f>
        <v>1288687.1199999999</v>
      </c>
      <c r="E89" s="82"/>
    </row>
    <row r="90" spans="1:8" ht="14.25" customHeight="1" x14ac:dyDescent="0.2">
      <c r="C90" s="82"/>
      <c r="D90" s="82"/>
      <c r="E90" s="82"/>
    </row>
    <row r="91" spans="1:8" ht="14.25" customHeight="1" x14ac:dyDescent="0.2"/>
    <row r="92" spans="1:8" ht="14.25" customHeight="1" x14ac:dyDescent="0.2"/>
    <row r="93" spans="1:8" ht="14.25" customHeight="1" x14ac:dyDescent="0.2"/>
    <row r="94" spans="1:8" ht="14.25" customHeight="1" x14ac:dyDescent="0.2"/>
    <row r="95" spans="1:8" ht="14.25" customHeight="1" x14ac:dyDescent="0.2"/>
    <row r="96" spans="1:8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</sheetData>
  <mergeCells count="4">
    <mergeCell ref="A1:G1"/>
    <mergeCell ref="A2:D2"/>
    <mergeCell ref="A84:H84"/>
    <mergeCell ref="A86:H86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14"/>
  <sheetViews>
    <sheetView rightToLeft="1" workbookViewId="0">
      <pane ySplit="4" topLeftCell="A44" activePane="bottomLeft" state="frozen"/>
      <selection pane="bottomLeft" activeCell="A58" sqref="A58:XFD58"/>
    </sheetView>
  </sheetViews>
  <sheetFormatPr defaultColWidth="12.625" defaultRowHeight="15" customHeight="1" x14ac:dyDescent="0.2"/>
  <cols>
    <col min="1" max="1" width="12" customWidth="1"/>
    <col min="2" max="2" width="38" customWidth="1"/>
    <col min="3" max="3" width="17.375" customWidth="1"/>
    <col min="4" max="4" width="13.5" customWidth="1"/>
    <col min="5" max="5" width="14.5" customWidth="1"/>
    <col min="6" max="6" width="42" customWidth="1"/>
    <col min="7" max="7" width="12" customWidth="1"/>
    <col min="8" max="8" width="17.75" customWidth="1"/>
  </cols>
  <sheetData>
    <row r="1" spans="1:8" ht="24" customHeight="1" x14ac:dyDescent="0.2">
      <c r="A1" s="129" t="s">
        <v>508</v>
      </c>
      <c r="B1" s="127"/>
      <c r="C1" s="127"/>
      <c r="D1" s="127"/>
      <c r="E1" s="127"/>
      <c r="F1" s="127"/>
      <c r="G1" s="128"/>
    </row>
    <row r="2" spans="1:8" ht="14.25" customHeight="1" x14ac:dyDescent="0.25">
      <c r="A2" s="133" t="s">
        <v>509</v>
      </c>
      <c r="B2" s="127"/>
      <c r="C2" s="127"/>
      <c r="D2" s="128"/>
      <c r="E2" s="1">
        <f>'תזרים ספטמבר 2026'!E83</f>
        <v>117658.66000000002</v>
      </c>
      <c r="F2" s="2"/>
      <c r="G2" s="2"/>
    </row>
    <row r="3" spans="1:8" ht="14.25" customHeight="1" x14ac:dyDescent="0.2"/>
    <row r="4" spans="1:8" ht="14.25" customHeight="1" x14ac:dyDescent="0.25">
      <c r="A4" s="3" t="s">
        <v>8</v>
      </c>
      <c r="B4" s="3" t="s">
        <v>9</v>
      </c>
      <c r="C4" s="3" t="s">
        <v>10</v>
      </c>
      <c r="D4" s="3" t="s">
        <v>11</v>
      </c>
      <c r="E4" s="4" t="s">
        <v>12</v>
      </c>
      <c r="F4" s="3" t="s">
        <v>14</v>
      </c>
      <c r="G4" s="3" t="s">
        <v>15</v>
      </c>
      <c r="H4" s="7" t="s">
        <v>17</v>
      </c>
    </row>
    <row r="5" spans="1:8" ht="14.25" customHeight="1" x14ac:dyDescent="0.2">
      <c r="A5" s="10" t="s">
        <v>510</v>
      </c>
      <c r="B5" s="12" t="s">
        <v>18</v>
      </c>
      <c r="C5" s="15"/>
      <c r="D5" s="18">
        <v>90</v>
      </c>
      <c r="E5" s="25">
        <f>E2+N(C5)-N(D5)</f>
        <v>117568.66000000002</v>
      </c>
      <c r="F5" s="21" t="s">
        <v>511</v>
      </c>
      <c r="G5" s="16" t="s">
        <v>30</v>
      </c>
      <c r="H5" s="26" t="s">
        <v>46</v>
      </c>
    </row>
    <row r="6" spans="1:8" ht="14.25" customHeight="1" x14ac:dyDescent="0.2">
      <c r="A6" s="10" t="s">
        <v>510</v>
      </c>
      <c r="B6" s="12" t="s">
        <v>27</v>
      </c>
      <c r="C6" s="15"/>
      <c r="D6" s="18">
        <v>9149</v>
      </c>
      <c r="E6" s="25">
        <f t="shared" ref="E6:E27" si="0">E5+N(C6)-N(D6)</f>
        <v>108419.66000000002</v>
      </c>
      <c r="F6" s="21" t="s">
        <v>512</v>
      </c>
      <c r="G6" s="16" t="s">
        <v>35</v>
      </c>
      <c r="H6" s="26" t="s">
        <v>46</v>
      </c>
    </row>
    <row r="7" spans="1:8" ht="14.25" customHeight="1" x14ac:dyDescent="0.2">
      <c r="A7" s="10" t="s">
        <v>510</v>
      </c>
      <c r="B7" s="12" t="s">
        <v>37</v>
      </c>
      <c r="C7" s="15"/>
      <c r="D7" s="18">
        <v>100.65</v>
      </c>
      <c r="E7" s="25">
        <f t="shared" si="0"/>
        <v>108319.01000000002</v>
      </c>
      <c r="F7" s="21" t="s">
        <v>44</v>
      </c>
      <c r="G7" s="16" t="s">
        <v>35</v>
      </c>
      <c r="H7" s="26" t="s">
        <v>46</v>
      </c>
    </row>
    <row r="8" spans="1:8" ht="14.25" customHeight="1" x14ac:dyDescent="0.2">
      <c r="A8" s="10" t="s">
        <v>510</v>
      </c>
      <c r="B8" s="12" t="s">
        <v>513</v>
      </c>
      <c r="C8" s="15"/>
      <c r="D8" s="18">
        <v>11</v>
      </c>
      <c r="E8" s="25">
        <f t="shared" si="0"/>
        <v>108308.01000000002</v>
      </c>
      <c r="F8" s="21" t="s">
        <v>511</v>
      </c>
      <c r="G8" s="16" t="s">
        <v>30</v>
      </c>
      <c r="H8" s="26" t="s">
        <v>46</v>
      </c>
    </row>
    <row r="9" spans="1:8" ht="14.25" customHeight="1" x14ac:dyDescent="0.2">
      <c r="A9" s="10" t="s">
        <v>514</v>
      </c>
      <c r="B9" s="12" t="s">
        <v>39</v>
      </c>
      <c r="C9" s="15"/>
      <c r="D9" s="18">
        <v>3154.19</v>
      </c>
      <c r="E9" s="25">
        <f t="shared" si="0"/>
        <v>105153.82000000002</v>
      </c>
      <c r="F9" s="21" t="s">
        <v>44</v>
      </c>
      <c r="G9" s="16" t="s">
        <v>35</v>
      </c>
      <c r="H9" s="26" t="s">
        <v>46</v>
      </c>
    </row>
    <row r="10" spans="1:8" ht="14.25" customHeight="1" x14ac:dyDescent="0.2">
      <c r="A10" s="10" t="s">
        <v>514</v>
      </c>
      <c r="B10" s="12" t="s">
        <v>77</v>
      </c>
      <c r="C10" s="15"/>
      <c r="D10" s="18">
        <v>3956</v>
      </c>
      <c r="E10" s="25">
        <f t="shared" si="0"/>
        <v>101197.82000000002</v>
      </c>
      <c r="F10" s="21" t="s">
        <v>44</v>
      </c>
      <c r="G10" s="16" t="s">
        <v>35</v>
      </c>
      <c r="H10" s="26" t="s">
        <v>46</v>
      </c>
    </row>
    <row r="11" spans="1:8" ht="14.25" customHeight="1" x14ac:dyDescent="0.2">
      <c r="A11" s="38" t="s">
        <v>514</v>
      </c>
      <c r="B11" s="14" t="s">
        <v>40</v>
      </c>
      <c r="C11" s="24"/>
      <c r="D11" s="27">
        <v>191.5</v>
      </c>
      <c r="E11" s="36">
        <f t="shared" si="0"/>
        <v>101006.32000000002</v>
      </c>
      <c r="F11" s="30" t="s">
        <v>44</v>
      </c>
      <c r="G11" s="20" t="s">
        <v>35</v>
      </c>
      <c r="H11" s="33" t="s">
        <v>46</v>
      </c>
    </row>
    <row r="12" spans="1:8" ht="14.25" customHeight="1" x14ac:dyDescent="0.2">
      <c r="A12" s="38" t="s">
        <v>514</v>
      </c>
      <c r="B12" s="14" t="s">
        <v>41</v>
      </c>
      <c r="C12" s="24"/>
      <c r="D12" s="27">
        <v>3028.4</v>
      </c>
      <c r="E12" s="36">
        <f t="shared" si="0"/>
        <v>97977.920000000027</v>
      </c>
      <c r="F12" s="30" t="s">
        <v>44</v>
      </c>
      <c r="G12" s="20" t="s">
        <v>35</v>
      </c>
      <c r="H12" s="33" t="s">
        <v>46</v>
      </c>
    </row>
    <row r="13" spans="1:8" ht="14.25" customHeight="1" x14ac:dyDescent="0.2">
      <c r="A13" s="38" t="s">
        <v>515</v>
      </c>
      <c r="B13" s="14" t="s">
        <v>516</v>
      </c>
      <c r="C13" s="24"/>
      <c r="D13" s="27">
        <v>6789</v>
      </c>
      <c r="E13" s="36">
        <f t="shared" si="0"/>
        <v>91188.920000000027</v>
      </c>
      <c r="F13" s="30" t="s">
        <v>423</v>
      </c>
      <c r="G13" s="20" t="s">
        <v>35</v>
      </c>
      <c r="H13" s="33" t="s">
        <v>46</v>
      </c>
    </row>
    <row r="14" spans="1:8" ht="14.25" customHeight="1" x14ac:dyDescent="0.2">
      <c r="A14" s="59">
        <v>46300</v>
      </c>
      <c r="B14" s="14" t="s">
        <v>77</v>
      </c>
      <c r="C14" s="24"/>
      <c r="D14" s="27">
        <v>453</v>
      </c>
      <c r="E14" s="36">
        <f t="shared" si="0"/>
        <v>90735.920000000027</v>
      </c>
      <c r="F14" s="30" t="s">
        <v>44</v>
      </c>
      <c r="G14" s="20" t="s">
        <v>35</v>
      </c>
      <c r="H14" s="33" t="s">
        <v>46</v>
      </c>
    </row>
    <row r="15" spans="1:8" ht="14.25" customHeight="1" x14ac:dyDescent="0.2">
      <c r="A15" s="59">
        <v>46300</v>
      </c>
      <c r="B15" s="14" t="s">
        <v>77</v>
      </c>
      <c r="C15" s="24"/>
      <c r="D15" s="27">
        <v>6469</v>
      </c>
      <c r="E15" s="36">
        <f t="shared" si="0"/>
        <v>84266.920000000027</v>
      </c>
      <c r="F15" s="30" t="s">
        <v>44</v>
      </c>
      <c r="G15" s="20" t="s">
        <v>35</v>
      </c>
      <c r="H15" s="33" t="s">
        <v>46</v>
      </c>
    </row>
    <row r="16" spans="1:8" ht="14.25" customHeight="1" x14ac:dyDescent="0.2">
      <c r="A16" s="59">
        <v>46300</v>
      </c>
      <c r="B16" s="14" t="s">
        <v>136</v>
      </c>
      <c r="C16" s="24">
        <v>83515</v>
      </c>
      <c r="D16" s="27"/>
      <c r="E16" s="36">
        <f t="shared" si="0"/>
        <v>167781.92000000004</v>
      </c>
      <c r="F16" s="30" t="s">
        <v>517</v>
      </c>
      <c r="G16" s="20" t="s">
        <v>50</v>
      </c>
      <c r="H16" s="33"/>
    </row>
    <row r="17" spans="1:8" ht="14.25" customHeight="1" x14ac:dyDescent="0.2">
      <c r="A17" s="59">
        <v>46300</v>
      </c>
      <c r="B17" s="14" t="s">
        <v>121</v>
      </c>
      <c r="C17" s="24">
        <v>25772</v>
      </c>
      <c r="D17" s="27"/>
      <c r="E17" s="36">
        <f t="shared" si="0"/>
        <v>193553.92000000004</v>
      </c>
      <c r="F17" s="30" t="s">
        <v>518</v>
      </c>
      <c r="G17" s="20" t="s">
        <v>50</v>
      </c>
      <c r="H17" s="33"/>
    </row>
    <row r="18" spans="1:8" ht="14.25" customHeight="1" x14ac:dyDescent="0.2">
      <c r="A18" s="59">
        <v>46300</v>
      </c>
      <c r="B18" s="14" t="s">
        <v>519</v>
      </c>
      <c r="C18" s="24"/>
      <c r="D18" s="27">
        <v>69702.009999999995</v>
      </c>
      <c r="E18" s="36">
        <f t="shared" si="0"/>
        <v>123851.91000000005</v>
      </c>
      <c r="F18" s="30" t="s">
        <v>520</v>
      </c>
      <c r="G18" s="20" t="s">
        <v>30</v>
      </c>
      <c r="H18" s="33" t="s">
        <v>223</v>
      </c>
    </row>
    <row r="19" spans="1:8" ht="14.25" customHeight="1" x14ac:dyDescent="0.2">
      <c r="A19" s="59">
        <v>46300</v>
      </c>
      <c r="B19" s="14" t="s">
        <v>521</v>
      </c>
      <c r="C19" s="24"/>
      <c r="D19" s="27">
        <v>18920</v>
      </c>
      <c r="E19" s="36">
        <f t="shared" si="0"/>
        <v>104931.91000000005</v>
      </c>
      <c r="F19" s="30" t="s">
        <v>522</v>
      </c>
      <c r="G19" s="20" t="s">
        <v>35</v>
      </c>
      <c r="H19" s="33" t="s">
        <v>46</v>
      </c>
    </row>
    <row r="20" spans="1:8" ht="14.25" customHeight="1" x14ac:dyDescent="0.2">
      <c r="A20" s="59">
        <v>46301</v>
      </c>
      <c r="B20" s="14" t="s">
        <v>523</v>
      </c>
      <c r="C20" s="24">
        <v>34618</v>
      </c>
      <c r="D20" s="27"/>
      <c r="E20" s="36">
        <f t="shared" si="0"/>
        <v>139549.91000000003</v>
      </c>
      <c r="F20" s="30" t="s">
        <v>620</v>
      </c>
      <c r="G20" s="20" t="s">
        <v>50</v>
      </c>
      <c r="H20" s="33"/>
    </row>
    <row r="21" spans="1:8" ht="14.25" customHeight="1" x14ac:dyDescent="0.2">
      <c r="A21" s="59">
        <v>46301</v>
      </c>
      <c r="B21" s="14" t="s">
        <v>39</v>
      </c>
      <c r="C21" s="24"/>
      <c r="D21" s="27">
        <v>54.9</v>
      </c>
      <c r="E21" s="36">
        <f t="shared" si="0"/>
        <v>139495.01000000004</v>
      </c>
      <c r="F21" s="30" t="s">
        <v>44</v>
      </c>
      <c r="G21" s="20" t="s">
        <v>35</v>
      </c>
      <c r="H21" s="33" t="s">
        <v>46</v>
      </c>
    </row>
    <row r="22" spans="1:8" ht="14.25" customHeight="1" x14ac:dyDescent="0.2">
      <c r="A22" s="59">
        <v>46301</v>
      </c>
      <c r="B22" s="14" t="s">
        <v>485</v>
      </c>
      <c r="C22" s="24">
        <v>80000</v>
      </c>
      <c r="D22" s="27"/>
      <c r="E22" s="36">
        <f t="shared" si="0"/>
        <v>219495.01000000004</v>
      </c>
      <c r="F22" s="30" t="s">
        <v>524</v>
      </c>
      <c r="G22" s="20" t="s">
        <v>50</v>
      </c>
      <c r="H22" s="33"/>
    </row>
    <row r="23" spans="1:8" ht="14.25" customHeight="1" x14ac:dyDescent="0.2">
      <c r="A23" s="59">
        <v>46301</v>
      </c>
      <c r="B23" s="14" t="s">
        <v>112</v>
      </c>
      <c r="C23" s="24">
        <v>13541</v>
      </c>
      <c r="D23" s="27"/>
      <c r="E23" s="36">
        <f t="shared" si="0"/>
        <v>233036.01000000004</v>
      </c>
      <c r="F23" s="30" t="s">
        <v>525</v>
      </c>
      <c r="G23" s="20" t="s">
        <v>50</v>
      </c>
      <c r="H23" s="33"/>
    </row>
    <row r="24" spans="1:8" ht="14.25" customHeight="1" x14ac:dyDescent="0.2">
      <c r="A24" s="59">
        <v>46301</v>
      </c>
      <c r="B24" s="14" t="s">
        <v>526</v>
      </c>
      <c r="C24" s="24"/>
      <c r="D24" s="27">
        <v>12685.71</v>
      </c>
      <c r="E24" s="36">
        <f t="shared" si="0"/>
        <v>220350.30000000005</v>
      </c>
      <c r="F24" s="30" t="s">
        <v>527</v>
      </c>
      <c r="G24" s="20" t="s">
        <v>30</v>
      </c>
      <c r="H24" s="33" t="s">
        <v>223</v>
      </c>
    </row>
    <row r="25" spans="1:8" ht="14.25" customHeight="1" x14ac:dyDescent="0.2">
      <c r="A25" s="59">
        <v>46302</v>
      </c>
      <c r="B25" s="14" t="s">
        <v>528</v>
      </c>
      <c r="C25" s="24">
        <v>5063</v>
      </c>
      <c r="D25" s="27"/>
      <c r="E25" s="36">
        <f t="shared" si="0"/>
        <v>225413.30000000005</v>
      </c>
      <c r="F25" s="30" t="s">
        <v>401</v>
      </c>
      <c r="G25" s="20" t="s">
        <v>50</v>
      </c>
      <c r="H25" s="33"/>
    </row>
    <row r="26" spans="1:8" ht="14.25" customHeight="1" x14ac:dyDescent="0.2">
      <c r="A26" s="59">
        <v>46302</v>
      </c>
      <c r="B26" s="14" t="s">
        <v>529</v>
      </c>
      <c r="C26" s="24"/>
      <c r="D26" s="27">
        <v>230000</v>
      </c>
      <c r="E26" s="36">
        <f t="shared" si="0"/>
        <v>-4586.6999999999534</v>
      </c>
      <c r="F26" s="30" t="s">
        <v>530</v>
      </c>
      <c r="G26" s="20" t="s">
        <v>30</v>
      </c>
      <c r="H26" s="33" t="s">
        <v>223</v>
      </c>
    </row>
    <row r="27" spans="1:8" ht="14.25" customHeight="1" x14ac:dyDescent="0.2">
      <c r="A27" s="59">
        <v>46303</v>
      </c>
      <c r="B27" s="14" t="s">
        <v>45</v>
      </c>
      <c r="C27" s="24">
        <v>20000</v>
      </c>
      <c r="D27" s="27"/>
      <c r="E27" s="36">
        <f t="shared" si="0"/>
        <v>15413.300000000047</v>
      </c>
      <c r="F27" s="30" t="s">
        <v>621</v>
      </c>
      <c r="G27" s="20" t="s">
        <v>50</v>
      </c>
      <c r="H27" s="33"/>
    </row>
    <row r="28" spans="1:8" ht="14.25" customHeight="1" x14ac:dyDescent="0.2">
      <c r="A28" s="59">
        <v>46303</v>
      </c>
      <c r="B28" s="14" t="s">
        <v>616</v>
      </c>
      <c r="C28" s="24">
        <v>77278</v>
      </c>
      <c r="D28" s="27"/>
      <c r="E28" s="36">
        <f t="shared" ref="E28:E41" si="1">E27+N(C28)-N(D28)</f>
        <v>92691.300000000047</v>
      </c>
      <c r="F28" s="30" t="s">
        <v>617</v>
      </c>
      <c r="G28" s="20" t="s">
        <v>50</v>
      </c>
      <c r="H28" s="33"/>
    </row>
    <row r="29" spans="1:8" ht="14.25" customHeight="1" x14ac:dyDescent="0.2">
      <c r="A29" s="59">
        <v>46303</v>
      </c>
      <c r="B29" s="14" t="s">
        <v>531</v>
      </c>
      <c r="C29" s="24"/>
      <c r="D29" s="27">
        <v>5310</v>
      </c>
      <c r="E29" s="36">
        <f t="shared" si="1"/>
        <v>87381.300000000047</v>
      </c>
      <c r="F29" s="30" t="s">
        <v>532</v>
      </c>
      <c r="G29" s="20" t="s">
        <v>35</v>
      </c>
      <c r="H29" s="33" t="s">
        <v>46</v>
      </c>
    </row>
    <row r="30" spans="1:8" ht="14.25" customHeight="1" x14ac:dyDescent="0.2">
      <c r="A30" s="59">
        <v>46304</v>
      </c>
      <c r="B30" s="14" t="s">
        <v>618</v>
      </c>
      <c r="C30" s="24">
        <v>16400</v>
      </c>
      <c r="D30" s="27"/>
      <c r="E30" s="36">
        <f t="shared" si="1"/>
        <v>103781.30000000005</v>
      </c>
      <c r="F30" s="30" t="s">
        <v>619</v>
      </c>
      <c r="G30" s="20" t="s">
        <v>50</v>
      </c>
      <c r="H30" s="33"/>
    </row>
    <row r="31" spans="1:8" ht="14.25" customHeight="1" x14ac:dyDescent="0.2">
      <c r="A31" s="59">
        <v>46306</v>
      </c>
      <c r="B31" s="14" t="s">
        <v>214</v>
      </c>
      <c r="C31" s="24"/>
      <c r="D31" s="27">
        <v>6974.85</v>
      </c>
      <c r="E31" s="36">
        <f t="shared" si="1"/>
        <v>96806.450000000041</v>
      </c>
      <c r="F31" s="30" t="s">
        <v>637</v>
      </c>
      <c r="G31" s="20" t="s">
        <v>35</v>
      </c>
      <c r="H31" s="33" t="s">
        <v>46</v>
      </c>
    </row>
    <row r="32" spans="1:8" ht="14.25" customHeight="1" x14ac:dyDescent="0.2">
      <c r="A32" s="59">
        <v>46306</v>
      </c>
      <c r="B32" s="14" t="s">
        <v>638</v>
      </c>
      <c r="C32" s="24">
        <v>13570</v>
      </c>
      <c r="D32" s="27"/>
      <c r="E32" s="36">
        <f t="shared" si="1"/>
        <v>110376.45000000004</v>
      </c>
      <c r="F32" s="30" t="s">
        <v>639</v>
      </c>
      <c r="G32" s="20" t="s">
        <v>50</v>
      </c>
      <c r="H32" s="33"/>
    </row>
    <row r="33" spans="1:8" ht="14.25" customHeight="1" x14ac:dyDescent="0.2">
      <c r="A33" s="59">
        <v>46306</v>
      </c>
      <c r="B33" s="14" t="s">
        <v>640</v>
      </c>
      <c r="C33" s="24">
        <v>15340</v>
      </c>
      <c r="D33" s="27"/>
      <c r="E33" s="36">
        <f t="shared" si="1"/>
        <v>125716.45000000004</v>
      </c>
      <c r="F33" s="30" t="s">
        <v>641</v>
      </c>
      <c r="G33" s="20" t="s">
        <v>50</v>
      </c>
      <c r="H33" s="33"/>
    </row>
    <row r="34" spans="1:8" ht="14.25" customHeight="1" x14ac:dyDescent="0.2">
      <c r="A34" s="59">
        <v>46306</v>
      </c>
      <c r="B34" s="14" t="s">
        <v>642</v>
      </c>
      <c r="C34" s="24">
        <v>29500</v>
      </c>
      <c r="D34" s="27"/>
      <c r="E34" s="36">
        <f t="shared" si="1"/>
        <v>155216.45000000004</v>
      </c>
      <c r="F34" s="30" t="s">
        <v>643</v>
      </c>
      <c r="G34" s="20" t="s">
        <v>50</v>
      </c>
      <c r="H34" s="33"/>
    </row>
    <row r="35" spans="1:8" ht="14.25" customHeight="1" x14ac:dyDescent="0.2">
      <c r="A35" s="59">
        <v>46306</v>
      </c>
      <c r="B35" s="14" t="s">
        <v>649</v>
      </c>
      <c r="C35" s="24"/>
      <c r="D35" s="27">
        <v>20000</v>
      </c>
      <c r="E35" s="36">
        <f t="shared" si="1"/>
        <v>135216.45000000004</v>
      </c>
      <c r="F35" s="30" t="s">
        <v>650</v>
      </c>
      <c r="G35" s="20" t="s">
        <v>221</v>
      </c>
      <c r="H35" s="33" t="s">
        <v>223</v>
      </c>
    </row>
    <row r="36" spans="1:8" ht="14.25" customHeight="1" x14ac:dyDescent="0.2">
      <c r="A36" s="59">
        <v>46306</v>
      </c>
      <c r="B36" s="14" t="s">
        <v>653</v>
      </c>
      <c r="C36" s="24"/>
      <c r="D36" s="27">
        <v>10814</v>
      </c>
      <c r="E36" s="36">
        <f t="shared" si="1"/>
        <v>124402.45000000004</v>
      </c>
      <c r="F36" s="30" t="s">
        <v>654</v>
      </c>
      <c r="G36" s="20" t="s">
        <v>35</v>
      </c>
      <c r="H36" s="33" t="s">
        <v>46</v>
      </c>
    </row>
    <row r="37" spans="1:8" ht="14.25" customHeight="1" x14ac:dyDescent="0.2">
      <c r="A37" s="59">
        <v>46306</v>
      </c>
      <c r="B37" s="14" t="s">
        <v>304</v>
      </c>
      <c r="C37" s="24"/>
      <c r="D37" s="27">
        <v>3218</v>
      </c>
      <c r="E37" s="36">
        <f t="shared" si="1"/>
        <v>121184.45000000004</v>
      </c>
      <c r="F37" s="30" t="s">
        <v>657</v>
      </c>
      <c r="G37" s="20" t="s">
        <v>35</v>
      </c>
      <c r="H37" s="33" t="s">
        <v>46</v>
      </c>
    </row>
    <row r="38" spans="1:8" ht="14.25" customHeight="1" x14ac:dyDescent="0.2">
      <c r="A38" s="59">
        <v>46306</v>
      </c>
      <c r="B38" s="14" t="s">
        <v>655</v>
      </c>
      <c r="C38" s="24"/>
      <c r="D38" s="27">
        <v>10483</v>
      </c>
      <c r="E38" s="36">
        <f t="shared" si="1"/>
        <v>110701.45000000004</v>
      </c>
      <c r="F38" s="30" t="s">
        <v>656</v>
      </c>
      <c r="G38" s="20" t="s">
        <v>35</v>
      </c>
      <c r="H38" s="33" t="s">
        <v>46</v>
      </c>
    </row>
    <row r="39" spans="1:8" ht="14.25" customHeight="1" x14ac:dyDescent="0.2">
      <c r="A39" s="59">
        <v>46306</v>
      </c>
      <c r="B39" s="14" t="s">
        <v>651</v>
      </c>
      <c r="C39" s="24"/>
      <c r="D39" s="27">
        <v>20000</v>
      </c>
      <c r="E39" s="36">
        <f t="shared" si="1"/>
        <v>90701.450000000041</v>
      </c>
      <c r="F39" s="30" t="s">
        <v>652</v>
      </c>
      <c r="G39" s="20" t="s">
        <v>221</v>
      </c>
      <c r="H39" s="33" t="s">
        <v>223</v>
      </c>
    </row>
    <row r="40" spans="1:8" ht="14.25" customHeight="1" x14ac:dyDescent="0.2">
      <c r="A40" s="59">
        <v>46307</v>
      </c>
      <c r="B40" s="14" t="s">
        <v>383</v>
      </c>
      <c r="C40" s="24"/>
      <c r="D40" s="27">
        <v>8850</v>
      </c>
      <c r="E40" s="36">
        <f t="shared" si="1"/>
        <v>81851.450000000041</v>
      </c>
      <c r="F40" s="30" t="s">
        <v>44</v>
      </c>
      <c r="G40" s="20" t="s">
        <v>35</v>
      </c>
      <c r="H40" s="33" t="s">
        <v>46</v>
      </c>
    </row>
    <row r="41" spans="1:8" ht="14.25" customHeight="1" x14ac:dyDescent="0.2">
      <c r="A41" s="59">
        <v>46307</v>
      </c>
      <c r="B41" s="14" t="s">
        <v>385</v>
      </c>
      <c r="C41" s="24"/>
      <c r="D41" s="27">
        <v>12980</v>
      </c>
      <c r="E41" s="36">
        <f t="shared" si="1"/>
        <v>68871.450000000041</v>
      </c>
      <c r="F41" s="30" t="s">
        <v>44</v>
      </c>
      <c r="G41" s="20" t="s">
        <v>35</v>
      </c>
      <c r="H41" s="33" t="s">
        <v>46</v>
      </c>
    </row>
    <row r="42" spans="1:8" ht="14.25" customHeight="1" x14ac:dyDescent="0.25">
      <c r="A42" s="58" t="s">
        <v>644</v>
      </c>
      <c r="C42" s="82"/>
      <c r="D42" s="82"/>
      <c r="E42" s="84">
        <f>E41</f>
        <v>68871.450000000041</v>
      </c>
    </row>
    <row r="43" spans="1:8" ht="30" customHeight="1" x14ac:dyDescent="0.2">
      <c r="A43" s="134" t="s">
        <v>659</v>
      </c>
      <c r="B43" s="131"/>
      <c r="C43" s="131"/>
      <c r="D43" s="131"/>
      <c r="E43" s="131"/>
      <c r="F43" s="131"/>
      <c r="G43" s="131"/>
      <c r="H43" s="131"/>
    </row>
    <row r="44" spans="1:8" ht="14.25" customHeight="1" x14ac:dyDescent="0.2">
      <c r="C44" s="82"/>
      <c r="D44" s="82"/>
      <c r="E44" s="82"/>
    </row>
    <row r="45" spans="1:8" ht="14.25" customHeight="1" x14ac:dyDescent="0.25">
      <c r="A45" s="135" t="s">
        <v>491</v>
      </c>
      <c r="B45" s="127"/>
      <c r="C45" s="127"/>
      <c r="D45" s="127"/>
      <c r="E45" s="127"/>
      <c r="F45" s="127"/>
      <c r="G45" s="127"/>
      <c r="H45" s="128"/>
    </row>
    <row r="46" spans="1:8" ht="14.25" customHeight="1" x14ac:dyDescent="0.2">
      <c r="A46" s="85" t="s">
        <v>533</v>
      </c>
      <c r="B46" s="85"/>
      <c r="C46" s="86"/>
      <c r="D46" s="83">
        <f>SUMIF(H5:H41,"כן",D5:D41)</f>
        <v>110996.49</v>
      </c>
      <c r="E46" s="82"/>
    </row>
    <row r="47" spans="1:8" ht="14.25" customHeight="1" x14ac:dyDescent="0.2">
      <c r="A47" s="85" t="s">
        <v>504</v>
      </c>
      <c r="B47" s="85"/>
      <c r="C47" s="86"/>
      <c r="D47" s="83">
        <f>SUMIF(H5:H41,"לא",D5:D41)</f>
        <v>352387.72</v>
      </c>
      <c r="E47" s="82"/>
    </row>
    <row r="48" spans="1:8" ht="14.25" customHeight="1" x14ac:dyDescent="0.2">
      <c r="A48" s="85" t="s">
        <v>645</v>
      </c>
      <c r="B48" s="85"/>
      <c r="C48" s="86"/>
      <c r="D48" s="83">
        <f>SUM(C5:C41)</f>
        <v>414597</v>
      </c>
      <c r="E48" s="82"/>
    </row>
    <row r="49" spans="1:8" ht="14.25" customHeight="1" x14ac:dyDescent="0.2">
      <c r="C49" s="82"/>
      <c r="D49" s="82"/>
      <c r="E49" s="82"/>
    </row>
    <row r="50" spans="1:8" ht="14.25" customHeight="1" x14ac:dyDescent="0.25">
      <c r="A50" s="135" t="s">
        <v>539</v>
      </c>
      <c r="B50" s="127"/>
      <c r="C50" s="127"/>
      <c r="D50" s="127"/>
      <c r="E50" s="127"/>
      <c r="F50" s="127"/>
      <c r="G50" s="127"/>
      <c r="H50" s="128"/>
    </row>
    <row r="51" spans="1:8" ht="14.25" customHeight="1" x14ac:dyDescent="0.25">
      <c r="A51" s="3" t="s">
        <v>8</v>
      </c>
      <c r="B51" s="3" t="s">
        <v>9</v>
      </c>
      <c r="C51" s="81" t="s">
        <v>10</v>
      </c>
      <c r="D51" s="81" t="s">
        <v>11</v>
      </c>
      <c r="E51" s="94" t="s">
        <v>12</v>
      </c>
      <c r="F51" s="3" t="s">
        <v>14</v>
      </c>
      <c r="G51" s="3" t="s">
        <v>15</v>
      </c>
      <c r="H51" s="7" t="s">
        <v>17</v>
      </c>
    </row>
    <row r="52" spans="1:8" ht="14.25" customHeight="1" x14ac:dyDescent="0.2">
      <c r="A52" s="95">
        <v>46305</v>
      </c>
      <c r="B52" s="96" t="s">
        <v>417</v>
      </c>
      <c r="C52" s="97"/>
      <c r="D52" s="98">
        <v>19770</v>
      </c>
      <c r="E52" s="100">
        <f>E42+N(C52)-N(D52)</f>
        <v>49101.450000000041</v>
      </c>
      <c r="F52" s="101" t="s">
        <v>658</v>
      </c>
      <c r="G52" s="102" t="s">
        <v>35</v>
      </c>
      <c r="H52" s="104" t="s">
        <v>46</v>
      </c>
    </row>
    <row r="53" spans="1:8" ht="14.25" customHeight="1" x14ac:dyDescent="0.2">
      <c r="A53" s="95">
        <v>46309</v>
      </c>
      <c r="B53" s="96" t="s">
        <v>181</v>
      </c>
      <c r="C53" s="97">
        <v>45605.61</v>
      </c>
      <c r="D53" s="98"/>
      <c r="E53" s="100">
        <f t="shared" ref="E53:E57" si="2">E52+N(C53)-N(D53)</f>
        <v>94707.060000000041</v>
      </c>
      <c r="F53" s="101" t="s">
        <v>555</v>
      </c>
      <c r="G53" s="102" t="s">
        <v>50</v>
      </c>
      <c r="H53" s="104"/>
    </row>
    <row r="54" spans="1:8" ht="14.25" customHeight="1" x14ac:dyDescent="0.2">
      <c r="A54" s="95">
        <v>46310</v>
      </c>
      <c r="B54" s="96" t="s">
        <v>241</v>
      </c>
      <c r="C54" s="97"/>
      <c r="D54" s="98">
        <v>5694.18</v>
      </c>
      <c r="E54" s="100">
        <f t="shared" si="2"/>
        <v>89012.880000000034</v>
      </c>
      <c r="F54" s="101" t="s">
        <v>556</v>
      </c>
      <c r="G54" s="102" t="s">
        <v>35</v>
      </c>
      <c r="H54" s="104" t="s">
        <v>46</v>
      </c>
    </row>
    <row r="55" spans="1:8" ht="14.25" customHeight="1" x14ac:dyDescent="0.2">
      <c r="A55" s="95">
        <v>46310</v>
      </c>
      <c r="B55" s="96" t="s">
        <v>557</v>
      </c>
      <c r="C55" s="97"/>
      <c r="D55" s="98">
        <v>171</v>
      </c>
      <c r="E55" s="100">
        <f t="shared" si="2"/>
        <v>88841.880000000034</v>
      </c>
      <c r="F55" s="101" t="s">
        <v>556</v>
      </c>
      <c r="G55" s="102" t="s">
        <v>35</v>
      </c>
      <c r="H55" s="104" t="s">
        <v>46</v>
      </c>
    </row>
    <row r="56" spans="1:8" ht="14.25" customHeight="1" x14ac:dyDescent="0.2">
      <c r="A56" s="95">
        <v>46315</v>
      </c>
      <c r="B56" s="96" t="s">
        <v>276</v>
      </c>
      <c r="C56" s="97"/>
      <c r="D56" s="98">
        <v>4044.58</v>
      </c>
      <c r="E56" s="100">
        <f t="shared" si="2"/>
        <v>84797.300000000032</v>
      </c>
      <c r="F56" s="101" t="s">
        <v>558</v>
      </c>
      <c r="G56" s="102" t="s">
        <v>35</v>
      </c>
      <c r="H56" s="104" t="s">
        <v>46</v>
      </c>
    </row>
    <row r="57" spans="1:8" ht="14.25" customHeight="1" x14ac:dyDescent="0.2">
      <c r="A57" s="95">
        <v>46315</v>
      </c>
      <c r="B57" s="96" t="s">
        <v>559</v>
      </c>
      <c r="C57" s="97"/>
      <c r="D57" s="98">
        <v>1825</v>
      </c>
      <c r="E57" s="100">
        <f t="shared" si="2"/>
        <v>82972.300000000032</v>
      </c>
      <c r="F57" s="101" t="s">
        <v>558</v>
      </c>
      <c r="G57" s="102" t="s">
        <v>35</v>
      </c>
      <c r="H57" s="104" t="s">
        <v>46</v>
      </c>
    </row>
    <row r="58" spans="1:8" ht="14.25" customHeight="1" x14ac:dyDescent="0.2">
      <c r="A58" s="95">
        <v>46315</v>
      </c>
      <c r="B58" s="96" t="s">
        <v>669</v>
      </c>
      <c r="C58" s="97"/>
      <c r="D58" s="98">
        <v>35432.57</v>
      </c>
      <c r="E58" s="100">
        <f>E57+N(C58)-N(D58)</f>
        <v>47539.730000000032</v>
      </c>
      <c r="F58" s="101" t="s">
        <v>670</v>
      </c>
      <c r="G58" s="102" t="s">
        <v>30</v>
      </c>
      <c r="H58" s="104" t="s">
        <v>223</v>
      </c>
    </row>
    <row r="59" spans="1:8" ht="14.25" customHeight="1" x14ac:dyDescent="0.2">
      <c r="A59" s="95">
        <v>46320</v>
      </c>
      <c r="B59" s="96" t="s">
        <v>560</v>
      </c>
      <c r="C59" s="97"/>
      <c r="D59" s="98">
        <v>18262.900000000001</v>
      </c>
      <c r="E59" s="100">
        <f>E58+N(C59)-N(D59)</f>
        <v>29276.830000000031</v>
      </c>
      <c r="F59" s="101" t="s">
        <v>561</v>
      </c>
      <c r="G59" s="102" t="s">
        <v>30</v>
      </c>
      <c r="H59" s="104" t="s">
        <v>223</v>
      </c>
    </row>
    <row r="60" spans="1:8" ht="14.25" customHeight="1" x14ac:dyDescent="0.2">
      <c r="A60" s="95">
        <v>46320</v>
      </c>
      <c r="B60" s="96" t="s">
        <v>627</v>
      </c>
      <c r="C60" s="97"/>
      <c r="D60" s="98">
        <v>44571</v>
      </c>
      <c r="E60" s="100">
        <f>E59+N(C60)-N(D60)</f>
        <v>-15294.169999999969</v>
      </c>
      <c r="F60" s="101" t="s">
        <v>628</v>
      </c>
      <c r="G60" s="102" t="s">
        <v>30</v>
      </c>
      <c r="H60" s="104" t="s">
        <v>223</v>
      </c>
    </row>
    <row r="61" spans="1:8" ht="14.25" customHeight="1" x14ac:dyDescent="0.2">
      <c r="A61" s="95">
        <v>46320</v>
      </c>
      <c r="B61" s="96" t="s">
        <v>562</v>
      </c>
      <c r="C61" s="97"/>
      <c r="D61" s="98">
        <v>125000</v>
      </c>
      <c r="E61" s="100">
        <f>E60+N(C61)-N(D61)</f>
        <v>-140294.16999999998</v>
      </c>
      <c r="F61" s="101" t="s">
        <v>563</v>
      </c>
      <c r="G61" s="102" t="s">
        <v>30</v>
      </c>
      <c r="H61" s="104" t="s">
        <v>223</v>
      </c>
    </row>
    <row r="62" spans="1:8" ht="14.25" customHeight="1" x14ac:dyDescent="0.25">
      <c r="A62" s="58" t="s">
        <v>564</v>
      </c>
      <c r="C62" s="82"/>
      <c r="D62" s="82"/>
      <c r="E62" s="84">
        <f>E61</f>
        <v>-140294.16999999998</v>
      </c>
    </row>
    <row r="63" spans="1:8" ht="14.25" customHeight="1" x14ac:dyDescent="0.2"/>
    <row r="64" spans="1:8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</sheetData>
  <mergeCells count="5">
    <mergeCell ref="A1:G1"/>
    <mergeCell ref="A2:D2"/>
    <mergeCell ref="A43:H43"/>
    <mergeCell ref="A45:H45"/>
    <mergeCell ref="A50:H50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03"/>
  <sheetViews>
    <sheetView rightToLeft="1" workbookViewId="0">
      <selection activeCell="A24" sqref="A24:XFD24"/>
    </sheetView>
  </sheetViews>
  <sheetFormatPr defaultColWidth="12.625" defaultRowHeight="15" customHeight="1" x14ac:dyDescent="0.2"/>
  <cols>
    <col min="1" max="1" width="41.375" customWidth="1"/>
    <col min="2" max="2" width="43.25" customWidth="1"/>
    <col min="3" max="3" width="20.25" customWidth="1"/>
    <col min="4" max="4" width="23.25" customWidth="1"/>
    <col min="5" max="5" width="46.75" customWidth="1"/>
    <col min="6" max="26" width="8.625" customWidth="1"/>
  </cols>
  <sheetData>
    <row r="1" spans="1:5" ht="24" customHeight="1" x14ac:dyDescent="0.2">
      <c r="A1" s="129" t="s">
        <v>646</v>
      </c>
      <c r="B1" s="127"/>
      <c r="C1" s="127"/>
      <c r="D1" s="127"/>
      <c r="E1" s="128"/>
    </row>
    <row r="2" spans="1:5" ht="14.25" customHeight="1" x14ac:dyDescent="0.2"/>
    <row r="3" spans="1:5" ht="14.25" customHeight="1" x14ac:dyDescent="0.25">
      <c r="A3" s="133" t="s">
        <v>534</v>
      </c>
      <c r="B3" s="127"/>
      <c r="C3" s="127"/>
      <c r="D3" s="127"/>
      <c r="E3" s="128"/>
    </row>
    <row r="4" spans="1:5" ht="14.25" customHeight="1" x14ac:dyDescent="0.2">
      <c r="A4" s="3" t="s">
        <v>535</v>
      </c>
      <c r="B4" s="3" t="s">
        <v>536</v>
      </c>
      <c r="C4" s="3" t="s">
        <v>20</v>
      </c>
      <c r="D4" s="3" t="s">
        <v>537</v>
      </c>
      <c r="E4" s="3" t="s">
        <v>14</v>
      </c>
    </row>
    <row r="5" spans="1:5" ht="14.25" customHeight="1" x14ac:dyDescent="0.2">
      <c r="A5" s="90" t="s">
        <v>538</v>
      </c>
      <c r="B5" s="91" t="s">
        <v>82</v>
      </c>
      <c r="C5" s="91" t="s">
        <v>320</v>
      </c>
      <c r="D5" s="92">
        <v>125000</v>
      </c>
      <c r="E5" s="93" t="s">
        <v>540</v>
      </c>
    </row>
    <row r="6" spans="1:5" ht="14.25" customHeight="1" x14ac:dyDescent="0.2">
      <c r="A6" s="90" t="s">
        <v>538</v>
      </c>
      <c r="B6" s="91" t="s">
        <v>103</v>
      </c>
      <c r="C6" s="91" t="s">
        <v>332</v>
      </c>
      <c r="D6" s="92">
        <v>208316.3</v>
      </c>
      <c r="E6" s="93" t="s">
        <v>541</v>
      </c>
    </row>
    <row r="7" spans="1:5" ht="14.25" customHeight="1" x14ac:dyDescent="0.2">
      <c r="A7" s="90" t="s">
        <v>542</v>
      </c>
      <c r="B7" s="91" t="s">
        <v>111</v>
      </c>
      <c r="C7" s="91" t="s">
        <v>113</v>
      </c>
      <c r="D7" s="92">
        <v>18262.900000000001</v>
      </c>
      <c r="E7" s="93" t="s">
        <v>543</v>
      </c>
    </row>
    <row r="8" spans="1:5" ht="14.25" customHeight="1" x14ac:dyDescent="0.2">
      <c r="A8" s="90" t="s">
        <v>624</v>
      </c>
      <c r="B8" s="91" t="s">
        <v>111</v>
      </c>
      <c r="C8" s="91">
        <v>230747</v>
      </c>
      <c r="D8" s="92">
        <v>44571</v>
      </c>
      <c r="E8" s="93" t="s">
        <v>625</v>
      </c>
    </row>
    <row r="9" spans="1:5" ht="14.25" customHeight="1" x14ac:dyDescent="0.2">
      <c r="A9" s="90" t="s">
        <v>292</v>
      </c>
      <c r="B9" s="91" t="s">
        <v>111</v>
      </c>
      <c r="C9" s="91" t="s">
        <v>631</v>
      </c>
      <c r="D9" s="92">
        <v>107834.3</v>
      </c>
      <c r="E9" s="93" t="s">
        <v>634</v>
      </c>
    </row>
    <row r="10" spans="1:5" ht="14.25" customHeight="1" x14ac:dyDescent="0.2">
      <c r="A10" s="90" t="s">
        <v>666</v>
      </c>
      <c r="B10" s="91" t="s">
        <v>111</v>
      </c>
      <c r="C10" s="91" t="s">
        <v>664</v>
      </c>
      <c r="D10" s="92">
        <v>35432.57</v>
      </c>
      <c r="E10" s="93" t="s">
        <v>665</v>
      </c>
    </row>
    <row r="11" spans="1:5" ht="14.25" customHeight="1" x14ac:dyDescent="0.25">
      <c r="A11" s="136" t="s">
        <v>544</v>
      </c>
      <c r="B11" s="127"/>
      <c r="C11" s="128"/>
      <c r="D11" s="45">
        <f>SUM(D6:D10)</f>
        <v>414417.06999999995</v>
      </c>
      <c r="E11" s="99"/>
    </row>
    <row r="12" spans="1:5" ht="14.25" customHeight="1" x14ac:dyDescent="0.25">
      <c r="A12" s="133" t="s">
        <v>545</v>
      </c>
      <c r="B12" s="127"/>
      <c r="C12" s="127"/>
      <c r="D12" s="127"/>
      <c r="E12" s="128"/>
    </row>
    <row r="13" spans="1:5" ht="14.25" customHeight="1" x14ac:dyDescent="0.2">
      <c r="A13" s="3" t="s">
        <v>9</v>
      </c>
      <c r="B13" s="3"/>
      <c r="C13" s="3"/>
      <c r="D13" s="3" t="s">
        <v>537</v>
      </c>
      <c r="E13" s="3"/>
    </row>
    <row r="14" spans="1:5" ht="14.25" customHeight="1" x14ac:dyDescent="0.2">
      <c r="A14" s="90" t="s">
        <v>671</v>
      </c>
      <c r="B14" s="91"/>
      <c r="C14" s="91"/>
      <c r="D14" s="92">
        <v>23427</v>
      </c>
      <c r="E14" s="93"/>
    </row>
    <row r="15" spans="1:5" ht="14.25" customHeight="1" x14ac:dyDescent="0.2"/>
    <row r="16" spans="1:5" ht="14.25" customHeight="1" x14ac:dyDescent="0.25">
      <c r="A16" s="103"/>
      <c r="B16" s="58"/>
      <c r="C16" s="58"/>
      <c r="D16" s="58"/>
      <c r="E16" s="58"/>
    </row>
    <row r="17" spans="1:5" ht="14.25" customHeight="1" x14ac:dyDescent="0.2">
      <c r="A17" s="3" t="s">
        <v>8</v>
      </c>
      <c r="B17" s="3" t="s">
        <v>9</v>
      </c>
      <c r="C17" s="3" t="s">
        <v>537</v>
      </c>
      <c r="D17" s="3" t="s">
        <v>546</v>
      </c>
      <c r="E17" s="3"/>
    </row>
    <row r="18" spans="1:5" ht="14.25" customHeight="1" x14ac:dyDescent="0.2">
      <c r="A18" s="91" t="s">
        <v>103</v>
      </c>
      <c r="B18" s="90" t="s">
        <v>547</v>
      </c>
      <c r="C18" s="92">
        <v>208316.3</v>
      </c>
      <c r="D18" s="105" t="s">
        <v>548</v>
      </c>
      <c r="E18" s="106"/>
    </row>
    <row r="19" spans="1:5" ht="14.25" customHeight="1" x14ac:dyDescent="0.2">
      <c r="A19" s="91" t="s">
        <v>549</v>
      </c>
      <c r="B19" s="90" t="s">
        <v>550</v>
      </c>
      <c r="C19" s="92">
        <v>4078</v>
      </c>
      <c r="D19" s="105" t="s">
        <v>551</v>
      </c>
      <c r="E19" s="106"/>
    </row>
    <row r="20" spans="1:5" ht="14.25" customHeight="1" x14ac:dyDescent="0.2">
      <c r="A20" s="91" t="s">
        <v>111</v>
      </c>
      <c r="B20" s="90" t="s">
        <v>552</v>
      </c>
      <c r="C20" s="92">
        <v>18262.900000000001</v>
      </c>
      <c r="D20" s="105" t="s">
        <v>553</v>
      </c>
      <c r="E20" s="106"/>
    </row>
    <row r="21" spans="1:5" ht="14.25" customHeight="1" x14ac:dyDescent="0.2">
      <c r="A21" s="91" t="s">
        <v>111</v>
      </c>
      <c r="B21" s="90" t="s">
        <v>626</v>
      </c>
      <c r="C21" s="92">
        <v>44571</v>
      </c>
      <c r="D21" s="105" t="s">
        <v>553</v>
      </c>
      <c r="E21" s="106"/>
    </row>
    <row r="22" spans="1:5" ht="14.25" customHeight="1" x14ac:dyDescent="0.2">
      <c r="A22" s="91" t="s">
        <v>549</v>
      </c>
      <c r="B22" s="90" t="s">
        <v>629</v>
      </c>
      <c r="C22" s="92">
        <v>16250</v>
      </c>
      <c r="D22" s="105" t="s">
        <v>630</v>
      </c>
      <c r="E22" s="106"/>
    </row>
    <row r="23" spans="1:5" ht="14.25" customHeight="1" x14ac:dyDescent="0.2">
      <c r="A23" s="91" t="s">
        <v>111</v>
      </c>
      <c r="B23" s="90" t="s">
        <v>635</v>
      </c>
      <c r="C23" s="92">
        <v>107834.3</v>
      </c>
      <c r="D23" s="105" t="s">
        <v>636</v>
      </c>
      <c r="E23" s="106"/>
    </row>
    <row r="24" spans="1:5" ht="14.25" customHeight="1" x14ac:dyDescent="0.2">
      <c r="A24" s="91" t="s">
        <v>111</v>
      </c>
      <c r="B24" s="90" t="s">
        <v>667</v>
      </c>
      <c r="C24" s="92">
        <v>35432.57</v>
      </c>
      <c r="D24" s="105" t="s">
        <v>668</v>
      </c>
      <c r="E24" s="106"/>
    </row>
    <row r="25" spans="1:5" ht="14.25" customHeight="1" x14ac:dyDescent="0.2">
      <c r="A25" s="91" t="s">
        <v>660</v>
      </c>
      <c r="B25" s="90" t="s">
        <v>661</v>
      </c>
      <c r="C25" s="92">
        <v>12676.86</v>
      </c>
      <c r="D25" s="105" t="s">
        <v>662</v>
      </c>
      <c r="E25" s="106"/>
    </row>
    <row r="26" spans="1:5" ht="14.25" customHeight="1" x14ac:dyDescent="0.25">
      <c r="A26" s="136" t="s">
        <v>554</v>
      </c>
      <c r="B26" s="128"/>
      <c r="C26" s="45">
        <f>SUM(C18:C25)</f>
        <v>447421.92999999993</v>
      </c>
      <c r="D26" s="99"/>
      <c r="E26" s="99"/>
    </row>
    <row r="27" spans="1:5" ht="14.25" customHeight="1" x14ac:dyDescent="0.2"/>
    <row r="28" spans="1:5" ht="21.75" customHeight="1" x14ac:dyDescent="0.25">
      <c r="A28" s="132" t="s">
        <v>663</v>
      </c>
      <c r="B28" s="127"/>
      <c r="C28" s="128"/>
      <c r="D28" s="87">
        <f>D11+C19+C22+C25</f>
        <v>447421.92999999993</v>
      </c>
      <c r="E28" s="88"/>
    </row>
    <row r="29" spans="1:5" ht="14.25" customHeight="1" x14ac:dyDescent="0.2"/>
    <row r="30" spans="1:5" ht="14.25" customHeight="1" x14ac:dyDescent="0.2">
      <c r="A30" s="130"/>
      <c r="B30" s="131"/>
      <c r="C30" s="131"/>
      <c r="D30" s="131"/>
      <c r="E30" s="131"/>
    </row>
    <row r="31" spans="1:5" ht="14.25" customHeight="1" x14ac:dyDescent="0.2"/>
    <row r="32" spans="1:5" ht="14.25" customHeight="1" x14ac:dyDescent="0.25">
      <c r="A32" s="78" t="s">
        <v>565</v>
      </c>
      <c r="B32" s="80"/>
      <c r="C32" s="80"/>
      <c r="D32" s="80"/>
    </row>
    <row r="33" spans="1:5" ht="14.25" customHeight="1" x14ac:dyDescent="0.25">
      <c r="A33" s="107" t="s">
        <v>566</v>
      </c>
      <c r="B33" s="107" t="s">
        <v>567</v>
      </c>
      <c r="C33" s="107" t="s">
        <v>537</v>
      </c>
      <c r="D33" s="108" t="s">
        <v>568</v>
      </c>
      <c r="E33" s="109"/>
    </row>
    <row r="34" spans="1:5" ht="14.25" customHeight="1" x14ac:dyDescent="0.25">
      <c r="A34" s="110" t="s">
        <v>569</v>
      </c>
      <c r="B34" s="110" t="s">
        <v>570</v>
      </c>
      <c r="C34" s="111">
        <v>15803.8</v>
      </c>
      <c r="D34" s="112" t="s">
        <v>571</v>
      </c>
      <c r="E34" s="109"/>
    </row>
    <row r="35" spans="1:5" ht="14.25" customHeight="1" x14ac:dyDescent="0.25">
      <c r="A35" s="110" t="s">
        <v>572</v>
      </c>
      <c r="B35" s="110" t="s">
        <v>573</v>
      </c>
      <c r="C35" s="111">
        <v>2367</v>
      </c>
      <c r="D35" s="112" t="s">
        <v>574</v>
      </c>
      <c r="E35" s="109"/>
    </row>
    <row r="36" spans="1:5" ht="14.25" customHeight="1" x14ac:dyDescent="0.25">
      <c r="A36" s="110" t="s">
        <v>575</v>
      </c>
      <c r="B36" s="110" t="s">
        <v>576</v>
      </c>
      <c r="C36" s="111">
        <v>8425</v>
      </c>
      <c r="D36" s="112" t="s">
        <v>577</v>
      </c>
      <c r="E36" s="109"/>
    </row>
    <row r="37" spans="1:5" ht="14.25" customHeight="1" x14ac:dyDescent="0.25">
      <c r="A37" s="110" t="s">
        <v>572</v>
      </c>
      <c r="B37" s="110" t="s">
        <v>578</v>
      </c>
      <c r="C37" s="111">
        <v>91496</v>
      </c>
      <c r="D37" s="112"/>
      <c r="E37" s="109"/>
    </row>
    <row r="38" spans="1:5" ht="14.25" customHeight="1" x14ac:dyDescent="0.25">
      <c r="A38" s="110" t="s">
        <v>579</v>
      </c>
      <c r="B38" s="110" t="s">
        <v>580</v>
      </c>
      <c r="C38" s="111">
        <v>112041</v>
      </c>
      <c r="D38" s="112" t="s">
        <v>581</v>
      </c>
      <c r="E38" s="109"/>
    </row>
    <row r="39" spans="1:5" ht="14.25" customHeight="1" x14ac:dyDescent="0.25">
      <c r="A39" s="110" t="s">
        <v>582</v>
      </c>
      <c r="B39" s="110" t="s">
        <v>583</v>
      </c>
      <c r="C39" s="111">
        <v>146910</v>
      </c>
      <c r="D39" s="112" t="s">
        <v>581</v>
      </c>
      <c r="E39" s="109"/>
    </row>
    <row r="40" spans="1:5" ht="14.25" customHeight="1" x14ac:dyDescent="0.25">
      <c r="A40" s="110" t="s">
        <v>584</v>
      </c>
      <c r="B40" s="110" t="s">
        <v>585</v>
      </c>
      <c r="C40" s="111">
        <v>15904</v>
      </c>
      <c r="D40" s="112" t="s">
        <v>581</v>
      </c>
      <c r="E40" s="109"/>
    </row>
    <row r="41" spans="1:5" ht="14.25" customHeight="1" x14ac:dyDescent="0.25">
      <c r="A41" s="110" t="s">
        <v>572</v>
      </c>
      <c r="B41" s="110" t="s">
        <v>586</v>
      </c>
      <c r="C41" s="111">
        <v>55833</v>
      </c>
      <c r="D41" s="112" t="s">
        <v>581</v>
      </c>
      <c r="E41" s="109"/>
    </row>
    <row r="42" spans="1:5" ht="14.25" customHeight="1" x14ac:dyDescent="0.25">
      <c r="A42" s="110" t="s">
        <v>587</v>
      </c>
      <c r="B42" s="110" t="s">
        <v>588</v>
      </c>
      <c r="C42" s="111">
        <v>156403</v>
      </c>
      <c r="D42" s="112" t="s">
        <v>581</v>
      </c>
      <c r="E42" s="109"/>
    </row>
    <row r="43" spans="1:5" ht="14.25" customHeight="1" x14ac:dyDescent="0.25">
      <c r="A43" s="110" t="s">
        <v>575</v>
      </c>
      <c r="B43" s="110" t="s">
        <v>589</v>
      </c>
      <c r="C43" s="111">
        <v>66573</v>
      </c>
      <c r="D43" s="112" t="s">
        <v>581</v>
      </c>
      <c r="E43" s="109"/>
    </row>
    <row r="44" spans="1:5" ht="14.25" customHeight="1" x14ac:dyDescent="0.25">
      <c r="A44" s="110" t="s">
        <v>590</v>
      </c>
      <c r="B44" s="110" t="s">
        <v>591</v>
      </c>
      <c r="C44" s="111">
        <v>0</v>
      </c>
      <c r="D44" s="112" t="s">
        <v>622</v>
      </c>
      <c r="E44" s="109"/>
    </row>
    <row r="45" spans="1:5" ht="14.25" customHeight="1" x14ac:dyDescent="0.25">
      <c r="A45" s="110" t="s">
        <v>592</v>
      </c>
      <c r="B45" s="110" t="s">
        <v>593</v>
      </c>
      <c r="C45" s="111">
        <v>7723</v>
      </c>
      <c r="D45" s="112" t="s">
        <v>594</v>
      </c>
      <c r="E45" s="109"/>
    </row>
    <row r="46" spans="1:5" ht="14.25" customHeight="1" x14ac:dyDescent="0.25">
      <c r="A46" s="110" t="s">
        <v>592</v>
      </c>
      <c r="B46" s="110" t="s">
        <v>595</v>
      </c>
      <c r="C46" s="111">
        <v>19171</v>
      </c>
      <c r="D46" s="112" t="s">
        <v>596</v>
      </c>
      <c r="E46" s="109"/>
    </row>
    <row r="47" spans="1:5" ht="14.25" customHeight="1" x14ac:dyDescent="0.25">
      <c r="A47" s="110" t="s">
        <v>597</v>
      </c>
      <c r="B47" s="110" t="s">
        <v>598</v>
      </c>
      <c r="C47" s="111">
        <v>0</v>
      </c>
      <c r="D47" s="112" t="s">
        <v>647</v>
      </c>
      <c r="E47" s="109"/>
    </row>
    <row r="48" spans="1:5" ht="14.25" customHeight="1" x14ac:dyDescent="0.25">
      <c r="A48" s="113" t="s">
        <v>599</v>
      </c>
      <c r="B48" s="114"/>
      <c r="C48" s="115">
        <f>SUM(C34:C47)</f>
        <v>698649.8</v>
      </c>
      <c r="D48" s="116"/>
      <c r="E48" s="109"/>
    </row>
    <row r="49" spans="1:4" ht="14.25" customHeight="1" x14ac:dyDescent="0.2"/>
    <row r="50" spans="1:4" ht="14.25" customHeight="1" x14ac:dyDescent="0.25">
      <c r="A50" s="78" t="s">
        <v>600</v>
      </c>
      <c r="B50" s="78"/>
      <c r="C50" s="78"/>
      <c r="D50" s="78"/>
    </row>
    <row r="51" spans="1:4" ht="14.25" customHeight="1" x14ac:dyDescent="0.2">
      <c r="A51" s="58" t="s">
        <v>648</v>
      </c>
      <c r="C51" s="82">
        <v>68871.45</v>
      </c>
    </row>
    <row r="52" spans="1:4" ht="14.25" customHeight="1" x14ac:dyDescent="0.2">
      <c r="A52" s="58" t="s">
        <v>601</v>
      </c>
      <c r="C52" s="82">
        <f>C48</f>
        <v>698649.8</v>
      </c>
    </row>
    <row r="53" spans="1:4" ht="14.25" customHeight="1" x14ac:dyDescent="0.25">
      <c r="A53" s="117" t="s">
        <v>602</v>
      </c>
      <c r="B53" s="117"/>
      <c r="C53" s="118">
        <f>C51+C52</f>
        <v>767521.25</v>
      </c>
      <c r="D53" s="117"/>
    </row>
    <row r="54" spans="1:4" ht="14.25" customHeight="1" x14ac:dyDescent="0.2">
      <c r="A54" s="58" t="s">
        <v>603</v>
      </c>
      <c r="C54" s="82">
        <f>D28</f>
        <v>447421.92999999993</v>
      </c>
    </row>
    <row r="55" spans="1:4" ht="14.25" customHeight="1" x14ac:dyDescent="0.25">
      <c r="A55" s="119" t="s">
        <v>604</v>
      </c>
      <c r="B55" s="119"/>
      <c r="C55" s="120">
        <f>C53-C54</f>
        <v>320099.32000000007</v>
      </c>
      <c r="D55" s="119"/>
    </row>
    <row r="56" spans="1:4" ht="14.25" customHeight="1" x14ac:dyDescent="0.2"/>
    <row r="57" spans="1:4" ht="14.25" customHeight="1" x14ac:dyDescent="0.25">
      <c r="A57" s="78" t="s">
        <v>605</v>
      </c>
      <c r="B57" s="78"/>
      <c r="C57" s="78"/>
      <c r="D57" s="78"/>
    </row>
    <row r="58" spans="1:4" ht="14.25" customHeight="1" x14ac:dyDescent="0.25">
      <c r="A58" s="121" t="s">
        <v>606</v>
      </c>
      <c r="B58" s="121" t="s">
        <v>607</v>
      </c>
      <c r="C58" s="121" t="s">
        <v>608</v>
      </c>
      <c r="D58" s="121" t="s">
        <v>609</v>
      </c>
    </row>
    <row r="59" spans="1:4" ht="14.25" customHeight="1" x14ac:dyDescent="0.25">
      <c r="A59" s="122" t="s">
        <v>610</v>
      </c>
      <c r="B59" s="121" t="s">
        <v>611</v>
      </c>
      <c r="C59" s="123">
        <v>2273</v>
      </c>
      <c r="D59" s="123">
        <v>2140</v>
      </c>
    </row>
    <row r="60" spans="1:4" ht="14.25" customHeight="1" x14ac:dyDescent="0.25">
      <c r="A60" s="121" t="s">
        <v>612</v>
      </c>
      <c r="B60" s="121" t="s">
        <v>613</v>
      </c>
      <c r="C60" s="123">
        <v>1184</v>
      </c>
      <c r="D60" s="123">
        <v>1202</v>
      </c>
    </row>
    <row r="61" spans="1:4" ht="14.25" customHeight="1" x14ac:dyDescent="0.25">
      <c r="A61" s="121" t="s">
        <v>614</v>
      </c>
      <c r="B61" s="121" t="s">
        <v>613</v>
      </c>
      <c r="C61" s="123">
        <v>2248</v>
      </c>
      <c r="D61" s="123">
        <v>3552</v>
      </c>
    </row>
    <row r="62" spans="1:4" ht="14.25" customHeight="1" x14ac:dyDescent="0.25">
      <c r="A62" s="117" t="s">
        <v>380</v>
      </c>
      <c r="B62" s="117"/>
      <c r="C62" s="118">
        <v>5705</v>
      </c>
      <c r="D62" s="118">
        <v>6894</v>
      </c>
    </row>
    <row r="63" spans="1:4" ht="14.25" customHeight="1" x14ac:dyDescent="0.25">
      <c r="A63" s="117" t="s">
        <v>615</v>
      </c>
      <c r="B63" s="117"/>
      <c r="C63" s="118"/>
      <c r="D63" s="118">
        <v>12599</v>
      </c>
    </row>
    <row r="64" spans="1: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</sheetData>
  <mergeCells count="7">
    <mergeCell ref="A28:C28"/>
    <mergeCell ref="A30:E30"/>
    <mergeCell ref="A1:E1"/>
    <mergeCell ref="A3:E3"/>
    <mergeCell ref="A11:C11"/>
    <mergeCell ref="A12:E12"/>
    <mergeCell ref="A26:B26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6</vt:i4>
      </vt:variant>
    </vt:vector>
  </HeadingPairs>
  <TitlesOfParts>
    <vt:vector size="6" baseType="lpstr">
      <vt:lpstr>חוב תאגידים</vt:lpstr>
      <vt:lpstr>תזרים יולי 2026</vt:lpstr>
      <vt:lpstr>תזרים אוגוסט 2026</vt:lpstr>
      <vt:lpstr>תזרים ספטמבר 2026</vt:lpstr>
      <vt:lpstr>תזרים אוקטובר 2026</vt:lpstr>
      <vt:lpstr>ממתינים לתשלום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2026-08-11T09:39:29Z</dcterms:created>
  <dcterms:modified xsi:type="dcterms:W3CDTF">2026-10-13T07:05:18Z</dcterms:modified>
</cp:coreProperties>
</file>