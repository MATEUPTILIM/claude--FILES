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CLUDE FILES\"/>
    </mc:Choice>
  </mc:AlternateContent>
  <xr:revisionPtr revIDLastSave="0" documentId="13_ncr:1_{B3B0653D-EA06-400B-9F18-A71A7B6D9EF9}" xr6:coauthVersionLast="47" xr6:coauthVersionMax="47" xr10:uidLastSave="{00000000-0000-0000-0000-000000000000}"/>
  <bookViews>
    <workbookView xWindow="-28920" yWindow="-105" windowWidth="29040" windowHeight="15720" xr2:uid="{14348917-8431-4AF2-8E17-753A41CA041E}"/>
  </bookViews>
  <sheets>
    <sheet name="הכנסות לפי לקוח" sheetId="1" r:id="rId1"/>
    <sheet name="פירוט לפי לקוח" sheetId="7" r:id="rId2"/>
    <sheet name="סיכום ושינוי חודשי" sheetId="2" r:id="rId3"/>
    <sheet name="מסמכי מורנינג 2026" sheetId="3" r:id="rId4"/>
    <sheet name="שיטה והערות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2" i="2" l="1"/>
  <c r="D11" i="2"/>
  <c r="C11" i="2"/>
  <c r="D10" i="2"/>
  <c r="C10" i="2"/>
  <c r="D9" i="2"/>
  <c r="C9" i="2"/>
  <c r="D8" i="2"/>
  <c r="C8" i="2"/>
  <c r="D7" i="2"/>
  <c r="C7" i="2"/>
  <c r="D6" i="2"/>
  <c r="C6" i="2"/>
  <c r="H40" i="1"/>
  <c r="G40" i="1"/>
  <c r="F40" i="1"/>
  <c r="E40" i="1"/>
  <c r="D40" i="1"/>
  <c r="C40" i="1"/>
  <c r="H39" i="1"/>
  <c r="G39" i="1"/>
  <c r="F39" i="1"/>
  <c r="E39" i="1"/>
  <c r="D39" i="1"/>
  <c r="C39" i="1"/>
  <c r="K38" i="1"/>
  <c r="I38" i="1"/>
  <c r="H38" i="1"/>
  <c r="G38" i="1"/>
  <c r="F38" i="1"/>
  <c r="E38" i="1"/>
  <c r="D38" i="1"/>
  <c r="C38" i="1"/>
  <c r="B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</calcChain>
</file>

<file path=xl/sharedStrings.xml><?xml version="1.0" encoding="utf-8"?>
<sst xmlns="http://schemas.openxmlformats.org/spreadsheetml/2006/main" count="1446" uniqueCount="294">
  <si>
    <t>הכנסות לפי לקוח לפי חודש - ינואר עד יולי 2026</t>
  </si>
  <si>
    <t>ישר, שירותי קרקע לקבלן ולפועל בע"מ  |  כל הסכומים בש"ח ולא כוללים מע"מ  |  שיוך לפי חודש העבודה</t>
  </si>
  <si>
    <t>לקוח</t>
  </si>
  <si>
    <t>ינואר</t>
  </si>
  <si>
    <t>פברואר</t>
  </si>
  <si>
    <t>מרץ</t>
  </si>
  <si>
    <t>אפריל</t>
  </si>
  <si>
    <t>מאי</t>
  </si>
  <si>
    <t>יוני</t>
  </si>
  <si>
    <t>יולי</t>
  </si>
  <si>
    <t>סה"כ ינואר-יולי</t>
  </si>
  <si>
    <t>ממוצע חודשי פעיל</t>
  </si>
  <si>
    <t>מגמה יוני-&gt;יולי</t>
  </si>
  <si>
    <t>הסבר</t>
  </si>
  <si>
    <t>רמא</t>
  </si>
  <si>
    <t>הלקוח הגדול והיציב ביותר. 117-155 אלף בכל חודש, ללא הפסקה. עלייה מתונה מיוני בעקבות תוספת שעות.</t>
  </si>
  <si>
    <t>שלום ברגשטיין (בי אנד גי)</t>
  </si>
  <si>
    <t>תנודתי מאוד. ירידה מינואר עד אפריל (21K), התאוששות במאי, וקפיצה חדה ביוני-יולי: מ-5 עובדים ל-18 ומ-1,133 ל-2,547 שעות.</t>
  </si>
  <si>
    <t>גרייטדור תעשיות בע"מ</t>
  </si>
  <si>
    <t>פעיל ינואר-מרץ, הפסקה מלאה באפריל-מאי, חזר ביוני-יולי בגדול (8 עובדים, 1,800 שעות, 75 ש"ח לשעה). שים לב: טרם הופקה חשבונית ליוני ויולי.</t>
  </si>
  <si>
    <t>אחמד מצודת השלום</t>
  </si>
  <si>
    <t>התחיל להיות מחויב במרץ. אין חשבוניות לינואר/פברואר/מאי - כנראה עיתוי חיוב ולא הפסקת עבודה, כדאי לבדוק.</t>
  </si>
  <si>
    <t>אופיר חנון / אופיר קבלן</t>
  </si>
  <si>
    <t>לקוח חדש מאפריל 2026. התייצב על ~88 אלף לחודש עם 4 עובדים ו-957 שעות.</t>
  </si>
  <si>
    <t>אלי אביאלי (כולל אלי שי בן חיים)</t>
  </si>
  <si>
    <t>יציב לאורך כל השנה 23-44 אלף. ביולי ירידה קלה של 1,426 ש"ח - אותם 3 עובדים, 15.5 שעות פחות.</t>
  </si>
  <si>
    <t>איבריקה (אשקלון, אסירי ציון, קארו 7)</t>
  </si>
  <si>
    <t>הכנסת שירותי קרקע (מיטות באשקלון, אסירי ציון וקארו 7). קבועה ~22 אלף לחודש.</t>
  </si>
  <si>
    <t>אלגרסי / אלנרסי (רבי חייא)</t>
  </si>
  <si>
    <t>שכירות רבי חייא, 20,000 ש"ח לחודש + ארנונה שמועברת בנפרד. קבוע לחלוטין.</t>
  </si>
  <si>
    <t>אחים לימור (בית צפאפא + קורצאק)</t>
  </si>
  <si>
    <t>בית צפאפא (13,000) + קורצאק (25,000) = 38,000 לחודש. חוסר חיובים בפברואר, אפריל, מאי ויוני - החשבונית של 02/08 (54,455) כללה פיגורים. כדאי לסדר את החיוב החודשי.</t>
  </si>
  <si>
    <t>ש.ח.ן כרמלי</t>
  </si>
  <si>
    <t>לקוח חדש מיוני. קפיצה ביולי: מ-4 ל-5 עובדים ומ-328.5 ל-1,042 שעות (ביוני עבדו חלק מהחודש בלבד).</t>
  </si>
  <si>
    <t>מגן דוד אדום בישראל מ. בינוי ונכסים</t>
  </si>
  <si>
    <t>עסקה חד-פעמית בינואר (87 אלף). לא חוזר מאז.</t>
  </si>
  <si>
    <t>שבט בנימין / אסף תאגיד השידור</t>
  </si>
  <si>
    <t>עבודה מול תאגיד השידור (כאן 11) ומשגב לדך. 2 עובדים קבועים, ~30 אלף לחודש מיוני.</t>
  </si>
  <si>
    <t>יוסף גרוסמן</t>
  </si>
  <si>
    <t>פעיל ינואר-פברואר בלבד, ואז הפסיק.</t>
  </si>
  <si>
    <t>אסף ביאזי חברה לבניין בע"מ</t>
  </si>
  <si>
    <t>ירידה הדרגתית: 16.3K בינואר עד 7.8K במאי, ואז הפסיק לגמרי.</t>
  </si>
  <si>
    <t>מ. רוטנברג ובניו</t>
  </si>
  <si>
    <t>לקוח מיוני. ירידה קלה ביולי - אותם 2 עובדים, 28 שעות פחות.</t>
  </si>
  <si>
    <t>גיל חשמל ואוטומציה</t>
  </si>
  <si>
    <t>פעיל ינואר-מרץ (~16 אלף לחודש), ואז הפסיק.</t>
  </si>
  <si>
    <t>חברה כלכלית לבית אל</t>
  </si>
  <si>
    <t>פעיל פברואר-אפריל, ואז הפסיק.</t>
  </si>
  <si>
    <t>גרשון</t>
  </si>
  <si>
    <t>עובד אחד קבוע. ירידה קלה ביולי (10 שעות פחות). טרם הופקה חשבונית ליוני-יולי.</t>
  </si>
  <si>
    <t>NHCLINICS - דוד בן חמו</t>
  </si>
  <si>
    <t>לקוח מיוני. השעות יותר מהוכפלו ביולי (90 מול 190) עם אותם 3 עובדים. טרם הופקה חשבונית.</t>
  </si>
  <si>
    <t>קידוח וחיזוק הצפון (נריה)</t>
  </si>
  <si>
    <t>לקוח מיוני. השעות יותר מהוכפלו ביולי (76 מול 174) עם אותם 2 עובדים.</t>
  </si>
  <si>
    <t>ר נירים מערכות גינון</t>
  </si>
  <si>
    <t>עסקה חד-פעמית במאי.</t>
  </si>
  <si>
    <t>אליעזר הקר אלומיניום</t>
  </si>
  <si>
    <t>לקוח חדש ביולי. 2 עובדים, 90 שעות, 95 ש"ח לשעה.</t>
  </si>
  <si>
    <t>בינה עובדים זרים לבניין בע"ם</t>
  </si>
  <si>
    <t>הלנה בקארו 7. חיוב אחרון לינואר.</t>
  </si>
  <si>
    <t>שי רם חברה לבנייה</t>
  </si>
  <si>
    <t>לקוח חדש ביולי (פרויקט הר נוף). 2 עובדים, 90 שעות, 77 ש"ח לשעה.</t>
  </si>
  <si>
    <t>שיווק בניה בע"מ</t>
  </si>
  <si>
    <t>פעיל בינואר בלבד.</t>
  </si>
  <si>
    <t>משביר יעקב בע"מ</t>
  </si>
  <si>
    <t>שירותי קרקע 5,400 לחודש. הסתיים בינואר.</t>
  </si>
  <si>
    <t>היכל הגוונים</t>
  </si>
  <si>
    <t>עסקה חד-פעמית באפריל.</t>
  </si>
  <si>
    <t>פרוייקטים יזום ובינוי ש.ר.פ בע"מ</t>
  </si>
  <si>
    <t>א.כ.פ עבודות חשמל</t>
  </si>
  <si>
    <t>שארית קטנה בינואר.</t>
  </si>
  <si>
    <t>ש.פ פאלס בע"מ</t>
  </si>
  <si>
    <t>כל החשבוניות בוטלו - יתרה 0.</t>
  </si>
  <si>
    <t>טים אילבן בע״מ</t>
  </si>
  <si>
    <t>ש ק בניה בע"מ</t>
  </si>
  <si>
    <t>זיכוי נטו של 10,000 ש"ח בפברואר (חשבוניות תקופת עבודה 18.2-22.2 בוטלו).</t>
  </si>
  <si>
    <t>נ.א. סדן בנייה ויזמות בע''מ</t>
  </si>
  <si>
    <t>סה"כ</t>
  </si>
  <si>
    <t>שינוי מהחודש הקודם (ש"ח)</t>
  </si>
  <si>
    <t>שינוי מהחודש הקודם (%)</t>
  </si>
  <si>
    <t>סיכום חודשי והסבר לכל שינוי</t>
  </si>
  <si>
    <t>כל הסכומים בש"ח, ללא מע"מ</t>
  </si>
  <si>
    <t>חודש</t>
  </si>
  <si>
    <t>סה"כ הכנסות</t>
  </si>
  <si>
    <t>שינוי (ש"ח)</t>
  </si>
  <si>
    <t>שינוי (%)</t>
  </si>
  <si>
    <t>מס. לקוחות פעילים</t>
  </si>
  <si>
    <t>הסבר לשינוי</t>
  </si>
  <si>
    <t>ינואר 2026</t>
  </si>
  <si>
    <t>חודש הפתיחה. כולל עסקה חד-פעמית גדולה של מגן דוד אדום (87,119) שלא חוזרת, וכן זיכוי של נ.א. סדן (-8,976) על חשבונית מדצמבר 2025.</t>
  </si>
  <si>
    <t>פברואר 2026</t>
  </si>
  <si>
    <t>ירידה של 242 אלף (41%-). שלוש סיבות: (1) מגן דוד אדום לא חזר - 87 אלף פחות; (2) ברגשטיין צנח מ-66.7K ל-30.5K; (3) אחים לימור לא חויב כלל בפברואר - 38 אלף חסרים. בנוסף זיכוי נטו של 10,000 לש ק בניה.</t>
  </si>
  <si>
    <t>מרץ 2026</t>
  </si>
  <si>
    <t>עלייה של 169 אלף (49%+). כמעט כולה מאחמד מצודת השלום שנכנס לתמונה עם 116,700 (שתי חשבוניות). גם אחים לימור חזר להיות מחויב (38,000) ורמא עלתה ל-137.9K. מנגד גרייטדור ירדה מ-57.2K ל-50.2K.</t>
  </si>
  <si>
    <t>אפריל 2026</t>
  </si>
  <si>
    <t>ירידה של 122 אלף (24%-). גרייטדור הפסיקה לגמרי (50.2K פחות), אחים לימור שוב לא חויב (38K פחות), מצודת השלום ירדה ל-93.6K, וברגשטיין המשיכה לרדת ל-21.2K. מנגד אופיר חנון נכנס כלקוח חדש עם 44.3K.</t>
  </si>
  <si>
    <t>מאי 2026</t>
  </si>
  <si>
    <t>כמעט ללא שינוי (2,366- ש"ח, 1%-). מצודת השלום לא חויבה כלל במאי (93.6K פחות), אבל זה קוזז כמעט במלואו: אופיר חנון כמעט הוכפל ל-87.4K, ברגשטיין עלתה ל-62.5K ורמא ל-135.3K.</t>
  </si>
  <si>
    <t>יוני 2026</t>
  </si>
  <si>
    <t>קפיצה של 366 אלף (95%+). זה החודש שבו העסק שינה סדר גודל: ברגשטיין עלתה ל-95K, גרייטדור חזרה עם 83.9K, מצודת השלום חזרה עם 107K, ונכנסו חמישה לקוחות חדשים - ש.ח.ן כרמלי (35.7K), רוטנברג (36.6K), שבט בנימין (30.2K), גרשון (16.9K), NH דוד בן חמו (8.6K) וקידוח הצפון (6.1K).</t>
  </si>
  <si>
    <t>יולי 2026</t>
  </si>
  <si>
    <t>עלייה נוספת של 316 אלף (42%+). המניע העיקרי הוא ברגשטיין: מ-95K ל-239K - מ-5 עובדים ל-18 ומ-1,133 ל-2,547 שעות, וגם התעריף הממוצע עלה מ-83.9 ל-93.9 ש"ח. בנוסף: כרמלי מ-35.7K ל-87.2K (השעות שולשו), גרייטדור מ-83.9K ל-135K (מ-6 ל-8 עובדים), ואחים לימור חויב 54.5K (כולל פיגורים). מנגד מצודת השלום ירדה ב-13K למרות תוספת עובדים - ארבעה עובדים חדשים עבדו חלק מהחודש בלבד.</t>
  </si>
  <si>
    <t>מספר מסמך</t>
  </si>
  <si>
    <t>תאריך הפקה</t>
  </si>
  <si>
    <t>סוג המסמך</t>
  </si>
  <si>
    <t>תיאור</t>
  </si>
  <si>
    <t>סכום כולל מע"מ</t>
  </si>
  <si>
    <t>מע"מ</t>
  </si>
  <si>
    <t>נטו ללא מע"מ</t>
  </si>
  <si>
    <t>חודש עבודה משויך</t>
  </si>
  <si>
    <t>חשבונית מס</t>
  </si>
  <si>
    <t>משכורת עובדים ינואר</t>
  </si>
  <si>
    <t>(ללא תיאור)</t>
  </si>
  <si>
    <t>חשבונית זיכוי</t>
  </si>
  <si>
    <t>אלגרסי תפעול לוגיסטי בע"מ</t>
  </si>
  <si>
    <t>איבריקה אינטרנשיונל בע"מ</t>
  </si>
  <si>
    <t>ברגשטיין מקבוצת בי אנד גי בע"מ</t>
  </si>
  <si>
    <t>אחים לימור עובדים זרים לבניין</t>
  </si>
  <si>
    <t>אביאלי אלומיניום בע"מ</t>
  </si>
  <si>
    <t>תקופת עבודה  18.2-22.2</t>
  </si>
  <si>
    <t>23/02/2026</t>
  </si>
  <si>
    <t>פבואר</t>
  </si>
  <si>
    <t>ביטול פבואר</t>
  </si>
  <si>
    <t>ביטול תקופת עבודה  18.2-22.2</t>
  </si>
  <si>
    <t>25/02/2026</t>
  </si>
  <si>
    <t>26/02/2026</t>
  </si>
  <si>
    <t>משכורות פברואר</t>
  </si>
  <si>
    <t>17/03/2026</t>
  </si>
  <si>
    <t>23/03/2026</t>
  </si>
  <si>
    <t>24/03/2026</t>
  </si>
  <si>
    <t>30/03/2026</t>
  </si>
  <si>
    <t>31/03/2026</t>
  </si>
  <si>
    <t>מצודת השלום בעמ</t>
  </si>
  <si>
    <t>15/04/2026</t>
  </si>
  <si>
    <t>30/04/2026</t>
  </si>
  <si>
    <t>אופיר חנון בניה ופיקוח</t>
  </si>
  <si>
    <t>חודש  אפריל</t>
  </si>
  <si>
    <t>משכורת עובדים אפריל</t>
  </si>
  <si>
    <t>21/05/2026</t>
  </si>
  <si>
    <t>ביטול שירותי לינה</t>
  </si>
  <si>
    <t>שירותי לינה</t>
  </si>
  <si>
    <t>31/05/2026</t>
  </si>
  <si>
    <t>שבט בנימין בע"מ</t>
  </si>
  <si>
    <t>חשבונית מס / קבלה</t>
  </si>
  <si>
    <t>חשבונית מס / קבלה עבור חשבון עסקה 40039, 40040, 40041</t>
  </si>
  <si>
    <t>14/06/2026</t>
  </si>
  <si>
    <t>מ רוטנברג ובניו בע"מ</t>
  </si>
  <si>
    <t>עובדים חודש יוני</t>
  </si>
  <si>
    <t>13/07/2026</t>
  </si>
  <si>
    <t>ביטול עובדים חודש יוני</t>
  </si>
  <si>
    <t>ביטול חודש יוני</t>
  </si>
  <si>
    <t>מאוחדת משגב לדך יוני</t>
  </si>
  <si>
    <t>תאגיד השידור כאן 11</t>
  </si>
  <si>
    <t>ש.ח.ן כרמלי עבודות קבלנויות בע"מ</t>
  </si>
  <si>
    <t>שמעון סויסה מבשרת</t>
  </si>
  <si>
    <t>חודש יוני</t>
  </si>
  <si>
    <t>15/07/2026</t>
  </si>
  <si>
    <t>16/07/2026</t>
  </si>
  <si>
    <t>קידוח וחיזוק הצפון בע"מ</t>
  </si>
  <si>
    <t>19/07/2026</t>
  </si>
  <si>
    <t>קבלה עבור חשבון עסקה 40046, 40047, 40048</t>
  </si>
  <si>
    <t>31/07/2026</t>
  </si>
  <si>
    <t>עובדים חודש יולי</t>
  </si>
  <si>
    <t>שי- רם חברה לבניה פיתוח ויזמות בע</t>
  </si>
  <si>
    <t>עובדים חודש יולי- פרויקט הר נוף</t>
  </si>
  <si>
    <t>רמות יולי</t>
  </si>
  <si>
    <t>יולי כאן 11</t>
  </si>
  <si>
    <t>חשבונית מס / קבלה עבור חשבון עסקה 40078, 40082, 40081</t>
  </si>
  <si>
    <t>18/08/2026</t>
  </si>
  <si>
    <t>19/08/2026</t>
  </si>
  <si>
    <t>חשבונית מס עבור חשבון עסקה 40067, 40077</t>
  </si>
  <si>
    <t>23/08/2026</t>
  </si>
  <si>
    <t>שיטת החישוב וההערות</t>
  </si>
  <si>
    <t>מקור הנתונים</t>
  </si>
  <si>
    <t>כל הנתונים יוצאו ממורנינג (חשבונית ירוקה) - חשבון "ישר, שירותי קרקע לקבלן ולפועל בע"מ", ייצוא CSV של כל מסמכי ההכנסות.</t>
  </si>
  <si>
    <t>נכללו: חשבונית מס, חשבונית מס/קבלה, חשבונית זיכוי. קבלות בלבד לא נכללו כדי לא לספור פעמיים.</t>
  </si>
  <si>
    <t>חשבוניות זיכוי נרשמו כסכום שלילי ומקזזות את החשבונית המקורית.</t>
  </si>
  <si>
    <t>*** כל הסכומים בקובץ הזה הם ללא מע"מ. *** הנטו חושב כ: סכום החשבונית פחות רכיב המע"מ שבה, לפי הנתון של מורנינג עצמו (ולא חלוקה ב-1.18), כך שהוא מדויק גם בחשבוניות עם עיגולים או שורות פטורות.</t>
  </si>
  <si>
    <t>שיוך לחודש</t>
  </si>
  <si>
    <t>הסכומים משויכים לחודש העבודה ולא לחודש הפקת החשבונית, לפי בקשתך.</t>
  </si>
  <si>
    <t>הכלל: חשבונית שהופקה בחודש מסוים מתייחסת לעבודה של החודש שלפניו. זה נבדק מול הדוחות הסגורים של יוני ויולי ומול הטקסט של החשבוניות עצמן (למשל "משכורת עובדים ינואר" בחשבונית מ-01/02).</t>
  </si>
  <si>
    <t>שים לב: התיאור בחשבונית לא תמיד מעודכן - יש חשבוניות מאוגוסט שכתוב בהן "עובדים חודש יוני" אבל בפועל הן על יולי. הלכנו לפי תאריך ההפקה ולא לפי הטקסט.</t>
  </si>
  <si>
    <t>חריג ידני יחיד: זיכוי 70089 (ש ק בניה) שויך לפברואר לפי תקופת העבודה שרשומה בחשבוניות המקוריות (18.2-22.2).</t>
  </si>
  <si>
    <t>יוני ויולי</t>
  </si>
  <si>
    <t>בשני החודשים האלה נתוני העובדים הזרים נלקחו מהדוחות המפורטים שכבר בנינו (מבוססי שעות בפועל x תעריף גבייה), ולא מהחשבוניות - כי הדוחות האלה מלאים יותר.</t>
  </si>
  <si>
    <t>סה"כ עובדים זרים ביוני: 707,644.75 | ביולי: 971,024.50. אליהם נוספו הכנסות שירותי הקרקע לפי החשבוניות.</t>
  </si>
  <si>
    <t>נקודות לבדיקה שלך</t>
  </si>
  <si>
    <t>1. גרייטדור - העבודה של יוני ויולי (83,850 + 135,000) מופיעה בטבלה, אבל במורנינג אין חשבונית פתוחה עליה. החשבונית של יוני (82,875) הוצאה ובוטלה ב-15/07 ולא הוצאה מחדש.</t>
  </si>
  <si>
    <t>2. רמא - אין חשבונית ליולי (155,360). החשבונית האחרונה שלה היא מ-13/07 על עבודת יוני.</t>
  </si>
  <si>
    <t>3. גרשון (16,940 ביוני + 16,170 ביולי) ו-NH דוד בן חמו (8,550 + 18,050) - לא נמצאו להם חשבוניות כלל.</t>
  </si>
  <si>
    <t>4. אחים לימור - 38,000 ש"ח לחודש (בית צפאפא 13,000 + קורצאק 25,000), אבל חויבו רק ינואר, מרץ ואוגוסט. החשבונית של 02/08 בסך 54,455 כוללת פיגורים. כדאי לסדר חיוב חודשי קבוע.</t>
  </si>
  <si>
    <t>5. אחמד מצודת השלום - אין חשבוניות לינואר, פברואר ומאי, ובמרץ יש שתיים (116,700). ייתכן שזה עיתוי חיוב ולא הפסקת עבודה.</t>
  </si>
  <si>
    <t>6. הירידה של פברואר (41%-) מושפעת חלקית מחוסר חיובים ולא רק מירידה אמיתית בפעילות.</t>
  </si>
  <si>
    <t>אוגוסט 2026</t>
  </si>
  <si>
    <t>אוגוסט לא נכלל בטבלה כי החשבוניות עליו יופקו רק בספטמבר. נוסיף אותו כשייסגר החודש.</t>
  </si>
  <si>
    <t>פירוט חודשי לכל לקוח - ינואר עד יולי 2026</t>
  </si>
  <si>
    <t>סה"כ ינואר-יולי:</t>
  </si>
  <si>
    <t>הכנסה (ללא מע"מ)</t>
  </si>
  <si>
    <t>שינוי מהחודש הקודם</t>
  </si>
  <si>
    <t>מה קרה</t>
  </si>
  <si>
    <t>בסיס פעילות קבוע - 6 עובדים.</t>
  </si>
  <si>
    <t>ירידה של 16.6K - פחות שעות בחודש קצר.</t>
  </si>
  <si>
    <t>חזרה למעלה, 15.9K יותר.</t>
  </si>
  <si>
    <t>ירידה של 20.8K - שעות נמוכות יותר (עובד אחד עבד 41 שעות בלבד).</t>
  </si>
  <si>
    <t>עלייה של 18.2K - כל 6 העובדים חזרו לחודש מלא (104-263 שעות).</t>
  </si>
  <si>
    <t>עלייה של 19.7K, 1,524 שעות בתעריף ממוצע 101.7.</t>
  </si>
  <si>
    <t>כמעט ללא שינוי (405 ש"ח). אותם 6 עובדים, 1,526.5 מול 1,524 שעות, אותו תעריף.</t>
  </si>
  <si>
    <t>שיא ראשון - 66.7K.</t>
  </si>
  <si>
    <t>צניחה של 36.2K - חלק מהעובדים ירדו.</t>
  </si>
  <si>
    <t>עלייה קלה של 3.1K.</t>
  </si>
  <si>
    <t>שפל - 21.2K, ירידה של 12.3K.</t>
  </si>
  <si>
    <t>התאוששות חדה - פי 3, 62.5K. נכנסו עובדים בתעריף 90 ש"ח.</t>
  </si>
  <si>
    <t>המשך עלייה ל-95K. 5 עובדים, 1,133 שעות.</t>
  </si>
  <si>
    <t>קפיצה של 144K. מ-5 ל-18 עובדים ומ-1,133 ל-2,547 שעות, והתעריף הממוצע עלה מ-83.9 ל-93.9 ש"ח בגלל תמהיל עובדים יקר יותר.</t>
  </si>
  <si>
    <t>הלקוח השני בגודלו בינואר.</t>
  </si>
  <si>
    <t>ירידה של 32.9K.</t>
  </si>
  <si>
    <t>ירידה נוספת של 7K.</t>
  </si>
  <si>
    <t>הפסקה מלאה.</t>
  </si>
  <si>
    <t>ללא פעילות.</t>
  </si>
  <si>
    <t>חזרה עם 6 עובדים ו-1,118 שעות בתעריף 75. שים לב - החשבונית הוצאה ובוטלה ב-15/07 ולא הוצאה מחדש.</t>
  </si>
  <si>
    <t>עלייה של 51.2K - מ-6 ל-8 עובדים ומ-1,118 ל-1,800 שעות. התעריף קבוע 75. טרם הופקה חשבונית.</t>
  </si>
  <si>
    <t>ללא חיוב.</t>
  </si>
  <si>
    <t>כניסה גדולה - שתי חשבוניות (48,450 + 68,250).</t>
  </si>
  <si>
    <t>ירידה של 23.1K.</t>
  </si>
  <si>
    <t>אין חשבונית למאי - כדאי לבדוק אם זו הפסקת עבודה או עיתוי חיוב.</t>
  </si>
  <si>
    <t>6 עובדים, 1,390 שעות בתעריף קבוע 77.</t>
  </si>
  <si>
    <t>ירידה של 13K למרות תוספת עובדים - מ-6 ל-8 עובדים, אבל השעות ירדו מ-1,390 ל-1,221 כי ארבעה עובדים חדשים עבדו חלק מהחודש בלבד.</t>
  </si>
  <si>
    <t>ללא פעילות / ללא חיוב.</t>
  </si>
  <si>
    <t>לקוח חדש - 4 עובדים.</t>
  </si>
  <si>
    <t>כמעט הכפלה - 43.1K יותר, העובדים עברו לחודש מלא.</t>
  </si>
  <si>
    <t>עלייה קלה. 4 עובדים, 953.5 שעות.</t>
  </si>
  <si>
    <t>כמעט ללא שינוי (167 ש"ח). אותם 4 עובדים, 957 מול 953.5 שעות.</t>
  </si>
  <si>
    <t>בסיס של 3 עובדים.</t>
  </si>
  <si>
    <t>ירידה של 8.6K.</t>
  </si>
  <si>
    <t>עלייה של 13.5K.</t>
  </si>
  <si>
    <t>ירידה של 15.8K - שעות נמוכות (139/61/49).</t>
  </si>
  <si>
    <t>עלייה של 12.3K - חזרה לחודש מלא.</t>
  </si>
  <si>
    <t>3 עובדים, 481.5 שעות בתעריף 92.</t>
  </si>
  <si>
    <t>ירידה קלה של 1,426 ש"ח. אותם 3 עובדים, 466 מול 481.5 שעות. תעריף קבוע 92.</t>
  </si>
  <si>
    <t>שכירות מיטות - קבוע.</t>
  </si>
  <si>
    <t>עלייה של 1,250 - מיטה נוספת.</t>
  </si>
  <si>
    <t>חזרה לרמה הקודמת.</t>
  </si>
  <si>
    <t>כמעט זהה.</t>
  </si>
  <si>
    <t>עלייה של 2.1K.</t>
  </si>
  <si>
    <t>ירידה של 1.7K.</t>
  </si>
  <si>
    <t>ירידה של 1.9K - עובדים חלקיים בתעריף יחסי (383-958 במקום 1,150 למיטה).</t>
  </si>
  <si>
    <t>שכירות רבי חייא - 20,000 קבוע.</t>
  </si>
  <si>
    <t>תוספת ארנונה שמועברת בנפרד.</t>
  </si>
  <si>
    <t>שכירות + ארנונה.</t>
  </si>
  <si>
    <t>התייצב על 21,840 (20,000 + 1,840 ארנונה).</t>
  </si>
  <si>
    <t>זהה.</t>
  </si>
  <si>
    <t>זהה - הלקוח הכי יציב שיש.</t>
  </si>
  <si>
    <t>בית צפאפא 13,000 + קורצאק 25,000.</t>
  </si>
  <si>
    <t>לא חויב - לא הפסקת שכירות אלא חוסר חיוב.</t>
  </si>
  <si>
    <t>חויב 38,000.</t>
  </si>
  <si>
    <t>לא חויב.</t>
  </si>
  <si>
    <t>חשבונית של 54,455 שהוצאה ב-02/08 וכוללת פיגורים של החודשים הקודמים. כדאי לסדר חיוב חודשי קבוע של 38,000.</t>
  </si>
  <si>
    <t>לקוח חדש - 4 עובדים, 328.5 שעות בלבד (עבדו חלק מהחודש).</t>
  </si>
  <si>
    <t>עלייה של 51.6K. מ-4 ל-5 עובדים, אבל הסיבה העיקרית היא השעות: 1,042 מול 328.5.</t>
  </si>
  <si>
    <t>עסקה חד-פעמית של 87K.</t>
  </si>
  <si>
    <t>זיכוי של 610 ש"ח - תיקון חשבונית שיצאה ב-102,800 במקום 102,080.</t>
  </si>
  <si>
    <t>חיוב יחיד באפריל.</t>
  </si>
  <si>
    <t>2 עובדים, 402.75 שעות בתעריף 75.</t>
  </si>
  <si>
    <t>עלייה קלה של 544 ש"ח. אותם 2 עובדים, 410 מול 402.75 שעות.</t>
  </si>
  <si>
    <t>לקוח פעיל.</t>
  </si>
  <si>
    <t>ירידה של 12.8K, ואז הפסיק לגמרי.</t>
  </si>
  <si>
    <t>לקוח קבוע.</t>
  </si>
  <si>
    <t>עלייה קלה.</t>
  </si>
  <si>
    <t>יציב.</t>
  </si>
  <si>
    <t>ירידה של 1.9K.</t>
  </si>
  <si>
    <t>ירידה חדה ל-7.8K, ואז עזב.</t>
  </si>
  <si>
    <t>לקוח מיוני - 2 עובדים, 475 שעות בתעריף 77.</t>
  </si>
  <si>
    <t>ירידה קלה של 2,156 ש"ח. אותם 2 עובדים, 447 מול 475 שעות.</t>
  </si>
  <si>
    <t>זהה בדיוק.</t>
  </si>
  <si>
    <t>ירידה קלה, ואז הפסיק.</t>
  </si>
  <si>
    <t>חיוב ראשון.</t>
  </si>
  <si>
    <t>קפיצה פי 3.</t>
  </si>
  <si>
    <t>ירידה של 7.2K, ואז הפסיק.</t>
  </si>
  <si>
    <t>עובד אחד, 220 שעות בתעריף 77. לא נמצאה חשבונית.</t>
  </si>
  <si>
    <t>ירידה קלה של 770 ש"ח - 210 שעות במקום 220. לא נמצאה חשבונית.</t>
  </si>
  <si>
    <t>3 עובדים, 90 שעות בלבד. לא נמצאה חשבונית.</t>
  </si>
  <si>
    <t>עלייה של 9.5K - אותם 3 עובדים אבל השעות יותר מהוכפלו (190 מול 90). תעריף קבוע 95.</t>
  </si>
  <si>
    <t>2 עובדים, 76 שעות.</t>
  </si>
  <si>
    <t>עלייה של 7.8K - אותם 2 עובדים, השעות יותר מהוכפלו (174 מול 76). תעריף 80.</t>
  </si>
  <si>
    <t>עסקה חד-פעמית.</t>
  </si>
  <si>
    <t>לקוח חדש - 2 עובדים, 90 שעות, 95 ש"ח לשעה.</t>
  </si>
  <si>
    <t>הלנה בקארו 7 - החיוב האחרון.</t>
  </si>
  <si>
    <t>לקוח חדש (פרויקט הר נוף) - 2 עובדים, 90 שעות, 77 ש"ח לשעה.</t>
  </si>
  <si>
    <t>חיוב יחיד.</t>
  </si>
  <si>
    <t>שירותי קרקע 5,400 - החיוב האחרון.</t>
  </si>
  <si>
    <t>שארית קטנה.</t>
  </si>
  <si>
    <t>זיכוי נטו של 10,000 - כל החשבוניות על תקופת העבודה 18.2-22.2 בוטלו.</t>
  </si>
  <si>
    <t>זיכוי על חשבונית מדצמבר 2025.</t>
  </si>
  <si>
    <t>זיכוי נוסף על חשבונית מדצמבר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</si>
</sst>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Arial"/>
      <family val="2"/>
      <charset val="177"/>
      <scheme val="minor"/>
    </font>
    <font>
      <b/>
      <sz val="16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FFFFFF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2"/>
      <color rgb="FFFFFFFF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CE4D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3" fillId="3" borderId="0" xfId="0" applyFont="1" applyFill="1"/>
    <xf numFmtId="164" fontId="0" fillId="0" borderId="0" xfId="0" applyNumberFormat="1"/>
    <xf numFmtId="3" fontId="0" fillId="0" borderId="0" xfId="0" applyNumberFormat="1"/>
    <xf numFmtId="3" fontId="3" fillId="3" borderId="0" xfId="0" applyNumberFormat="1" applyFont="1" applyFill="1"/>
    <xf numFmtId="0" fontId="0" fillId="0" borderId="0" xfId="0" applyAlignment="1">
      <alignment wrapText="1"/>
    </xf>
    <xf numFmtId="3" fontId="3" fillId="0" borderId="0" xfId="0" applyNumberFormat="1" applyFont="1"/>
    <xf numFmtId="14" fontId="0" fillId="0" borderId="0" xfId="0" applyNumberFormat="1"/>
    <xf numFmtId="4" fontId="0" fillId="0" borderId="0" xfId="0" applyNumberFormat="1"/>
    <xf numFmtId="0" fontId="5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6" fillId="2" borderId="0" xfId="0" applyFont="1" applyFill="1"/>
    <xf numFmtId="3" fontId="6" fillId="2" borderId="0" xfId="0" applyNumberFormat="1" applyFont="1" applyFill="1"/>
    <xf numFmtId="0" fontId="6" fillId="2" borderId="0" xfId="0" applyFont="1" applyFill="1" applyAlignment="1">
      <alignment wrapText="1"/>
    </xf>
    <xf numFmtId="0" fontId="3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A3427-E58E-4A72-A49D-FE909CCAD70E}">
  <dimension ref="A1:L40"/>
  <sheetViews>
    <sheetView rightToLeft="1" tabSelected="1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1" width="34.625" customWidth="1"/>
    <col min="2" max="11" width="12.625" customWidth="1"/>
    <col min="12" max="12" width="75.625" customWidth="1"/>
  </cols>
  <sheetData>
    <row r="1" spans="1:12" ht="20.25" x14ac:dyDescent="0.3">
      <c r="A1" s="1" t="s">
        <v>0</v>
      </c>
    </row>
    <row r="2" spans="1:12" x14ac:dyDescent="0.2">
      <c r="A2" s="2" t="s">
        <v>1</v>
      </c>
    </row>
    <row r="4" spans="1:12" ht="15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</row>
    <row r="5" spans="1:12" ht="28.5" x14ac:dyDescent="0.2">
      <c r="A5" t="s">
        <v>14</v>
      </c>
      <c r="B5" s="7">
        <v>138561.01999999999</v>
      </c>
      <c r="C5" s="7">
        <v>121994.92</v>
      </c>
      <c r="D5" s="7">
        <v>137860.17000000001</v>
      </c>
      <c r="E5" s="7">
        <v>117070.34</v>
      </c>
      <c r="F5" s="7">
        <v>135279.66</v>
      </c>
      <c r="G5" s="7">
        <v>154955</v>
      </c>
      <c r="H5" s="7">
        <v>155360</v>
      </c>
      <c r="I5" s="7">
        <f t="shared" ref="I5:I37" si="0">SUM(B5:H5)</f>
        <v>961081.11</v>
      </c>
      <c r="J5" s="7">
        <v>137297.29999999999</v>
      </c>
      <c r="K5" s="7">
        <v>405</v>
      </c>
      <c r="L5" s="9" t="s">
        <v>15</v>
      </c>
    </row>
    <row r="6" spans="1:12" ht="28.5" x14ac:dyDescent="0.2">
      <c r="A6" t="s">
        <v>16</v>
      </c>
      <c r="B6" s="7">
        <v>66722.03</v>
      </c>
      <c r="C6" s="7">
        <v>30514.41</v>
      </c>
      <c r="D6" s="7">
        <v>33579.660000000003</v>
      </c>
      <c r="E6" s="7">
        <v>21243.22</v>
      </c>
      <c r="F6" s="7">
        <v>62505.08</v>
      </c>
      <c r="G6" s="7">
        <v>95068</v>
      </c>
      <c r="H6" s="7">
        <v>239146</v>
      </c>
      <c r="I6" s="7">
        <f t="shared" si="0"/>
        <v>548778.4</v>
      </c>
      <c r="J6" s="7">
        <v>78396.91</v>
      </c>
      <c r="K6" s="7">
        <v>144078</v>
      </c>
      <c r="L6" s="9" t="s">
        <v>17</v>
      </c>
    </row>
    <row r="7" spans="1:12" ht="28.5" x14ac:dyDescent="0.2">
      <c r="A7" t="s">
        <v>18</v>
      </c>
      <c r="B7" s="7">
        <v>90159.32</v>
      </c>
      <c r="C7" s="7">
        <v>57239.83</v>
      </c>
      <c r="D7" s="7">
        <v>50200</v>
      </c>
      <c r="E7" s="7">
        <v>0</v>
      </c>
      <c r="F7" s="7">
        <v>0</v>
      </c>
      <c r="G7" s="7">
        <v>83850</v>
      </c>
      <c r="H7" s="7">
        <v>135000</v>
      </c>
      <c r="I7" s="7">
        <f t="shared" si="0"/>
        <v>416449.15</v>
      </c>
      <c r="J7" s="7">
        <v>83289.83</v>
      </c>
      <c r="K7" s="7">
        <v>51150</v>
      </c>
      <c r="L7" s="9" t="s">
        <v>19</v>
      </c>
    </row>
    <row r="8" spans="1:12" ht="28.5" x14ac:dyDescent="0.2">
      <c r="A8" t="s">
        <v>20</v>
      </c>
      <c r="B8" s="7">
        <v>0</v>
      </c>
      <c r="C8" s="7">
        <v>0</v>
      </c>
      <c r="D8" s="7">
        <v>116700</v>
      </c>
      <c r="E8" s="7">
        <v>93600</v>
      </c>
      <c r="F8" s="7">
        <v>0</v>
      </c>
      <c r="G8" s="7">
        <v>107030</v>
      </c>
      <c r="H8" s="7">
        <v>94017</v>
      </c>
      <c r="I8" s="7">
        <f t="shared" si="0"/>
        <v>411347</v>
      </c>
      <c r="J8" s="7">
        <v>102836.75</v>
      </c>
      <c r="K8" s="7">
        <v>-13013</v>
      </c>
      <c r="L8" s="9" t="s">
        <v>21</v>
      </c>
    </row>
    <row r="9" spans="1:12" x14ac:dyDescent="0.2">
      <c r="A9" t="s">
        <v>22</v>
      </c>
      <c r="B9" s="7">
        <v>0</v>
      </c>
      <c r="C9" s="7">
        <v>0</v>
      </c>
      <c r="D9" s="7">
        <v>0</v>
      </c>
      <c r="E9" s="7">
        <v>44310.17</v>
      </c>
      <c r="F9" s="7">
        <v>87402.54</v>
      </c>
      <c r="G9" s="7">
        <v>88435</v>
      </c>
      <c r="H9" s="7">
        <v>88602.5</v>
      </c>
      <c r="I9" s="7">
        <f t="shared" si="0"/>
        <v>308750.20999999996</v>
      </c>
      <c r="J9" s="7">
        <v>77187.55</v>
      </c>
      <c r="K9" s="7">
        <v>167.5</v>
      </c>
      <c r="L9" s="9" t="s">
        <v>23</v>
      </c>
    </row>
    <row r="10" spans="1:12" x14ac:dyDescent="0.2">
      <c r="A10" t="s">
        <v>24</v>
      </c>
      <c r="B10" s="7">
        <v>33810.17</v>
      </c>
      <c r="C10" s="7">
        <v>25207.63</v>
      </c>
      <c r="D10" s="7">
        <v>38685.589999999997</v>
      </c>
      <c r="E10" s="7">
        <v>22908</v>
      </c>
      <c r="F10" s="7">
        <v>35235.589999999997</v>
      </c>
      <c r="G10" s="7">
        <v>44298</v>
      </c>
      <c r="H10" s="7">
        <v>42872</v>
      </c>
      <c r="I10" s="7">
        <f t="shared" si="0"/>
        <v>243016.97999999998</v>
      </c>
      <c r="J10" s="7">
        <v>34716.71</v>
      </c>
      <c r="K10" s="7">
        <v>-1426</v>
      </c>
      <c r="L10" s="9" t="s">
        <v>25</v>
      </c>
    </row>
    <row r="11" spans="1:12" x14ac:dyDescent="0.2">
      <c r="A11" t="s">
        <v>26</v>
      </c>
      <c r="B11" s="7">
        <v>22050</v>
      </c>
      <c r="C11" s="7">
        <v>23300</v>
      </c>
      <c r="D11" s="7">
        <v>22050</v>
      </c>
      <c r="E11" s="7">
        <v>22241.53</v>
      </c>
      <c r="F11" s="7">
        <v>24350</v>
      </c>
      <c r="G11" s="7">
        <v>22625</v>
      </c>
      <c r="H11" s="7">
        <v>20699.71</v>
      </c>
      <c r="I11" s="7">
        <f t="shared" si="0"/>
        <v>157316.24</v>
      </c>
      <c r="J11" s="7">
        <v>22473.75</v>
      </c>
      <c r="K11" s="7">
        <v>-1925.29</v>
      </c>
      <c r="L11" s="9" t="s">
        <v>27</v>
      </c>
    </row>
    <row r="12" spans="1:12" x14ac:dyDescent="0.2">
      <c r="A12" t="s">
        <v>28</v>
      </c>
      <c r="B12" s="7">
        <v>20000</v>
      </c>
      <c r="C12" s="7">
        <v>25521.5</v>
      </c>
      <c r="D12" s="7">
        <v>24015.25</v>
      </c>
      <c r="E12" s="7">
        <v>21840.68</v>
      </c>
      <c r="F12" s="7">
        <v>21840.68</v>
      </c>
      <c r="G12" s="7">
        <v>21840.5</v>
      </c>
      <c r="H12" s="7">
        <v>21840.68</v>
      </c>
      <c r="I12" s="7">
        <f t="shared" si="0"/>
        <v>156899.28999999998</v>
      </c>
      <c r="J12" s="7">
        <v>22414.18</v>
      </c>
      <c r="K12" s="7">
        <v>0.18</v>
      </c>
      <c r="L12" s="9" t="s">
        <v>29</v>
      </c>
    </row>
    <row r="13" spans="1:12" ht="28.5" x14ac:dyDescent="0.2">
      <c r="A13" t="s">
        <v>30</v>
      </c>
      <c r="B13" s="7">
        <v>38000</v>
      </c>
      <c r="C13" s="7">
        <v>0</v>
      </c>
      <c r="D13" s="7">
        <v>38000</v>
      </c>
      <c r="E13" s="7">
        <v>0</v>
      </c>
      <c r="F13" s="7">
        <v>0</v>
      </c>
      <c r="G13" s="7">
        <v>0</v>
      </c>
      <c r="H13" s="7">
        <v>54455.58</v>
      </c>
      <c r="I13" s="7">
        <f t="shared" si="0"/>
        <v>130455.58</v>
      </c>
      <c r="J13" s="7">
        <v>43485.19</v>
      </c>
      <c r="K13" s="7">
        <v>54455.58</v>
      </c>
      <c r="L13" s="9" t="s">
        <v>31</v>
      </c>
    </row>
    <row r="14" spans="1:12" ht="28.5" x14ac:dyDescent="0.2">
      <c r="A14" t="s">
        <v>32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35657.5</v>
      </c>
      <c r="H14" s="7">
        <v>87238</v>
      </c>
      <c r="I14" s="7">
        <f t="shared" si="0"/>
        <v>122895.5</v>
      </c>
      <c r="J14" s="7">
        <v>61447.75</v>
      </c>
      <c r="K14" s="7">
        <v>51580.5</v>
      </c>
      <c r="L14" s="9" t="s">
        <v>33</v>
      </c>
    </row>
    <row r="15" spans="1:12" x14ac:dyDescent="0.2">
      <c r="A15" t="s">
        <v>34</v>
      </c>
      <c r="B15" s="7">
        <v>87118.64</v>
      </c>
      <c r="C15" s="7">
        <v>-610.16999999999996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f t="shared" si="0"/>
        <v>86508.47</v>
      </c>
      <c r="J15" s="7">
        <v>43254.239999999998</v>
      </c>
      <c r="K15" s="7">
        <v>0</v>
      </c>
      <c r="L15" s="9" t="s">
        <v>35</v>
      </c>
    </row>
    <row r="16" spans="1:12" x14ac:dyDescent="0.2">
      <c r="A16" t="s">
        <v>36</v>
      </c>
      <c r="B16" s="7">
        <v>0</v>
      </c>
      <c r="C16" s="7">
        <v>0</v>
      </c>
      <c r="D16" s="7">
        <v>0</v>
      </c>
      <c r="E16" s="7">
        <v>23775.42</v>
      </c>
      <c r="F16" s="7">
        <v>0</v>
      </c>
      <c r="G16" s="7">
        <v>30206.25</v>
      </c>
      <c r="H16" s="7">
        <v>30750</v>
      </c>
      <c r="I16" s="7">
        <f t="shared" si="0"/>
        <v>84731.67</v>
      </c>
      <c r="J16" s="7">
        <v>28243.89</v>
      </c>
      <c r="K16" s="7">
        <v>543.75</v>
      </c>
      <c r="L16" s="9" t="s">
        <v>37</v>
      </c>
    </row>
    <row r="17" spans="1:12" x14ac:dyDescent="0.2">
      <c r="A17" t="s">
        <v>38</v>
      </c>
      <c r="B17" s="7">
        <v>43500</v>
      </c>
      <c r="C17" s="7">
        <v>30668.639999999999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f t="shared" si="0"/>
        <v>74168.639999999999</v>
      </c>
      <c r="J17" s="7">
        <v>37084.32</v>
      </c>
      <c r="K17" s="7">
        <v>0</v>
      </c>
      <c r="L17" s="9" t="s">
        <v>39</v>
      </c>
    </row>
    <row r="18" spans="1:12" x14ac:dyDescent="0.2">
      <c r="A18" t="s">
        <v>40</v>
      </c>
      <c r="B18" s="7">
        <v>16310.17</v>
      </c>
      <c r="C18" s="7">
        <v>16589.830000000002</v>
      </c>
      <c r="D18" s="7">
        <v>16484.75</v>
      </c>
      <c r="E18" s="7">
        <v>14560</v>
      </c>
      <c r="F18" s="7">
        <v>7770.34</v>
      </c>
      <c r="G18" s="7">
        <v>0</v>
      </c>
      <c r="H18" s="7">
        <v>0</v>
      </c>
      <c r="I18" s="7">
        <f t="shared" si="0"/>
        <v>71715.09</v>
      </c>
      <c r="J18" s="7">
        <v>14343.02</v>
      </c>
      <c r="K18" s="7">
        <v>0</v>
      </c>
      <c r="L18" s="9" t="s">
        <v>41</v>
      </c>
    </row>
    <row r="19" spans="1:12" x14ac:dyDescent="0.2">
      <c r="A19" t="s">
        <v>42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36575</v>
      </c>
      <c r="H19" s="7">
        <v>34419</v>
      </c>
      <c r="I19" s="7">
        <f t="shared" si="0"/>
        <v>70994</v>
      </c>
      <c r="J19" s="7">
        <v>35497</v>
      </c>
      <c r="K19" s="7">
        <v>-2156</v>
      </c>
      <c r="L19" s="9" t="s">
        <v>43</v>
      </c>
    </row>
    <row r="20" spans="1:12" x14ac:dyDescent="0.2">
      <c r="A20" t="s">
        <v>44</v>
      </c>
      <c r="B20" s="7">
        <v>16366.1</v>
      </c>
      <c r="C20" s="7">
        <v>16366.1</v>
      </c>
      <c r="D20" s="7">
        <v>15483.9</v>
      </c>
      <c r="E20" s="7">
        <v>0</v>
      </c>
      <c r="F20" s="7">
        <v>0</v>
      </c>
      <c r="G20" s="7">
        <v>0</v>
      </c>
      <c r="H20" s="7">
        <v>0</v>
      </c>
      <c r="I20" s="7">
        <f t="shared" si="0"/>
        <v>48216.1</v>
      </c>
      <c r="J20" s="7">
        <v>16072.03</v>
      </c>
      <c r="K20" s="7">
        <v>0</v>
      </c>
      <c r="L20" s="9" t="s">
        <v>45</v>
      </c>
    </row>
    <row r="21" spans="1:12" x14ac:dyDescent="0.2">
      <c r="A21" t="s">
        <v>46</v>
      </c>
      <c r="B21" s="7">
        <v>0</v>
      </c>
      <c r="C21" s="7">
        <v>5292.37</v>
      </c>
      <c r="D21" s="7">
        <v>17593.22</v>
      </c>
      <c r="E21" s="7">
        <v>10438.98</v>
      </c>
      <c r="F21" s="7">
        <v>0</v>
      </c>
      <c r="G21" s="7">
        <v>0</v>
      </c>
      <c r="H21" s="7">
        <v>0</v>
      </c>
      <c r="I21" s="7">
        <f t="shared" si="0"/>
        <v>33324.57</v>
      </c>
      <c r="J21" s="7">
        <v>11108.19</v>
      </c>
      <c r="K21" s="7">
        <v>0</v>
      </c>
      <c r="L21" s="9" t="s">
        <v>47</v>
      </c>
    </row>
    <row r="22" spans="1:12" x14ac:dyDescent="0.2">
      <c r="A22" t="s">
        <v>48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16940</v>
      </c>
      <c r="H22" s="7">
        <v>16170</v>
      </c>
      <c r="I22" s="7">
        <f t="shared" si="0"/>
        <v>33110</v>
      </c>
      <c r="J22" s="7">
        <v>16555</v>
      </c>
      <c r="K22" s="7">
        <v>-770</v>
      </c>
      <c r="L22" s="9" t="s">
        <v>49</v>
      </c>
    </row>
    <row r="23" spans="1:12" x14ac:dyDescent="0.2">
      <c r="A23" t="s">
        <v>50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8550</v>
      </c>
      <c r="H23" s="7">
        <v>18050</v>
      </c>
      <c r="I23" s="7">
        <f t="shared" si="0"/>
        <v>26600</v>
      </c>
      <c r="J23" s="7">
        <v>13300</v>
      </c>
      <c r="K23" s="7">
        <v>9500</v>
      </c>
      <c r="L23" s="9" t="s">
        <v>51</v>
      </c>
    </row>
    <row r="24" spans="1:12" x14ac:dyDescent="0.2">
      <c r="A24" t="s">
        <v>52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6080</v>
      </c>
      <c r="H24" s="7">
        <v>13920</v>
      </c>
      <c r="I24" s="7">
        <f t="shared" si="0"/>
        <v>20000</v>
      </c>
      <c r="J24" s="7">
        <v>10000</v>
      </c>
      <c r="K24" s="7">
        <v>7840</v>
      </c>
      <c r="L24" s="9" t="s">
        <v>53</v>
      </c>
    </row>
    <row r="25" spans="1:12" x14ac:dyDescent="0.2">
      <c r="A25" t="s">
        <v>54</v>
      </c>
      <c r="B25" s="7">
        <v>0</v>
      </c>
      <c r="C25" s="7">
        <v>0</v>
      </c>
      <c r="D25" s="7">
        <v>0</v>
      </c>
      <c r="E25" s="7">
        <v>0</v>
      </c>
      <c r="F25" s="7">
        <v>12075.42</v>
      </c>
      <c r="G25" s="7">
        <v>0</v>
      </c>
      <c r="H25" s="7">
        <v>0</v>
      </c>
      <c r="I25" s="7">
        <f t="shared" si="0"/>
        <v>12075.42</v>
      </c>
      <c r="J25" s="7">
        <v>12075.42</v>
      </c>
      <c r="K25" s="7">
        <v>0</v>
      </c>
      <c r="L25" s="9" t="s">
        <v>55</v>
      </c>
    </row>
    <row r="26" spans="1:12" x14ac:dyDescent="0.2">
      <c r="A26" t="s">
        <v>56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8550</v>
      </c>
      <c r="I26" s="7">
        <f t="shared" si="0"/>
        <v>8550</v>
      </c>
      <c r="J26" s="7">
        <v>8550</v>
      </c>
      <c r="K26" s="7">
        <v>8550</v>
      </c>
      <c r="L26" s="9" t="s">
        <v>57</v>
      </c>
    </row>
    <row r="27" spans="1:12" x14ac:dyDescent="0.2">
      <c r="A27" t="s">
        <v>58</v>
      </c>
      <c r="B27" s="7">
        <v>8190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f t="shared" si="0"/>
        <v>8190</v>
      </c>
      <c r="J27" s="7">
        <v>8190</v>
      </c>
      <c r="K27" s="7">
        <v>0</v>
      </c>
      <c r="L27" s="9" t="s">
        <v>59</v>
      </c>
    </row>
    <row r="28" spans="1:12" x14ac:dyDescent="0.2">
      <c r="A28" t="s">
        <v>60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6930</v>
      </c>
      <c r="I28" s="7">
        <f t="shared" si="0"/>
        <v>6930</v>
      </c>
      <c r="J28" s="7">
        <v>6930</v>
      </c>
      <c r="K28" s="7">
        <v>6930</v>
      </c>
      <c r="L28" s="9" t="s">
        <v>61</v>
      </c>
    </row>
    <row r="29" spans="1:12" x14ac:dyDescent="0.2">
      <c r="A29" t="s">
        <v>62</v>
      </c>
      <c r="B29" s="7">
        <v>5839.83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f t="shared" si="0"/>
        <v>5839.83</v>
      </c>
      <c r="J29" s="7">
        <v>5839.83</v>
      </c>
      <c r="K29" s="7">
        <v>0</v>
      </c>
      <c r="L29" s="9" t="s">
        <v>63</v>
      </c>
    </row>
    <row r="30" spans="1:12" x14ac:dyDescent="0.2">
      <c r="A30" t="s">
        <v>64</v>
      </c>
      <c r="B30" s="7">
        <v>5400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f t="shared" si="0"/>
        <v>5400</v>
      </c>
      <c r="J30" s="7">
        <v>5400</v>
      </c>
      <c r="K30" s="7">
        <v>0</v>
      </c>
      <c r="L30" s="9" t="s">
        <v>65</v>
      </c>
    </row>
    <row r="31" spans="1:12" x14ac:dyDescent="0.2">
      <c r="A31" t="s">
        <v>66</v>
      </c>
      <c r="B31" s="7">
        <v>0</v>
      </c>
      <c r="C31" s="7">
        <v>0</v>
      </c>
      <c r="D31" s="7">
        <v>0</v>
      </c>
      <c r="E31" s="7">
        <v>3500</v>
      </c>
      <c r="F31" s="7">
        <v>0</v>
      </c>
      <c r="G31" s="7">
        <v>0</v>
      </c>
      <c r="H31" s="7">
        <v>0</v>
      </c>
      <c r="I31" s="7">
        <f t="shared" si="0"/>
        <v>3500</v>
      </c>
      <c r="J31" s="7">
        <v>3500</v>
      </c>
      <c r="K31" s="7">
        <v>0</v>
      </c>
      <c r="L31" s="9" t="s">
        <v>67</v>
      </c>
    </row>
    <row r="32" spans="1:12" x14ac:dyDescent="0.2">
      <c r="A32" t="s">
        <v>68</v>
      </c>
      <c r="B32" s="7">
        <v>0</v>
      </c>
      <c r="C32" s="7">
        <v>0</v>
      </c>
      <c r="D32" s="7">
        <v>0</v>
      </c>
      <c r="E32" s="7">
        <v>2137.29</v>
      </c>
      <c r="F32" s="7">
        <v>0</v>
      </c>
      <c r="G32" s="7">
        <v>0</v>
      </c>
      <c r="H32" s="7">
        <v>0</v>
      </c>
      <c r="I32" s="7">
        <f t="shared" si="0"/>
        <v>2137.29</v>
      </c>
      <c r="J32" s="7">
        <v>2137.29</v>
      </c>
      <c r="K32" s="7">
        <v>0</v>
      </c>
      <c r="L32" s="9" t="s">
        <v>67</v>
      </c>
    </row>
    <row r="33" spans="1:12" x14ac:dyDescent="0.2">
      <c r="A33" t="s">
        <v>69</v>
      </c>
      <c r="B33" s="7">
        <v>803.39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f t="shared" si="0"/>
        <v>803.39</v>
      </c>
      <c r="J33" s="7">
        <v>803.39</v>
      </c>
      <c r="K33" s="7">
        <v>0</v>
      </c>
      <c r="L33" s="9" t="s">
        <v>70</v>
      </c>
    </row>
    <row r="34" spans="1:12" x14ac:dyDescent="0.2">
      <c r="A34" t="s">
        <v>71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f t="shared" si="0"/>
        <v>0</v>
      </c>
      <c r="J34" s="7">
        <v>0</v>
      </c>
      <c r="K34" s="7">
        <v>0</v>
      </c>
      <c r="L34" s="9" t="s">
        <v>72</v>
      </c>
    </row>
    <row r="35" spans="1:12" x14ac:dyDescent="0.2">
      <c r="A35" t="s">
        <v>73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f t="shared" si="0"/>
        <v>0</v>
      </c>
      <c r="J35" s="7">
        <v>0</v>
      </c>
      <c r="K35" s="7">
        <v>0</v>
      </c>
      <c r="L35" s="9" t="s">
        <v>72</v>
      </c>
    </row>
    <row r="36" spans="1:12" x14ac:dyDescent="0.2">
      <c r="A36" t="s">
        <v>74</v>
      </c>
      <c r="B36" s="7">
        <v>0</v>
      </c>
      <c r="C36" s="7">
        <v>-10000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f t="shared" si="0"/>
        <v>-10000</v>
      </c>
      <c r="J36" s="7">
        <v>-10000</v>
      </c>
      <c r="K36" s="7">
        <v>0</v>
      </c>
      <c r="L36" s="9" t="s">
        <v>75</v>
      </c>
    </row>
    <row r="37" spans="1:12" x14ac:dyDescent="0.2">
      <c r="A37" t="s">
        <v>76</v>
      </c>
      <c r="B37" s="7">
        <v>-8976.27</v>
      </c>
      <c r="C37" s="7">
        <v>0</v>
      </c>
      <c r="D37" s="7">
        <v>0</v>
      </c>
      <c r="E37" s="7">
        <v>-8800</v>
      </c>
      <c r="F37" s="7">
        <v>0</v>
      </c>
      <c r="G37" s="7">
        <v>0</v>
      </c>
      <c r="H37" s="7">
        <v>0</v>
      </c>
      <c r="I37" s="7">
        <f t="shared" si="0"/>
        <v>-17776.27</v>
      </c>
      <c r="J37" s="7">
        <v>-8888.14</v>
      </c>
      <c r="K37" s="7">
        <v>0</v>
      </c>
      <c r="L37" s="9"/>
    </row>
    <row r="38" spans="1:12" ht="15" x14ac:dyDescent="0.25">
      <c r="A38" s="5" t="s">
        <v>77</v>
      </c>
      <c r="B38" s="8">
        <f t="shared" ref="B38:I38" si="1">SUM(B5:B37)</f>
        <v>583854.39999999991</v>
      </c>
      <c r="C38" s="8">
        <f t="shared" si="1"/>
        <v>342085.06</v>
      </c>
      <c r="D38" s="8">
        <f t="shared" si="1"/>
        <v>510652.54000000004</v>
      </c>
      <c r="E38" s="8">
        <f t="shared" si="1"/>
        <v>388825.62999999995</v>
      </c>
      <c r="F38" s="8">
        <f t="shared" si="1"/>
        <v>386459.31</v>
      </c>
      <c r="G38" s="8">
        <f t="shared" si="1"/>
        <v>752110.25</v>
      </c>
      <c r="H38" s="8">
        <f t="shared" si="1"/>
        <v>1068020.47</v>
      </c>
      <c r="I38" s="8">
        <f t="shared" si="1"/>
        <v>4032007.66</v>
      </c>
      <c r="J38" s="5"/>
      <c r="K38" s="5">
        <f>SUM(K5:K37)</f>
        <v>315910.21999999997</v>
      </c>
      <c r="L38" s="5"/>
    </row>
    <row r="39" spans="1:12" ht="15" x14ac:dyDescent="0.25">
      <c r="A39" s="3" t="s">
        <v>78</v>
      </c>
      <c r="B39" s="7"/>
      <c r="C39" s="7">
        <f t="shared" ref="C39:H39" si="2">C38-B38</f>
        <v>-241769.33999999991</v>
      </c>
      <c r="D39" s="7">
        <f t="shared" si="2"/>
        <v>168567.48000000004</v>
      </c>
      <c r="E39" s="7">
        <f t="shared" si="2"/>
        <v>-121826.91000000009</v>
      </c>
      <c r="F39" s="7">
        <f t="shared" si="2"/>
        <v>-2366.3199999999488</v>
      </c>
      <c r="G39" s="7">
        <f t="shared" si="2"/>
        <v>365650.94</v>
      </c>
      <c r="H39" s="7">
        <f t="shared" si="2"/>
        <v>315910.21999999997</v>
      </c>
      <c r="I39" s="7"/>
    </row>
    <row r="40" spans="1:12" ht="15" x14ac:dyDescent="0.25">
      <c r="A40" s="3" t="s">
        <v>79</v>
      </c>
      <c r="C40" s="6">
        <f t="shared" ref="C40:H40" si="3">IF(B38=0,"",C38/B38-1)</f>
        <v>-0.41409183522467241</v>
      </c>
      <c r="D40" s="6">
        <f t="shared" si="3"/>
        <v>0.4927648111846803</v>
      </c>
      <c r="E40" s="6">
        <f t="shared" si="3"/>
        <v>-0.23857104480475133</v>
      </c>
      <c r="F40" s="6">
        <f t="shared" si="3"/>
        <v>-6.0858128102304621E-3</v>
      </c>
      <c r="G40" s="6">
        <f t="shared" si="3"/>
        <v>0.94615637542798492</v>
      </c>
      <c r="H40" s="6">
        <f t="shared" si="3"/>
        <v>0.42003179719994499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F5211-FCC6-42E7-8867-CEC56500B3DB}">
  <dimension ref="A1:D332"/>
  <sheetViews>
    <sheetView rightToLeft="1" workbookViewId="0"/>
  </sheetViews>
  <sheetFormatPr defaultRowHeight="14.25" x14ac:dyDescent="0.2"/>
  <cols>
    <col min="1" max="1" width="34.625" customWidth="1"/>
    <col min="2" max="2" width="18.625" customWidth="1"/>
    <col min="3" max="3" width="20.625" customWidth="1"/>
    <col min="4" max="4" width="90.625" style="9" customWidth="1"/>
  </cols>
  <sheetData>
    <row r="1" spans="1:4" ht="20.25" x14ac:dyDescent="0.3">
      <c r="A1" s="1" t="s">
        <v>195</v>
      </c>
    </row>
    <row r="2" spans="1:4" x14ac:dyDescent="0.2">
      <c r="A2" s="2" t="s">
        <v>1</v>
      </c>
    </row>
    <row r="4" spans="1:4" ht="15.75" x14ac:dyDescent="0.25">
      <c r="A4" s="15" t="s">
        <v>14</v>
      </c>
      <c r="B4" s="15" t="s">
        <v>196</v>
      </c>
      <c r="C4" s="16">
        <v>961081.11</v>
      </c>
      <c r="D4" s="17"/>
    </row>
    <row r="5" spans="1:4" ht="15" x14ac:dyDescent="0.25">
      <c r="A5" s="5" t="s">
        <v>82</v>
      </c>
      <c r="B5" s="5" t="s">
        <v>197</v>
      </c>
      <c r="C5" s="5" t="s">
        <v>198</v>
      </c>
      <c r="D5" s="18" t="s">
        <v>199</v>
      </c>
    </row>
    <row r="6" spans="1:4" x14ac:dyDescent="0.2">
      <c r="A6" t="s">
        <v>88</v>
      </c>
      <c r="B6" s="7">
        <v>138561.01999999999</v>
      </c>
      <c r="C6" s="7"/>
      <c r="D6" s="9" t="s">
        <v>200</v>
      </c>
    </row>
    <row r="7" spans="1:4" x14ac:dyDescent="0.2">
      <c r="A7" t="s">
        <v>90</v>
      </c>
      <c r="B7" s="7">
        <v>121994.92</v>
      </c>
      <c r="C7" s="7">
        <v>-16566.099999999999</v>
      </c>
      <c r="D7" s="9" t="s">
        <v>201</v>
      </c>
    </row>
    <row r="8" spans="1:4" x14ac:dyDescent="0.2">
      <c r="A8" t="s">
        <v>92</v>
      </c>
      <c r="B8" s="7">
        <v>137860.17000000001</v>
      </c>
      <c r="C8" s="7">
        <v>15865.25</v>
      </c>
      <c r="D8" s="9" t="s">
        <v>202</v>
      </c>
    </row>
    <row r="9" spans="1:4" x14ac:dyDescent="0.2">
      <c r="A9" t="s">
        <v>94</v>
      </c>
      <c r="B9" s="7">
        <v>117070.34</v>
      </c>
      <c r="C9" s="7">
        <v>-20789.830000000002</v>
      </c>
      <c r="D9" s="9" t="s">
        <v>203</v>
      </c>
    </row>
    <row r="10" spans="1:4" x14ac:dyDescent="0.2">
      <c r="A10" t="s">
        <v>96</v>
      </c>
      <c r="B10" s="7">
        <v>135279.66</v>
      </c>
      <c r="C10" s="7">
        <v>18209.32</v>
      </c>
      <c r="D10" s="9" t="s">
        <v>204</v>
      </c>
    </row>
    <row r="11" spans="1:4" x14ac:dyDescent="0.2">
      <c r="A11" t="s">
        <v>98</v>
      </c>
      <c r="B11" s="7">
        <v>154955</v>
      </c>
      <c r="C11" s="7">
        <v>19675.34</v>
      </c>
      <c r="D11" s="9" t="s">
        <v>205</v>
      </c>
    </row>
    <row r="12" spans="1:4" x14ac:dyDescent="0.2">
      <c r="A12" t="s">
        <v>100</v>
      </c>
      <c r="B12" s="7">
        <v>155360</v>
      </c>
      <c r="C12" s="7">
        <v>405</v>
      </c>
      <c r="D12" s="9" t="s">
        <v>206</v>
      </c>
    </row>
    <row r="14" spans="1:4" ht="15.75" x14ac:dyDescent="0.25">
      <c r="A14" s="15" t="s">
        <v>16</v>
      </c>
      <c r="B14" s="15" t="s">
        <v>196</v>
      </c>
      <c r="C14" s="16">
        <v>548778.4</v>
      </c>
      <c r="D14" s="17"/>
    </row>
    <row r="15" spans="1:4" ht="15" x14ac:dyDescent="0.25">
      <c r="A15" s="5" t="s">
        <v>82</v>
      </c>
      <c r="B15" s="5" t="s">
        <v>197</v>
      </c>
      <c r="C15" s="5" t="s">
        <v>198</v>
      </c>
      <c r="D15" s="18" t="s">
        <v>199</v>
      </c>
    </row>
    <row r="16" spans="1:4" x14ac:dyDescent="0.2">
      <c r="A16" t="s">
        <v>88</v>
      </c>
      <c r="B16" s="7">
        <v>66722.03</v>
      </c>
      <c r="C16" s="7"/>
      <c r="D16" s="9" t="s">
        <v>207</v>
      </c>
    </row>
    <row r="17" spans="1:4" x14ac:dyDescent="0.2">
      <c r="A17" t="s">
        <v>90</v>
      </c>
      <c r="B17" s="7">
        <v>30514.41</v>
      </c>
      <c r="C17" s="7">
        <v>-36207.620000000003</v>
      </c>
      <c r="D17" s="9" t="s">
        <v>208</v>
      </c>
    </row>
    <row r="18" spans="1:4" x14ac:dyDescent="0.2">
      <c r="A18" t="s">
        <v>92</v>
      </c>
      <c r="B18" s="7">
        <v>33579.660000000003</v>
      </c>
      <c r="C18" s="7">
        <v>3065.25</v>
      </c>
      <c r="D18" s="9" t="s">
        <v>209</v>
      </c>
    </row>
    <row r="19" spans="1:4" x14ac:dyDescent="0.2">
      <c r="A19" t="s">
        <v>94</v>
      </c>
      <c r="B19" s="7">
        <v>21243.22</v>
      </c>
      <c r="C19" s="7">
        <v>-12336.44</v>
      </c>
      <c r="D19" s="9" t="s">
        <v>210</v>
      </c>
    </row>
    <row r="20" spans="1:4" x14ac:dyDescent="0.2">
      <c r="A20" t="s">
        <v>96</v>
      </c>
      <c r="B20" s="7">
        <v>62505.08</v>
      </c>
      <c r="C20" s="7">
        <v>41261.86</v>
      </c>
      <c r="D20" s="9" t="s">
        <v>211</v>
      </c>
    </row>
    <row r="21" spans="1:4" x14ac:dyDescent="0.2">
      <c r="A21" t="s">
        <v>98</v>
      </c>
      <c r="B21" s="7">
        <v>95068</v>
      </c>
      <c r="C21" s="7">
        <v>32562.92</v>
      </c>
      <c r="D21" s="9" t="s">
        <v>212</v>
      </c>
    </row>
    <row r="22" spans="1:4" ht="28.5" x14ac:dyDescent="0.2">
      <c r="A22" t="s">
        <v>100</v>
      </c>
      <c r="B22" s="7">
        <v>239146</v>
      </c>
      <c r="C22" s="7">
        <v>144078</v>
      </c>
      <c r="D22" s="9" t="s">
        <v>213</v>
      </c>
    </row>
    <row r="24" spans="1:4" ht="15.75" x14ac:dyDescent="0.25">
      <c r="A24" s="15" t="s">
        <v>18</v>
      </c>
      <c r="B24" s="15" t="s">
        <v>196</v>
      </c>
      <c r="C24" s="16">
        <v>416449.15</v>
      </c>
      <c r="D24" s="17"/>
    </row>
    <row r="25" spans="1:4" ht="15" x14ac:dyDescent="0.25">
      <c r="A25" s="5" t="s">
        <v>82</v>
      </c>
      <c r="B25" s="5" t="s">
        <v>197</v>
      </c>
      <c r="C25" s="5" t="s">
        <v>198</v>
      </c>
      <c r="D25" s="18" t="s">
        <v>199</v>
      </c>
    </row>
    <row r="26" spans="1:4" x14ac:dyDescent="0.2">
      <c r="A26" t="s">
        <v>88</v>
      </c>
      <c r="B26" s="7">
        <v>90159.32</v>
      </c>
      <c r="C26" s="7"/>
      <c r="D26" s="9" t="s">
        <v>214</v>
      </c>
    </row>
    <row r="27" spans="1:4" x14ac:dyDescent="0.2">
      <c r="A27" t="s">
        <v>90</v>
      </c>
      <c r="B27" s="7">
        <v>57239.83</v>
      </c>
      <c r="C27" s="7">
        <v>-32919.49</v>
      </c>
      <c r="D27" s="9" t="s">
        <v>215</v>
      </c>
    </row>
    <row r="28" spans="1:4" x14ac:dyDescent="0.2">
      <c r="A28" t="s">
        <v>92</v>
      </c>
      <c r="B28" s="7">
        <v>50200</v>
      </c>
      <c r="C28" s="7">
        <v>-7039.83</v>
      </c>
      <c r="D28" s="9" t="s">
        <v>216</v>
      </c>
    </row>
    <row r="29" spans="1:4" x14ac:dyDescent="0.2">
      <c r="A29" t="s">
        <v>94</v>
      </c>
      <c r="B29" s="7">
        <v>0</v>
      </c>
      <c r="C29" s="7">
        <v>-50200</v>
      </c>
      <c r="D29" s="9" t="s">
        <v>217</v>
      </c>
    </row>
    <row r="30" spans="1:4" x14ac:dyDescent="0.2">
      <c r="A30" t="s">
        <v>96</v>
      </c>
      <c r="B30" s="7">
        <v>0</v>
      </c>
      <c r="C30" s="7">
        <v>0</v>
      </c>
      <c r="D30" s="9" t="s">
        <v>218</v>
      </c>
    </row>
    <row r="31" spans="1:4" x14ac:dyDescent="0.2">
      <c r="A31" t="s">
        <v>98</v>
      </c>
      <c r="B31" s="7">
        <v>83850</v>
      </c>
      <c r="C31" s="7">
        <v>83850</v>
      </c>
      <c r="D31" s="9" t="s">
        <v>219</v>
      </c>
    </row>
    <row r="32" spans="1:4" x14ac:dyDescent="0.2">
      <c r="A32" t="s">
        <v>100</v>
      </c>
      <c r="B32" s="7">
        <v>135000</v>
      </c>
      <c r="C32" s="7">
        <v>51150</v>
      </c>
      <c r="D32" s="9" t="s">
        <v>220</v>
      </c>
    </row>
    <row r="34" spans="1:4" ht="15.75" x14ac:dyDescent="0.25">
      <c r="A34" s="15" t="s">
        <v>20</v>
      </c>
      <c r="B34" s="15" t="s">
        <v>196</v>
      </c>
      <c r="C34" s="16">
        <v>411347</v>
      </c>
      <c r="D34" s="17"/>
    </row>
    <row r="35" spans="1:4" ht="15" x14ac:dyDescent="0.25">
      <c r="A35" s="5" t="s">
        <v>82</v>
      </c>
      <c r="B35" s="5" t="s">
        <v>197</v>
      </c>
      <c r="C35" s="5" t="s">
        <v>198</v>
      </c>
      <c r="D35" s="18" t="s">
        <v>199</v>
      </c>
    </row>
    <row r="36" spans="1:4" x14ac:dyDescent="0.2">
      <c r="A36" t="s">
        <v>88</v>
      </c>
      <c r="B36" s="7">
        <v>0</v>
      </c>
      <c r="C36" s="7"/>
      <c r="D36" s="9" t="s">
        <v>221</v>
      </c>
    </row>
    <row r="37" spans="1:4" x14ac:dyDescent="0.2">
      <c r="A37" t="s">
        <v>90</v>
      </c>
      <c r="B37" s="7">
        <v>0</v>
      </c>
      <c r="C37" s="7">
        <v>0</v>
      </c>
      <c r="D37" s="9" t="s">
        <v>221</v>
      </c>
    </row>
    <row r="38" spans="1:4" x14ac:dyDescent="0.2">
      <c r="A38" t="s">
        <v>92</v>
      </c>
      <c r="B38" s="7">
        <v>116700</v>
      </c>
      <c r="C38" s="7">
        <v>116700</v>
      </c>
      <c r="D38" s="9" t="s">
        <v>222</v>
      </c>
    </row>
    <row r="39" spans="1:4" x14ac:dyDescent="0.2">
      <c r="A39" t="s">
        <v>94</v>
      </c>
      <c r="B39" s="7">
        <v>93600</v>
      </c>
      <c r="C39" s="7">
        <v>-23100</v>
      </c>
      <c r="D39" s="9" t="s">
        <v>223</v>
      </c>
    </row>
    <row r="40" spans="1:4" x14ac:dyDescent="0.2">
      <c r="A40" t="s">
        <v>96</v>
      </c>
      <c r="B40" s="7">
        <v>0</v>
      </c>
      <c r="C40" s="7">
        <v>-93600</v>
      </c>
      <c r="D40" s="9" t="s">
        <v>224</v>
      </c>
    </row>
    <row r="41" spans="1:4" x14ac:dyDescent="0.2">
      <c r="A41" t="s">
        <v>98</v>
      </c>
      <c r="B41" s="7">
        <v>107030</v>
      </c>
      <c r="C41" s="7">
        <v>107030</v>
      </c>
      <c r="D41" s="9" t="s">
        <v>225</v>
      </c>
    </row>
    <row r="42" spans="1:4" ht="28.5" x14ac:dyDescent="0.2">
      <c r="A42" t="s">
        <v>100</v>
      </c>
      <c r="B42" s="7">
        <v>94017</v>
      </c>
      <c r="C42" s="7">
        <v>-13013</v>
      </c>
      <c r="D42" s="9" t="s">
        <v>226</v>
      </c>
    </row>
    <row r="44" spans="1:4" ht="15.75" x14ac:dyDescent="0.25">
      <c r="A44" s="15" t="s">
        <v>22</v>
      </c>
      <c r="B44" s="15" t="s">
        <v>196</v>
      </c>
      <c r="C44" s="16">
        <v>308750.21000000002</v>
      </c>
      <c r="D44" s="17"/>
    </row>
    <row r="45" spans="1:4" ht="15" x14ac:dyDescent="0.25">
      <c r="A45" s="5" t="s">
        <v>82</v>
      </c>
      <c r="B45" s="5" t="s">
        <v>197</v>
      </c>
      <c r="C45" s="5" t="s">
        <v>198</v>
      </c>
      <c r="D45" s="18" t="s">
        <v>199</v>
      </c>
    </row>
    <row r="46" spans="1:4" x14ac:dyDescent="0.2">
      <c r="A46" t="s">
        <v>88</v>
      </c>
      <c r="B46" s="7">
        <v>0</v>
      </c>
      <c r="C46" s="7"/>
      <c r="D46" s="9" t="s">
        <v>227</v>
      </c>
    </row>
    <row r="47" spans="1:4" x14ac:dyDescent="0.2">
      <c r="A47" t="s">
        <v>90</v>
      </c>
      <c r="B47" s="7">
        <v>0</v>
      </c>
      <c r="C47" s="7">
        <v>0</v>
      </c>
      <c r="D47" s="9" t="s">
        <v>227</v>
      </c>
    </row>
    <row r="48" spans="1:4" x14ac:dyDescent="0.2">
      <c r="A48" t="s">
        <v>92</v>
      </c>
      <c r="B48" s="7">
        <v>0</v>
      </c>
      <c r="C48" s="7">
        <v>0</v>
      </c>
      <c r="D48" s="9" t="s">
        <v>227</v>
      </c>
    </row>
    <row r="49" spans="1:4" x14ac:dyDescent="0.2">
      <c r="A49" t="s">
        <v>94</v>
      </c>
      <c r="B49" s="7">
        <v>44310.17</v>
      </c>
      <c r="C49" s="7">
        <v>44310.17</v>
      </c>
      <c r="D49" s="9" t="s">
        <v>228</v>
      </c>
    </row>
    <row r="50" spans="1:4" x14ac:dyDescent="0.2">
      <c r="A50" t="s">
        <v>96</v>
      </c>
      <c r="B50" s="7">
        <v>87402.54</v>
      </c>
      <c r="C50" s="7">
        <v>43092.37</v>
      </c>
      <c r="D50" s="9" t="s">
        <v>229</v>
      </c>
    </row>
    <row r="51" spans="1:4" x14ac:dyDescent="0.2">
      <c r="A51" t="s">
        <v>98</v>
      </c>
      <c r="B51" s="7">
        <v>88435</v>
      </c>
      <c r="C51" s="7">
        <v>1032.46</v>
      </c>
      <c r="D51" s="9" t="s">
        <v>230</v>
      </c>
    </row>
    <row r="52" spans="1:4" x14ac:dyDescent="0.2">
      <c r="A52" t="s">
        <v>100</v>
      </c>
      <c r="B52" s="7">
        <v>88602.5</v>
      </c>
      <c r="C52" s="7">
        <v>167.5</v>
      </c>
      <c r="D52" s="9" t="s">
        <v>231</v>
      </c>
    </row>
    <row r="54" spans="1:4" ht="15.75" x14ac:dyDescent="0.25">
      <c r="A54" s="15" t="s">
        <v>24</v>
      </c>
      <c r="B54" s="15" t="s">
        <v>196</v>
      </c>
      <c r="C54" s="16">
        <v>243016.98</v>
      </c>
      <c r="D54" s="17"/>
    </row>
    <row r="55" spans="1:4" ht="15" x14ac:dyDescent="0.25">
      <c r="A55" s="5" t="s">
        <v>82</v>
      </c>
      <c r="B55" s="5" t="s">
        <v>197</v>
      </c>
      <c r="C55" s="5" t="s">
        <v>198</v>
      </c>
      <c r="D55" s="18" t="s">
        <v>199</v>
      </c>
    </row>
    <row r="56" spans="1:4" x14ac:dyDescent="0.2">
      <c r="A56" t="s">
        <v>88</v>
      </c>
      <c r="B56" s="7">
        <v>33810.17</v>
      </c>
      <c r="C56" s="7"/>
      <c r="D56" s="9" t="s">
        <v>232</v>
      </c>
    </row>
    <row r="57" spans="1:4" x14ac:dyDescent="0.2">
      <c r="A57" t="s">
        <v>90</v>
      </c>
      <c r="B57" s="7">
        <v>25207.63</v>
      </c>
      <c r="C57" s="7">
        <v>-8602.5400000000009</v>
      </c>
      <c r="D57" s="9" t="s">
        <v>233</v>
      </c>
    </row>
    <row r="58" spans="1:4" x14ac:dyDescent="0.2">
      <c r="A58" t="s">
        <v>92</v>
      </c>
      <c r="B58" s="7">
        <v>38685.589999999997</v>
      </c>
      <c r="C58" s="7">
        <v>13477.96</v>
      </c>
      <c r="D58" s="9" t="s">
        <v>234</v>
      </c>
    </row>
    <row r="59" spans="1:4" x14ac:dyDescent="0.2">
      <c r="A59" t="s">
        <v>94</v>
      </c>
      <c r="B59" s="7">
        <v>22908</v>
      </c>
      <c r="C59" s="7">
        <v>-15777.59</v>
      </c>
      <c r="D59" s="9" t="s">
        <v>235</v>
      </c>
    </row>
    <row r="60" spans="1:4" x14ac:dyDescent="0.2">
      <c r="A60" t="s">
        <v>96</v>
      </c>
      <c r="B60" s="7">
        <v>35235.589999999997</v>
      </c>
      <c r="C60" s="7">
        <v>12327.59</v>
      </c>
      <c r="D60" s="9" t="s">
        <v>236</v>
      </c>
    </row>
    <row r="61" spans="1:4" x14ac:dyDescent="0.2">
      <c r="A61" t="s">
        <v>98</v>
      </c>
      <c r="B61" s="7">
        <v>44298</v>
      </c>
      <c r="C61" s="7">
        <v>9062.41</v>
      </c>
      <c r="D61" s="9" t="s">
        <v>237</v>
      </c>
    </row>
    <row r="62" spans="1:4" x14ac:dyDescent="0.2">
      <c r="A62" t="s">
        <v>100</v>
      </c>
      <c r="B62" s="7">
        <v>42872</v>
      </c>
      <c r="C62" s="7">
        <v>-1426</v>
      </c>
      <c r="D62" s="9" t="s">
        <v>238</v>
      </c>
    </row>
    <row r="64" spans="1:4" ht="15.75" x14ac:dyDescent="0.25">
      <c r="A64" s="15" t="s">
        <v>26</v>
      </c>
      <c r="B64" s="15" t="s">
        <v>196</v>
      </c>
      <c r="C64" s="16">
        <v>157316.24</v>
      </c>
      <c r="D64" s="17"/>
    </row>
    <row r="65" spans="1:4" ht="15" x14ac:dyDescent="0.25">
      <c r="A65" s="5" t="s">
        <v>82</v>
      </c>
      <c r="B65" s="5" t="s">
        <v>197</v>
      </c>
      <c r="C65" s="5" t="s">
        <v>198</v>
      </c>
      <c r="D65" s="18" t="s">
        <v>199</v>
      </c>
    </row>
    <row r="66" spans="1:4" x14ac:dyDescent="0.2">
      <c r="A66" t="s">
        <v>88</v>
      </c>
      <c r="B66" s="7">
        <v>22050</v>
      </c>
      <c r="C66" s="7"/>
      <c r="D66" s="9" t="s">
        <v>239</v>
      </c>
    </row>
    <row r="67" spans="1:4" x14ac:dyDescent="0.2">
      <c r="A67" t="s">
        <v>90</v>
      </c>
      <c r="B67" s="7">
        <v>23300</v>
      </c>
      <c r="C67" s="7">
        <v>1250</v>
      </c>
      <c r="D67" s="9" t="s">
        <v>240</v>
      </c>
    </row>
    <row r="68" spans="1:4" x14ac:dyDescent="0.2">
      <c r="A68" t="s">
        <v>92</v>
      </c>
      <c r="B68" s="7">
        <v>22050</v>
      </c>
      <c r="C68" s="7">
        <v>-1250</v>
      </c>
      <c r="D68" s="9" t="s">
        <v>241</v>
      </c>
    </row>
    <row r="69" spans="1:4" x14ac:dyDescent="0.2">
      <c r="A69" t="s">
        <v>94</v>
      </c>
      <c r="B69" s="7">
        <v>22241.53</v>
      </c>
      <c r="C69" s="7">
        <v>191.53</v>
      </c>
      <c r="D69" s="9" t="s">
        <v>242</v>
      </c>
    </row>
    <row r="70" spans="1:4" x14ac:dyDescent="0.2">
      <c r="A70" t="s">
        <v>96</v>
      </c>
      <c r="B70" s="7">
        <v>24350</v>
      </c>
      <c r="C70" s="7">
        <v>2108.4699999999998</v>
      </c>
      <c r="D70" s="9" t="s">
        <v>243</v>
      </c>
    </row>
    <row r="71" spans="1:4" x14ac:dyDescent="0.2">
      <c r="A71" t="s">
        <v>98</v>
      </c>
      <c r="B71" s="7">
        <v>22625</v>
      </c>
      <c r="C71" s="7">
        <v>-1725</v>
      </c>
      <c r="D71" s="9" t="s">
        <v>244</v>
      </c>
    </row>
    <row r="72" spans="1:4" x14ac:dyDescent="0.2">
      <c r="A72" t="s">
        <v>100</v>
      </c>
      <c r="B72" s="7">
        <v>20699.71</v>
      </c>
      <c r="C72" s="7">
        <v>-1925.29</v>
      </c>
      <c r="D72" s="9" t="s">
        <v>245</v>
      </c>
    </row>
    <row r="74" spans="1:4" ht="15.75" x14ac:dyDescent="0.25">
      <c r="A74" s="15" t="s">
        <v>28</v>
      </c>
      <c r="B74" s="15" t="s">
        <v>196</v>
      </c>
      <c r="C74" s="16">
        <v>156899.29</v>
      </c>
      <c r="D74" s="17"/>
    </row>
    <row r="75" spans="1:4" ht="15" x14ac:dyDescent="0.25">
      <c r="A75" s="5" t="s">
        <v>82</v>
      </c>
      <c r="B75" s="5" t="s">
        <v>197</v>
      </c>
      <c r="C75" s="5" t="s">
        <v>198</v>
      </c>
      <c r="D75" s="18" t="s">
        <v>199</v>
      </c>
    </row>
    <row r="76" spans="1:4" x14ac:dyDescent="0.2">
      <c r="A76" t="s">
        <v>88</v>
      </c>
      <c r="B76" s="7">
        <v>20000</v>
      </c>
      <c r="C76" s="7"/>
      <c r="D76" s="9" t="s">
        <v>246</v>
      </c>
    </row>
    <row r="77" spans="1:4" x14ac:dyDescent="0.2">
      <c r="A77" t="s">
        <v>90</v>
      </c>
      <c r="B77" s="7">
        <v>25521.5</v>
      </c>
      <c r="C77" s="7">
        <v>5521.5</v>
      </c>
      <c r="D77" s="9" t="s">
        <v>247</v>
      </c>
    </row>
    <row r="78" spans="1:4" x14ac:dyDescent="0.2">
      <c r="A78" t="s">
        <v>92</v>
      </c>
      <c r="B78" s="7">
        <v>24015.25</v>
      </c>
      <c r="C78" s="7">
        <v>-1506.25</v>
      </c>
      <c r="D78" s="9" t="s">
        <v>248</v>
      </c>
    </row>
    <row r="79" spans="1:4" x14ac:dyDescent="0.2">
      <c r="A79" t="s">
        <v>94</v>
      </c>
      <c r="B79" s="7">
        <v>21840.68</v>
      </c>
      <c r="C79" s="7">
        <v>-2174.5700000000002</v>
      </c>
      <c r="D79" s="9" t="s">
        <v>249</v>
      </c>
    </row>
    <row r="80" spans="1:4" x14ac:dyDescent="0.2">
      <c r="A80" t="s">
        <v>96</v>
      </c>
      <c r="B80" s="7">
        <v>21840.68</v>
      </c>
      <c r="C80" s="7">
        <v>0</v>
      </c>
      <c r="D80" s="9" t="s">
        <v>250</v>
      </c>
    </row>
    <row r="81" spans="1:4" x14ac:dyDescent="0.2">
      <c r="A81" t="s">
        <v>98</v>
      </c>
      <c r="B81" s="7">
        <v>21840.5</v>
      </c>
      <c r="C81" s="7">
        <v>-0.18</v>
      </c>
      <c r="D81" s="9" t="s">
        <v>250</v>
      </c>
    </row>
    <row r="82" spans="1:4" x14ac:dyDescent="0.2">
      <c r="A82" t="s">
        <v>100</v>
      </c>
      <c r="B82" s="7">
        <v>21840.68</v>
      </c>
      <c r="C82" s="7">
        <v>0.18</v>
      </c>
      <c r="D82" s="9" t="s">
        <v>251</v>
      </c>
    </row>
    <row r="84" spans="1:4" ht="15.75" x14ac:dyDescent="0.25">
      <c r="A84" s="15" t="s">
        <v>30</v>
      </c>
      <c r="B84" s="15" t="s">
        <v>196</v>
      </c>
      <c r="C84" s="16">
        <v>130455.58</v>
      </c>
      <c r="D84" s="17"/>
    </row>
    <row r="85" spans="1:4" ht="15" x14ac:dyDescent="0.25">
      <c r="A85" s="5" t="s">
        <v>82</v>
      </c>
      <c r="B85" s="5" t="s">
        <v>197</v>
      </c>
      <c r="C85" s="5" t="s">
        <v>198</v>
      </c>
      <c r="D85" s="18" t="s">
        <v>199</v>
      </c>
    </row>
    <row r="86" spans="1:4" x14ac:dyDescent="0.2">
      <c r="A86" t="s">
        <v>88</v>
      </c>
      <c r="B86" s="7">
        <v>38000</v>
      </c>
      <c r="C86" s="7"/>
      <c r="D86" s="9" t="s">
        <v>252</v>
      </c>
    </row>
    <row r="87" spans="1:4" x14ac:dyDescent="0.2">
      <c r="A87" t="s">
        <v>90</v>
      </c>
      <c r="B87" s="7">
        <v>0</v>
      </c>
      <c r="C87" s="7">
        <v>-38000</v>
      </c>
      <c r="D87" s="9" t="s">
        <v>253</v>
      </c>
    </row>
    <row r="88" spans="1:4" x14ac:dyDescent="0.2">
      <c r="A88" t="s">
        <v>92</v>
      </c>
      <c r="B88" s="7">
        <v>38000</v>
      </c>
      <c r="C88" s="7">
        <v>38000</v>
      </c>
      <c r="D88" s="9" t="s">
        <v>254</v>
      </c>
    </row>
    <row r="89" spans="1:4" x14ac:dyDescent="0.2">
      <c r="A89" t="s">
        <v>94</v>
      </c>
      <c r="B89" s="7">
        <v>0</v>
      </c>
      <c r="C89" s="7">
        <v>-38000</v>
      </c>
      <c r="D89" s="9" t="s">
        <v>255</v>
      </c>
    </row>
    <row r="90" spans="1:4" x14ac:dyDescent="0.2">
      <c r="A90" t="s">
        <v>96</v>
      </c>
      <c r="B90" s="7">
        <v>0</v>
      </c>
      <c r="C90" s="7">
        <v>0</v>
      </c>
      <c r="D90" s="9" t="s">
        <v>255</v>
      </c>
    </row>
    <row r="91" spans="1:4" x14ac:dyDescent="0.2">
      <c r="A91" t="s">
        <v>98</v>
      </c>
      <c r="B91" s="7">
        <v>0</v>
      </c>
      <c r="C91" s="7">
        <v>0</v>
      </c>
      <c r="D91" s="9" t="s">
        <v>255</v>
      </c>
    </row>
    <row r="92" spans="1:4" x14ac:dyDescent="0.2">
      <c r="A92" t="s">
        <v>100</v>
      </c>
      <c r="B92" s="7">
        <v>54455.58</v>
      </c>
      <c r="C92" s="7">
        <v>54455.58</v>
      </c>
      <c r="D92" s="9" t="s">
        <v>256</v>
      </c>
    </row>
    <row r="94" spans="1:4" ht="15.75" x14ac:dyDescent="0.25">
      <c r="A94" s="15" t="s">
        <v>32</v>
      </c>
      <c r="B94" s="15" t="s">
        <v>196</v>
      </c>
      <c r="C94" s="16">
        <v>122895.5</v>
      </c>
      <c r="D94" s="17"/>
    </row>
    <row r="95" spans="1:4" ht="15" x14ac:dyDescent="0.25">
      <c r="A95" s="5" t="s">
        <v>82</v>
      </c>
      <c r="B95" s="5" t="s">
        <v>197</v>
      </c>
      <c r="C95" s="5" t="s">
        <v>198</v>
      </c>
      <c r="D95" s="18" t="s">
        <v>199</v>
      </c>
    </row>
    <row r="96" spans="1:4" x14ac:dyDescent="0.2">
      <c r="A96" t="s">
        <v>88</v>
      </c>
      <c r="B96" s="7">
        <v>0</v>
      </c>
      <c r="C96" s="7"/>
      <c r="D96" s="9" t="s">
        <v>227</v>
      </c>
    </row>
    <row r="97" spans="1:4" x14ac:dyDescent="0.2">
      <c r="A97" t="s">
        <v>90</v>
      </c>
      <c r="B97" s="7">
        <v>0</v>
      </c>
      <c r="C97" s="7">
        <v>0</v>
      </c>
      <c r="D97" s="9" t="s">
        <v>227</v>
      </c>
    </row>
    <row r="98" spans="1:4" x14ac:dyDescent="0.2">
      <c r="A98" t="s">
        <v>92</v>
      </c>
      <c r="B98" s="7">
        <v>0</v>
      </c>
      <c r="C98" s="7">
        <v>0</v>
      </c>
      <c r="D98" s="9" t="s">
        <v>227</v>
      </c>
    </row>
    <row r="99" spans="1:4" x14ac:dyDescent="0.2">
      <c r="A99" t="s">
        <v>94</v>
      </c>
      <c r="B99" s="7">
        <v>0</v>
      </c>
      <c r="C99" s="7">
        <v>0</v>
      </c>
      <c r="D99" s="9" t="s">
        <v>227</v>
      </c>
    </row>
    <row r="100" spans="1:4" x14ac:dyDescent="0.2">
      <c r="A100" t="s">
        <v>96</v>
      </c>
      <c r="B100" s="7">
        <v>0</v>
      </c>
      <c r="C100" s="7">
        <v>0</v>
      </c>
      <c r="D100" s="9" t="s">
        <v>227</v>
      </c>
    </row>
    <row r="101" spans="1:4" x14ac:dyDescent="0.2">
      <c r="A101" t="s">
        <v>98</v>
      </c>
      <c r="B101" s="7">
        <v>35657.5</v>
      </c>
      <c r="C101" s="7">
        <v>35657.5</v>
      </c>
      <c r="D101" s="9" t="s">
        <v>257</v>
      </c>
    </row>
    <row r="102" spans="1:4" x14ac:dyDescent="0.2">
      <c r="A102" t="s">
        <v>100</v>
      </c>
      <c r="B102" s="7">
        <v>87238</v>
      </c>
      <c r="C102" s="7">
        <v>51580.5</v>
      </c>
      <c r="D102" s="9" t="s">
        <v>258</v>
      </c>
    </row>
    <row r="104" spans="1:4" ht="15.75" x14ac:dyDescent="0.25">
      <c r="A104" s="15" t="s">
        <v>34</v>
      </c>
      <c r="B104" s="15" t="s">
        <v>196</v>
      </c>
      <c r="C104" s="16">
        <v>86508.47</v>
      </c>
      <c r="D104" s="17"/>
    </row>
    <row r="105" spans="1:4" ht="15" x14ac:dyDescent="0.25">
      <c r="A105" s="5" t="s">
        <v>82</v>
      </c>
      <c r="B105" s="5" t="s">
        <v>197</v>
      </c>
      <c r="C105" s="5" t="s">
        <v>198</v>
      </c>
      <c r="D105" s="18" t="s">
        <v>199</v>
      </c>
    </row>
    <row r="106" spans="1:4" x14ac:dyDescent="0.2">
      <c r="A106" t="s">
        <v>88</v>
      </c>
      <c r="B106" s="7">
        <v>87118.64</v>
      </c>
      <c r="C106" s="7"/>
      <c r="D106" s="9" t="s">
        <v>259</v>
      </c>
    </row>
    <row r="107" spans="1:4" x14ac:dyDescent="0.2">
      <c r="A107" t="s">
        <v>90</v>
      </c>
      <c r="B107" s="7">
        <v>-610.16999999999996</v>
      </c>
      <c r="C107" s="7">
        <v>-87728.81</v>
      </c>
      <c r="D107" s="9" t="s">
        <v>260</v>
      </c>
    </row>
    <row r="108" spans="1:4" x14ac:dyDescent="0.2">
      <c r="A108" t="s">
        <v>92</v>
      </c>
      <c r="B108" s="7">
        <v>0</v>
      </c>
      <c r="C108" s="7">
        <v>610.16999999999996</v>
      </c>
      <c r="D108" s="9" t="s">
        <v>227</v>
      </c>
    </row>
    <row r="109" spans="1:4" x14ac:dyDescent="0.2">
      <c r="A109" t="s">
        <v>94</v>
      </c>
      <c r="B109" s="7">
        <v>0</v>
      </c>
      <c r="C109" s="7">
        <v>0</v>
      </c>
      <c r="D109" s="9" t="s">
        <v>227</v>
      </c>
    </row>
    <row r="110" spans="1:4" x14ac:dyDescent="0.2">
      <c r="A110" t="s">
        <v>96</v>
      </c>
      <c r="B110" s="7">
        <v>0</v>
      </c>
      <c r="C110" s="7">
        <v>0</v>
      </c>
      <c r="D110" s="9" t="s">
        <v>227</v>
      </c>
    </row>
    <row r="111" spans="1:4" x14ac:dyDescent="0.2">
      <c r="A111" t="s">
        <v>98</v>
      </c>
      <c r="B111" s="7">
        <v>0</v>
      </c>
      <c r="C111" s="7">
        <v>0</v>
      </c>
      <c r="D111" s="9" t="s">
        <v>227</v>
      </c>
    </row>
    <row r="112" spans="1:4" x14ac:dyDescent="0.2">
      <c r="A112" t="s">
        <v>100</v>
      </c>
      <c r="B112" s="7">
        <v>0</v>
      </c>
      <c r="C112" s="7">
        <v>0</v>
      </c>
      <c r="D112" s="9" t="s">
        <v>227</v>
      </c>
    </row>
    <row r="114" spans="1:4" ht="15.75" x14ac:dyDescent="0.25">
      <c r="A114" s="15" t="s">
        <v>36</v>
      </c>
      <c r="B114" s="15" t="s">
        <v>196</v>
      </c>
      <c r="C114" s="16">
        <v>84731.67</v>
      </c>
      <c r="D114" s="17"/>
    </row>
    <row r="115" spans="1:4" ht="15" x14ac:dyDescent="0.25">
      <c r="A115" s="5" t="s">
        <v>82</v>
      </c>
      <c r="B115" s="5" t="s">
        <v>197</v>
      </c>
      <c r="C115" s="5" t="s">
        <v>198</v>
      </c>
      <c r="D115" s="18" t="s">
        <v>199</v>
      </c>
    </row>
    <row r="116" spans="1:4" x14ac:dyDescent="0.2">
      <c r="A116" t="s">
        <v>88</v>
      </c>
      <c r="B116" s="7">
        <v>0</v>
      </c>
      <c r="C116" s="7"/>
      <c r="D116" s="9" t="s">
        <v>227</v>
      </c>
    </row>
    <row r="117" spans="1:4" x14ac:dyDescent="0.2">
      <c r="A117" t="s">
        <v>90</v>
      </c>
      <c r="B117" s="7">
        <v>0</v>
      </c>
      <c r="C117" s="7">
        <v>0</v>
      </c>
      <c r="D117" s="9" t="s">
        <v>227</v>
      </c>
    </row>
    <row r="118" spans="1:4" x14ac:dyDescent="0.2">
      <c r="A118" t="s">
        <v>92</v>
      </c>
      <c r="B118" s="7">
        <v>0</v>
      </c>
      <c r="C118" s="7">
        <v>0</v>
      </c>
      <c r="D118" s="9" t="s">
        <v>227</v>
      </c>
    </row>
    <row r="119" spans="1:4" x14ac:dyDescent="0.2">
      <c r="A119" t="s">
        <v>94</v>
      </c>
      <c r="B119" s="7">
        <v>23775.42</v>
      </c>
      <c r="C119" s="7">
        <v>23775.42</v>
      </c>
      <c r="D119" s="9" t="s">
        <v>261</v>
      </c>
    </row>
    <row r="120" spans="1:4" x14ac:dyDescent="0.2">
      <c r="A120" t="s">
        <v>96</v>
      </c>
      <c r="B120" s="7">
        <v>0</v>
      </c>
      <c r="C120" s="7">
        <v>-23775.42</v>
      </c>
      <c r="D120" s="9" t="s">
        <v>227</v>
      </c>
    </row>
    <row r="121" spans="1:4" x14ac:dyDescent="0.2">
      <c r="A121" t="s">
        <v>98</v>
      </c>
      <c r="B121" s="7">
        <v>30206.25</v>
      </c>
      <c r="C121" s="7">
        <v>30206.25</v>
      </c>
      <c r="D121" s="9" t="s">
        <v>262</v>
      </c>
    </row>
    <row r="122" spans="1:4" x14ac:dyDescent="0.2">
      <c r="A122" t="s">
        <v>100</v>
      </c>
      <c r="B122" s="7">
        <v>30750</v>
      </c>
      <c r="C122" s="7">
        <v>543.75</v>
      </c>
      <c r="D122" s="9" t="s">
        <v>263</v>
      </c>
    </row>
    <row r="124" spans="1:4" ht="15.75" x14ac:dyDescent="0.25">
      <c r="A124" s="15" t="s">
        <v>38</v>
      </c>
      <c r="B124" s="15" t="s">
        <v>196</v>
      </c>
      <c r="C124" s="16">
        <v>74168.639999999999</v>
      </c>
      <c r="D124" s="17"/>
    </row>
    <row r="125" spans="1:4" ht="15" x14ac:dyDescent="0.25">
      <c r="A125" s="5" t="s">
        <v>82</v>
      </c>
      <c r="B125" s="5" t="s">
        <v>197</v>
      </c>
      <c r="C125" s="5" t="s">
        <v>198</v>
      </c>
      <c r="D125" s="18" t="s">
        <v>199</v>
      </c>
    </row>
    <row r="126" spans="1:4" x14ac:dyDescent="0.2">
      <c r="A126" t="s">
        <v>88</v>
      </c>
      <c r="B126" s="7">
        <v>43500</v>
      </c>
      <c r="C126" s="7"/>
      <c r="D126" s="9" t="s">
        <v>264</v>
      </c>
    </row>
    <row r="127" spans="1:4" x14ac:dyDescent="0.2">
      <c r="A127" t="s">
        <v>90</v>
      </c>
      <c r="B127" s="7">
        <v>30668.639999999999</v>
      </c>
      <c r="C127" s="7">
        <v>-12831.36</v>
      </c>
      <c r="D127" s="9" t="s">
        <v>265</v>
      </c>
    </row>
    <row r="128" spans="1:4" x14ac:dyDescent="0.2">
      <c r="A128" t="s">
        <v>92</v>
      </c>
      <c r="B128" s="7">
        <v>0</v>
      </c>
      <c r="C128" s="7">
        <v>-30668.639999999999</v>
      </c>
      <c r="D128" s="9" t="s">
        <v>227</v>
      </c>
    </row>
    <row r="129" spans="1:4" x14ac:dyDescent="0.2">
      <c r="A129" t="s">
        <v>94</v>
      </c>
      <c r="B129" s="7">
        <v>0</v>
      </c>
      <c r="C129" s="7">
        <v>0</v>
      </c>
      <c r="D129" s="9" t="s">
        <v>227</v>
      </c>
    </row>
    <row r="130" spans="1:4" x14ac:dyDescent="0.2">
      <c r="A130" t="s">
        <v>96</v>
      </c>
      <c r="B130" s="7">
        <v>0</v>
      </c>
      <c r="C130" s="7">
        <v>0</v>
      </c>
      <c r="D130" s="9" t="s">
        <v>227</v>
      </c>
    </row>
    <row r="131" spans="1:4" x14ac:dyDescent="0.2">
      <c r="A131" t="s">
        <v>98</v>
      </c>
      <c r="B131" s="7">
        <v>0</v>
      </c>
      <c r="C131" s="7">
        <v>0</v>
      </c>
      <c r="D131" s="9" t="s">
        <v>227</v>
      </c>
    </row>
    <row r="132" spans="1:4" x14ac:dyDescent="0.2">
      <c r="A132" t="s">
        <v>100</v>
      </c>
      <c r="B132" s="7">
        <v>0</v>
      </c>
      <c r="C132" s="7">
        <v>0</v>
      </c>
      <c r="D132" s="9" t="s">
        <v>227</v>
      </c>
    </row>
    <row r="134" spans="1:4" ht="15.75" x14ac:dyDescent="0.25">
      <c r="A134" s="15" t="s">
        <v>40</v>
      </c>
      <c r="B134" s="15" t="s">
        <v>196</v>
      </c>
      <c r="C134" s="16">
        <v>71715.09</v>
      </c>
      <c r="D134" s="17"/>
    </row>
    <row r="135" spans="1:4" ht="15" x14ac:dyDescent="0.25">
      <c r="A135" s="5" t="s">
        <v>82</v>
      </c>
      <c r="B135" s="5" t="s">
        <v>197</v>
      </c>
      <c r="C135" s="5" t="s">
        <v>198</v>
      </c>
      <c r="D135" s="18" t="s">
        <v>199</v>
      </c>
    </row>
    <row r="136" spans="1:4" x14ac:dyDescent="0.2">
      <c r="A136" t="s">
        <v>88</v>
      </c>
      <c r="B136" s="7">
        <v>16310.17</v>
      </c>
      <c r="C136" s="7"/>
      <c r="D136" s="9" t="s">
        <v>266</v>
      </c>
    </row>
    <row r="137" spans="1:4" x14ac:dyDescent="0.2">
      <c r="A137" t="s">
        <v>90</v>
      </c>
      <c r="B137" s="7">
        <v>16589.830000000002</v>
      </c>
      <c r="C137" s="7">
        <v>279.66000000000003</v>
      </c>
      <c r="D137" s="9" t="s">
        <v>267</v>
      </c>
    </row>
    <row r="138" spans="1:4" x14ac:dyDescent="0.2">
      <c r="A138" t="s">
        <v>92</v>
      </c>
      <c r="B138" s="7">
        <v>16484.75</v>
      </c>
      <c r="C138" s="7">
        <v>-105.08</v>
      </c>
      <c r="D138" s="9" t="s">
        <v>268</v>
      </c>
    </row>
    <row r="139" spans="1:4" x14ac:dyDescent="0.2">
      <c r="A139" t="s">
        <v>94</v>
      </c>
      <c r="B139" s="7">
        <v>14560</v>
      </c>
      <c r="C139" s="7">
        <v>-1924.75</v>
      </c>
      <c r="D139" s="9" t="s">
        <v>269</v>
      </c>
    </row>
    <row r="140" spans="1:4" x14ac:dyDescent="0.2">
      <c r="A140" t="s">
        <v>96</v>
      </c>
      <c r="B140" s="7">
        <v>7770.34</v>
      </c>
      <c r="C140" s="7">
        <v>-6789.66</v>
      </c>
      <c r="D140" s="9" t="s">
        <v>270</v>
      </c>
    </row>
    <row r="141" spans="1:4" x14ac:dyDescent="0.2">
      <c r="A141" t="s">
        <v>98</v>
      </c>
      <c r="B141" s="7">
        <v>0</v>
      </c>
      <c r="C141" s="7">
        <v>-7770.34</v>
      </c>
      <c r="D141" s="9" t="s">
        <v>227</v>
      </c>
    </row>
    <row r="142" spans="1:4" x14ac:dyDescent="0.2">
      <c r="A142" t="s">
        <v>100</v>
      </c>
      <c r="B142" s="7">
        <v>0</v>
      </c>
      <c r="C142" s="7">
        <v>0</v>
      </c>
      <c r="D142" s="9" t="s">
        <v>227</v>
      </c>
    </row>
    <row r="144" spans="1:4" ht="15.75" x14ac:dyDescent="0.25">
      <c r="A144" s="15" t="s">
        <v>42</v>
      </c>
      <c r="B144" s="15" t="s">
        <v>196</v>
      </c>
      <c r="C144" s="16">
        <v>70994</v>
      </c>
      <c r="D144" s="17"/>
    </row>
    <row r="145" spans="1:4" ht="15" x14ac:dyDescent="0.25">
      <c r="A145" s="5" t="s">
        <v>82</v>
      </c>
      <c r="B145" s="5" t="s">
        <v>197</v>
      </c>
      <c r="C145" s="5" t="s">
        <v>198</v>
      </c>
      <c r="D145" s="18" t="s">
        <v>199</v>
      </c>
    </row>
    <row r="146" spans="1:4" x14ac:dyDescent="0.2">
      <c r="A146" t="s">
        <v>88</v>
      </c>
      <c r="B146" s="7">
        <v>0</v>
      </c>
      <c r="C146" s="7"/>
      <c r="D146" s="9" t="s">
        <v>227</v>
      </c>
    </row>
    <row r="147" spans="1:4" x14ac:dyDescent="0.2">
      <c r="A147" t="s">
        <v>90</v>
      </c>
      <c r="B147" s="7">
        <v>0</v>
      </c>
      <c r="C147" s="7">
        <v>0</v>
      </c>
      <c r="D147" s="9" t="s">
        <v>227</v>
      </c>
    </row>
    <row r="148" spans="1:4" x14ac:dyDescent="0.2">
      <c r="A148" t="s">
        <v>92</v>
      </c>
      <c r="B148" s="7">
        <v>0</v>
      </c>
      <c r="C148" s="7">
        <v>0</v>
      </c>
      <c r="D148" s="9" t="s">
        <v>227</v>
      </c>
    </row>
    <row r="149" spans="1:4" x14ac:dyDescent="0.2">
      <c r="A149" t="s">
        <v>94</v>
      </c>
      <c r="B149" s="7">
        <v>0</v>
      </c>
      <c r="C149" s="7">
        <v>0</v>
      </c>
      <c r="D149" s="9" t="s">
        <v>227</v>
      </c>
    </row>
    <row r="150" spans="1:4" x14ac:dyDescent="0.2">
      <c r="A150" t="s">
        <v>96</v>
      </c>
      <c r="B150" s="7">
        <v>0</v>
      </c>
      <c r="C150" s="7">
        <v>0</v>
      </c>
      <c r="D150" s="9" t="s">
        <v>227</v>
      </c>
    </row>
    <row r="151" spans="1:4" x14ac:dyDescent="0.2">
      <c r="A151" t="s">
        <v>98</v>
      </c>
      <c r="B151" s="7">
        <v>36575</v>
      </c>
      <c r="C151" s="7">
        <v>36575</v>
      </c>
      <c r="D151" s="9" t="s">
        <v>271</v>
      </c>
    </row>
    <row r="152" spans="1:4" x14ac:dyDescent="0.2">
      <c r="A152" t="s">
        <v>100</v>
      </c>
      <c r="B152" s="7">
        <v>34419</v>
      </c>
      <c r="C152" s="7">
        <v>-2156</v>
      </c>
      <c r="D152" s="9" t="s">
        <v>272</v>
      </c>
    </row>
    <row r="154" spans="1:4" ht="15.75" x14ac:dyDescent="0.25">
      <c r="A154" s="15" t="s">
        <v>44</v>
      </c>
      <c r="B154" s="15" t="s">
        <v>196</v>
      </c>
      <c r="C154" s="16">
        <v>48216.1</v>
      </c>
      <c r="D154" s="17"/>
    </row>
    <row r="155" spans="1:4" ht="15" x14ac:dyDescent="0.25">
      <c r="A155" s="5" t="s">
        <v>82</v>
      </c>
      <c r="B155" s="5" t="s">
        <v>197</v>
      </c>
      <c r="C155" s="5" t="s">
        <v>198</v>
      </c>
      <c r="D155" s="18" t="s">
        <v>199</v>
      </c>
    </row>
    <row r="156" spans="1:4" x14ac:dyDescent="0.2">
      <c r="A156" t="s">
        <v>88</v>
      </c>
      <c r="B156" s="7">
        <v>16366.1</v>
      </c>
      <c r="C156" s="7"/>
      <c r="D156" s="9" t="s">
        <v>266</v>
      </c>
    </row>
    <row r="157" spans="1:4" x14ac:dyDescent="0.2">
      <c r="A157" t="s">
        <v>90</v>
      </c>
      <c r="B157" s="7">
        <v>16366.1</v>
      </c>
      <c r="C157" s="7">
        <v>0</v>
      </c>
      <c r="D157" s="9" t="s">
        <v>273</v>
      </c>
    </row>
    <row r="158" spans="1:4" x14ac:dyDescent="0.2">
      <c r="A158" t="s">
        <v>92</v>
      </c>
      <c r="B158" s="7">
        <v>15483.9</v>
      </c>
      <c r="C158" s="7">
        <v>-882.2</v>
      </c>
      <c r="D158" s="9" t="s">
        <v>274</v>
      </c>
    </row>
    <row r="159" spans="1:4" x14ac:dyDescent="0.2">
      <c r="A159" t="s">
        <v>94</v>
      </c>
      <c r="B159" s="7">
        <v>0</v>
      </c>
      <c r="C159" s="7">
        <v>-15483.9</v>
      </c>
      <c r="D159" s="9" t="s">
        <v>227</v>
      </c>
    </row>
    <row r="160" spans="1:4" x14ac:dyDescent="0.2">
      <c r="A160" t="s">
        <v>96</v>
      </c>
      <c r="B160" s="7">
        <v>0</v>
      </c>
      <c r="C160" s="7">
        <v>0</v>
      </c>
      <c r="D160" s="9" t="s">
        <v>227</v>
      </c>
    </row>
    <row r="161" spans="1:4" x14ac:dyDescent="0.2">
      <c r="A161" t="s">
        <v>98</v>
      </c>
      <c r="B161" s="7">
        <v>0</v>
      </c>
      <c r="C161" s="7">
        <v>0</v>
      </c>
      <c r="D161" s="9" t="s">
        <v>227</v>
      </c>
    </row>
    <row r="162" spans="1:4" x14ac:dyDescent="0.2">
      <c r="A162" t="s">
        <v>100</v>
      </c>
      <c r="B162" s="7">
        <v>0</v>
      </c>
      <c r="C162" s="7">
        <v>0</v>
      </c>
      <c r="D162" s="9" t="s">
        <v>227</v>
      </c>
    </row>
    <row r="164" spans="1:4" ht="15.75" x14ac:dyDescent="0.25">
      <c r="A164" s="15" t="s">
        <v>46</v>
      </c>
      <c r="B164" s="15" t="s">
        <v>196</v>
      </c>
      <c r="C164" s="16">
        <v>33324.57</v>
      </c>
      <c r="D164" s="17"/>
    </row>
    <row r="165" spans="1:4" ht="15" x14ac:dyDescent="0.25">
      <c r="A165" s="5" t="s">
        <v>82</v>
      </c>
      <c r="B165" s="5" t="s">
        <v>197</v>
      </c>
      <c r="C165" s="5" t="s">
        <v>198</v>
      </c>
      <c r="D165" s="18" t="s">
        <v>199</v>
      </c>
    </row>
    <row r="166" spans="1:4" x14ac:dyDescent="0.2">
      <c r="A166" t="s">
        <v>88</v>
      </c>
      <c r="B166" s="7">
        <v>0</v>
      </c>
      <c r="C166" s="7"/>
      <c r="D166" s="9" t="s">
        <v>227</v>
      </c>
    </row>
    <row r="167" spans="1:4" x14ac:dyDescent="0.2">
      <c r="A167" t="s">
        <v>90</v>
      </c>
      <c r="B167" s="7">
        <v>5292.37</v>
      </c>
      <c r="C167" s="7">
        <v>5292.37</v>
      </c>
      <c r="D167" s="9" t="s">
        <v>275</v>
      </c>
    </row>
    <row r="168" spans="1:4" x14ac:dyDescent="0.2">
      <c r="A168" t="s">
        <v>92</v>
      </c>
      <c r="B168" s="7">
        <v>17593.22</v>
      </c>
      <c r="C168" s="7">
        <v>12300.85</v>
      </c>
      <c r="D168" s="9" t="s">
        <v>276</v>
      </c>
    </row>
    <row r="169" spans="1:4" x14ac:dyDescent="0.2">
      <c r="A169" t="s">
        <v>94</v>
      </c>
      <c r="B169" s="7">
        <v>10438.98</v>
      </c>
      <c r="C169" s="7">
        <v>-7154.24</v>
      </c>
      <c r="D169" s="9" t="s">
        <v>277</v>
      </c>
    </row>
    <row r="170" spans="1:4" x14ac:dyDescent="0.2">
      <c r="A170" t="s">
        <v>96</v>
      </c>
      <c r="B170" s="7">
        <v>0</v>
      </c>
      <c r="C170" s="7">
        <v>-10438.98</v>
      </c>
      <c r="D170" s="9" t="s">
        <v>227</v>
      </c>
    </row>
    <row r="171" spans="1:4" x14ac:dyDescent="0.2">
      <c r="A171" t="s">
        <v>98</v>
      </c>
      <c r="B171" s="7">
        <v>0</v>
      </c>
      <c r="C171" s="7">
        <v>0</v>
      </c>
      <c r="D171" s="9" t="s">
        <v>227</v>
      </c>
    </row>
    <row r="172" spans="1:4" x14ac:dyDescent="0.2">
      <c r="A172" t="s">
        <v>100</v>
      </c>
      <c r="B172" s="7">
        <v>0</v>
      </c>
      <c r="C172" s="7">
        <v>0</v>
      </c>
      <c r="D172" s="9" t="s">
        <v>227</v>
      </c>
    </row>
    <row r="174" spans="1:4" ht="15.75" x14ac:dyDescent="0.25">
      <c r="A174" s="15" t="s">
        <v>48</v>
      </c>
      <c r="B174" s="15" t="s">
        <v>196</v>
      </c>
      <c r="C174" s="16">
        <v>33110</v>
      </c>
      <c r="D174" s="17"/>
    </row>
    <row r="175" spans="1:4" ht="15" x14ac:dyDescent="0.25">
      <c r="A175" s="5" t="s">
        <v>82</v>
      </c>
      <c r="B175" s="5" t="s">
        <v>197</v>
      </c>
      <c r="C175" s="5" t="s">
        <v>198</v>
      </c>
      <c r="D175" s="18" t="s">
        <v>199</v>
      </c>
    </row>
    <row r="176" spans="1:4" x14ac:dyDescent="0.2">
      <c r="A176" t="s">
        <v>88</v>
      </c>
      <c r="B176" s="7">
        <v>0</v>
      </c>
      <c r="C176" s="7"/>
      <c r="D176" s="9" t="s">
        <v>227</v>
      </c>
    </row>
    <row r="177" spans="1:4" x14ac:dyDescent="0.2">
      <c r="A177" t="s">
        <v>90</v>
      </c>
      <c r="B177" s="7">
        <v>0</v>
      </c>
      <c r="C177" s="7">
        <v>0</v>
      </c>
      <c r="D177" s="9" t="s">
        <v>227</v>
      </c>
    </row>
    <row r="178" spans="1:4" x14ac:dyDescent="0.2">
      <c r="A178" t="s">
        <v>92</v>
      </c>
      <c r="B178" s="7">
        <v>0</v>
      </c>
      <c r="C178" s="7">
        <v>0</v>
      </c>
      <c r="D178" s="9" t="s">
        <v>227</v>
      </c>
    </row>
    <row r="179" spans="1:4" x14ac:dyDescent="0.2">
      <c r="A179" t="s">
        <v>94</v>
      </c>
      <c r="B179" s="7">
        <v>0</v>
      </c>
      <c r="C179" s="7">
        <v>0</v>
      </c>
      <c r="D179" s="9" t="s">
        <v>227</v>
      </c>
    </row>
    <row r="180" spans="1:4" x14ac:dyDescent="0.2">
      <c r="A180" t="s">
        <v>96</v>
      </c>
      <c r="B180" s="7">
        <v>0</v>
      </c>
      <c r="C180" s="7">
        <v>0</v>
      </c>
      <c r="D180" s="9" t="s">
        <v>227</v>
      </c>
    </row>
    <row r="181" spans="1:4" x14ac:dyDescent="0.2">
      <c r="A181" t="s">
        <v>98</v>
      </c>
      <c r="B181" s="7">
        <v>16940</v>
      </c>
      <c r="C181" s="7">
        <v>16940</v>
      </c>
      <c r="D181" s="9" t="s">
        <v>278</v>
      </c>
    </row>
    <row r="182" spans="1:4" x14ac:dyDescent="0.2">
      <c r="A182" t="s">
        <v>100</v>
      </c>
      <c r="B182" s="7">
        <v>16170</v>
      </c>
      <c r="C182" s="7">
        <v>-770</v>
      </c>
      <c r="D182" s="9" t="s">
        <v>279</v>
      </c>
    </row>
    <row r="184" spans="1:4" ht="15.75" x14ac:dyDescent="0.25">
      <c r="A184" s="15" t="s">
        <v>50</v>
      </c>
      <c r="B184" s="15" t="s">
        <v>196</v>
      </c>
      <c r="C184" s="16">
        <v>26600</v>
      </c>
      <c r="D184" s="17"/>
    </row>
    <row r="185" spans="1:4" ht="15" x14ac:dyDescent="0.25">
      <c r="A185" s="5" t="s">
        <v>82</v>
      </c>
      <c r="B185" s="5" t="s">
        <v>197</v>
      </c>
      <c r="C185" s="5" t="s">
        <v>198</v>
      </c>
      <c r="D185" s="18" t="s">
        <v>199</v>
      </c>
    </row>
    <row r="186" spans="1:4" x14ac:dyDescent="0.2">
      <c r="A186" t="s">
        <v>88</v>
      </c>
      <c r="B186" s="7">
        <v>0</v>
      </c>
      <c r="C186" s="7"/>
      <c r="D186" s="9" t="s">
        <v>227</v>
      </c>
    </row>
    <row r="187" spans="1:4" x14ac:dyDescent="0.2">
      <c r="A187" t="s">
        <v>90</v>
      </c>
      <c r="B187" s="7">
        <v>0</v>
      </c>
      <c r="C187" s="7">
        <v>0</v>
      </c>
      <c r="D187" s="9" t="s">
        <v>227</v>
      </c>
    </row>
    <row r="188" spans="1:4" x14ac:dyDescent="0.2">
      <c r="A188" t="s">
        <v>92</v>
      </c>
      <c r="B188" s="7">
        <v>0</v>
      </c>
      <c r="C188" s="7">
        <v>0</v>
      </c>
      <c r="D188" s="9" t="s">
        <v>227</v>
      </c>
    </row>
    <row r="189" spans="1:4" x14ac:dyDescent="0.2">
      <c r="A189" t="s">
        <v>94</v>
      </c>
      <c r="B189" s="7">
        <v>0</v>
      </c>
      <c r="C189" s="7">
        <v>0</v>
      </c>
      <c r="D189" s="9" t="s">
        <v>227</v>
      </c>
    </row>
    <row r="190" spans="1:4" x14ac:dyDescent="0.2">
      <c r="A190" t="s">
        <v>96</v>
      </c>
      <c r="B190" s="7">
        <v>0</v>
      </c>
      <c r="C190" s="7">
        <v>0</v>
      </c>
      <c r="D190" s="9" t="s">
        <v>227</v>
      </c>
    </row>
    <row r="191" spans="1:4" x14ac:dyDescent="0.2">
      <c r="A191" t="s">
        <v>98</v>
      </c>
      <c r="B191" s="7">
        <v>8550</v>
      </c>
      <c r="C191" s="7">
        <v>8550</v>
      </c>
      <c r="D191" s="9" t="s">
        <v>280</v>
      </c>
    </row>
    <row r="192" spans="1:4" x14ac:dyDescent="0.2">
      <c r="A192" t="s">
        <v>100</v>
      </c>
      <c r="B192" s="7">
        <v>18050</v>
      </c>
      <c r="C192" s="7">
        <v>9500</v>
      </c>
      <c r="D192" s="9" t="s">
        <v>281</v>
      </c>
    </row>
    <row r="194" spans="1:4" ht="15.75" x14ac:dyDescent="0.25">
      <c r="A194" s="15" t="s">
        <v>52</v>
      </c>
      <c r="B194" s="15" t="s">
        <v>196</v>
      </c>
      <c r="C194" s="16">
        <v>20000</v>
      </c>
      <c r="D194" s="17"/>
    </row>
    <row r="195" spans="1:4" ht="15" x14ac:dyDescent="0.25">
      <c r="A195" s="5" t="s">
        <v>82</v>
      </c>
      <c r="B195" s="5" t="s">
        <v>197</v>
      </c>
      <c r="C195" s="5" t="s">
        <v>198</v>
      </c>
      <c r="D195" s="18" t="s">
        <v>199</v>
      </c>
    </row>
    <row r="196" spans="1:4" x14ac:dyDescent="0.2">
      <c r="A196" t="s">
        <v>88</v>
      </c>
      <c r="B196" s="7">
        <v>0</v>
      </c>
      <c r="C196" s="7"/>
      <c r="D196" s="9" t="s">
        <v>227</v>
      </c>
    </row>
    <row r="197" spans="1:4" x14ac:dyDescent="0.2">
      <c r="A197" t="s">
        <v>90</v>
      </c>
      <c r="B197" s="7">
        <v>0</v>
      </c>
      <c r="C197" s="7">
        <v>0</v>
      </c>
      <c r="D197" s="9" t="s">
        <v>227</v>
      </c>
    </row>
    <row r="198" spans="1:4" x14ac:dyDescent="0.2">
      <c r="A198" t="s">
        <v>92</v>
      </c>
      <c r="B198" s="7">
        <v>0</v>
      </c>
      <c r="C198" s="7">
        <v>0</v>
      </c>
      <c r="D198" s="9" t="s">
        <v>227</v>
      </c>
    </row>
    <row r="199" spans="1:4" x14ac:dyDescent="0.2">
      <c r="A199" t="s">
        <v>94</v>
      </c>
      <c r="B199" s="7">
        <v>0</v>
      </c>
      <c r="C199" s="7">
        <v>0</v>
      </c>
      <c r="D199" s="9" t="s">
        <v>227</v>
      </c>
    </row>
    <row r="200" spans="1:4" x14ac:dyDescent="0.2">
      <c r="A200" t="s">
        <v>96</v>
      </c>
      <c r="B200" s="7">
        <v>0</v>
      </c>
      <c r="C200" s="7">
        <v>0</v>
      </c>
      <c r="D200" s="9" t="s">
        <v>227</v>
      </c>
    </row>
    <row r="201" spans="1:4" x14ac:dyDescent="0.2">
      <c r="A201" t="s">
        <v>98</v>
      </c>
      <c r="B201" s="7">
        <v>6080</v>
      </c>
      <c r="C201" s="7">
        <v>6080</v>
      </c>
      <c r="D201" s="9" t="s">
        <v>282</v>
      </c>
    </row>
    <row r="202" spans="1:4" x14ac:dyDescent="0.2">
      <c r="A202" t="s">
        <v>100</v>
      </c>
      <c r="B202" s="7">
        <v>13920</v>
      </c>
      <c r="C202" s="7">
        <v>7840</v>
      </c>
      <c r="D202" s="9" t="s">
        <v>283</v>
      </c>
    </row>
    <row r="204" spans="1:4" ht="15.75" x14ac:dyDescent="0.25">
      <c r="A204" s="15" t="s">
        <v>54</v>
      </c>
      <c r="B204" s="15" t="s">
        <v>196</v>
      </c>
      <c r="C204" s="16">
        <v>12075.42</v>
      </c>
      <c r="D204" s="17"/>
    </row>
    <row r="205" spans="1:4" ht="15" x14ac:dyDescent="0.25">
      <c r="A205" s="5" t="s">
        <v>82</v>
      </c>
      <c r="B205" s="5" t="s">
        <v>197</v>
      </c>
      <c r="C205" s="5" t="s">
        <v>198</v>
      </c>
      <c r="D205" s="18" t="s">
        <v>199</v>
      </c>
    </row>
    <row r="206" spans="1:4" x14ac:dyDescent="0.2">
      <c r="A206" t="s">
        <v>88</v>
      </c>
      <c r="B206" s="7">
        <v>0</v>
      </c>
      <c r="C206" s="7"/>
      <c r="D206" s="9" t="s">
        <v>227</v>
      </c>
    </row>
    <row r="207" spans="1:4" x14ac:dyDescent="0.2">
      <c r="A207" t="s">
        <v>90</v>
      </c>
      <c r="B207" s="7">
        <v>0</v>
      </c>
      <c r="C207" s="7">
        <v>0</v>
      </c>
      <c r="D207" s="9" t="s">
        <v>227</v>
      </c>
    </row>
    <row r="208" spans="1:4" x14ac:dyDescent="0.2">
      <c r="A208" t="s">
        <v>92</v>
      </c>
      <c r="B208" s="7">
        <v>0</v>
      </c>
      <c r="C208" s="7">
        <v>0</v>
      </c>
      <c r="D208" s="9" t="s">
        <v>227</v>
      </c>
    </row>
    <row r="209" spans="1:4" x14ac:dyDescent="0.2">
      <c r="A209" t="s">
        <v>94</v>
      </c>
      <c r="B209" s="7">
        <v>0</v>
      </c>
      <c r="C209" s="7">
        <v>0</v>
      </c>
      <c r="D209" s="9" t="s">
        <v>227</v>
      </c>
    </row>
    <row r="210" spans="1:4" x14ac:dyDescent="0.2">
      <c r="A210" t="s">
        <v>96</v>
      </c>
      <c r="B210" s="7">
        <v>12075.42</v>
      </c>
      <c r="C210" s="7">
        <v>12075.42</v>
      </c>
      <c r="D210" s="9" t="s">
        <v>284</v>
      </c>
    </row>
    <row r="211" spans="1:4" x14ac:dyDescent="0.2">
      <c r="A211" t="s">
        <v>98</v>
      </c>
      <c r="B211" s="7">
        <v>0</v>
      </c>
      <c r="C211" s="7">
        <v>-12075.42</v>
      </c>
      <c r="D211" s="9" t="s">
        <v>227</v>
      </c>
    </row>
    <row r="212" spans="1:4" x14ac:dyDescent="0.2">
      <c r="A212" t="s">
        <v>100</v>
      </c>
      <c r="B212" s="7">
        <v>0</v>
      </c>
      <c r="C212" s="7">
        <v>0</v>
      </c>
      <c r="D212" s="9" t="s">
        <v>227</v>
      </c>
    </row>
    <row r="214" spans="1:4" ht="15.75" x14ac:dyDescent="0.25">
      <c r="A214" s="15" t="s">
        <v>56</v>
      </c>
      <c r="B214" s="15" t="s">
        <v>196</v>
      </c>
      <c r="C214" s="16">
        <v>8550</v>
      </c>
      <c r="D214" s="17"/>
    </row>
    <row r="215" spans="1:4" ht="15" x14ac:dyDescent="0.25">
      <c r="A215" s="5" t="s">
        <v>82</v>
      </c>
      <c r="B215" s="5" t="s">
        <v>197</v>
      </c>
      <c r="C215" s="5" t="s">
        <v>198</v>
      </c>
      <c r="D215" s="18" t="s">
        <v>199</v>
      </c>
    </row>
    <row r="216" spans="1:4" x14ac:dyDescent="0.2">
      <c r="A216" t="s">
        <v>88</v>
      </c>
      <c r="B216" s="7">
        <v>0</v>
      </c>
      <c r="C216" s="7"/>
      <c r="D216" s="9" t="s">
        <v>227</v>
      </c>
    </row>
    <row r="217" spans="1:4" x14ac:dyDescent="0.2">
      <c r="A217" t="s">
        <v>90</v>
      </c>
      <c r="B217" s="7">
        <v>0</v>
      </c>
      <c r="C217" s="7">
        <v>0</v>
      </c>
      <c r="D217" s="9" t="s">
        <v>227</v>
      </c>
    </row>
    <row r="218" spans="1:4" x14ac:dyDescent="0.2">
      <c r="A218" t="s">
        <v>92</v>
      </c>
      <c r="B218" s="7">
        <v>0</v>
      </c>
      <c r="C218" s="7">
        <v>0</v>
      </c>
      <c r="D218" s="9" t="s">
        <v>227</v>
      </c>
    </row>
    <row r="219" spans="1:4" x14ac:dyDescent="0.2">
      <c r="A219" t="s">
        <v>94</v>
      </c>
      <c r="B219" s="7">
        <v>0</v>
      </c>
      <c r="C219" s="7">
        <v>0</v>
      </c>
      <c r="D219" s="9" t="s">
        <v>227</v>
      </c>
    </row>
    <row r="220" spans="1:4" x14ac:dyDescent="0.2">
      <c r="A220" t="s">
        <v>96</v>
      </c>
      <c r="B220" s="7">
        <v>0</v>
      </c>
      <c r="C220" s="7">
        <v>0</v>
      </c>
      <c r="D220" s="9" t="s">
        <v>227</v>
      </c>
    </row>
    <row r="221" spans="1:4" x14ac:dyDescent="0.2">
      <c r="A221" t="s">
        <v>98</v>
      </c>
      <c r="B221" s="7">
        <v>0</v>
      </c>
      <c r="C221" s="7">
        <v>0</v>
      </c>
      <c r="D221" s="9" t="s">
        <v>227</v>
      </c>
    </row>
    <row r="222" spans="1:4" x14ac:dyDescent="0.2">
      <c r="A222" t="s">
        <v>100</v>
      </c>
      <c r="B222" s="7">
        <v>8550</v>
      </c>
      <c r="C222" s="7">
        <v>8550</v>
      </c>
      <c r="D222" s="9" t="s">
        <v>285</v>
      </c>
    </row>
    <row r="224" spans="1:4" ht="15.75" x14ac:dyDescent="0.25">
      <c r="A224" s="15" t="s">
        <v>58</v>
      </c>
      <c r="B224" s="15" t="s">
        <v>196</v>
      </c>
      <c r="C224" s="16">
        <v>8190</v>
      </c>
      <c r="D224" s="17"/>
    </row>
    <row r="225" spans="1:4" ht="15" x14ac:dyDescent="0.25">
      <c r="A225" s="5" t="s">
        <v>82</v>
      </c>
      <c r="B225" s="5" t="s">
        <v>197</v>
      </c>
      <c r="C225" s="5" t="s">
        <v>198</v>
      </c>
      <c r="D225" s="18" t="s">
        <v>199</v>
      </c>
    </row>
    <row r="226" spans="1:4" x14ac:dyDescent="0.2">
      <c r="A226" t="s">
        <v>88</v>
      </c>
      <c r="B226" s="7">
        <v>8190</v>
      </c>
      <c r="C226" s="7"/>
      <c r="D226" s="9" t="s">
        <v>286</v>
      </c>
    </row>
    <row r="227" spans="1:4" x14ac:dyDescent="0.2">
      <c r="A227" t="s">
        <v>90</v>
      </c>
      <c r="B227" s="7">
        <v>0</v>
      </c>
      <c r="C227" s="7">
        <v>-8190</v>
      </c>
      <c r="D227" s="9" t="s">
        <v>227</v>
      </c>
    </row>
    <row r="228" spans="1:4" x14ac:dyDescent="0.2">
      <c r="A228" t="s">
        <v>92</v>
      </c>
      <c r="B228" s="7">
        <v>0</v>
      </c>
      <c r="C228" s="7">
        <v>0</v>
      </c>
      <c r="D228" s="9" t="s">
        <v>227</v>
      </c>
    </row>
    <row r="229" spans="1:4" x14ac:dyDescent="0.2">
      <c r="A229" t="s">
        <v>94</v>
      </c>
      <c r="B229" s="7">
        <v>0</v>
      </c>
      <c r="C229" s="7">
        <v>0</v>
      </c>
      <c r="D229" s="9" t="s">
        <v>227</v>
      </c>
    </row>
    <row r="230" spans="1:4" x14ac:dyDescent="0.2">
      <c r="A230" t="s">
        <v>96</v>
      </c>
      <c r="B230" s="7">
        <v>0</v>
      </c>
      <c r="C230" s="7">
        <v>0</v>
      </c>
      <c r="D230" s="9" t="s">
        <v>227</v>
      </c>
    </row>
    <row r="231" spans="1:4" x14ac:dyDescent="0.2">
      <c r="A231" t="s">
        <v>98</v>
      </c>
      <c r="B231" s="7">
        <v>0</v>
      </c>
      <c r="C231" s="7">
        <v>0</v>
      </c>
      <c r="D231" s="9" t="s">
        <v>227</v>
      </c>
    </row>
    <row r="232" spans="1:4" x14ac:dyDescent="0.2">
      <c r="A232" t="s">
        <v>100</v>
      </c>
      <c r="B232" s="7">
        <v>0</v>
      </c>
      <c r="C232" s="7">
        <v>0</v>
      </c>
      <c r="D232" s="9" t="s">
        <v>227</v>
      </c>
    </row>
    <row r="234" spans="1:4" ht="15.75" x14ac:dyDescent="0.25">
      <c r="A234" s="15" t="s">
        <v>60</v>
      </c>
      <c r="B234" s="15" t="s">
        <v>196</v>
      </c>
      <c r="C234" s="16">
        <v>6930</v>
      </c>
      <c r="D234" s="17"/>
    </row>
    <row r="235" spans="1:4" ht="15" x14ac:dyDescent="0.25">
      <c r="A235" s="5" t="s">
        <v>82</v>
      </c>
      <c r="B235" s="5" t="s">
        <v>197</v>
      </c>
      <c r="C235" s="5" t="s">
        <v>198</v>
      </c>
      <c r="D235" s="18" t="s">
        <v>199</v>
      </c>
    </row>
    <row r="236" spans="1:4" x14ac:dyDescent="0.2">
      <c r="A236" t="s">
        <v>88</v>
      </c>
      <c r="B236" s="7">
        <v>0</v>
      </c>
      <c r="C236" s="7"/>
      <c r="D236" s="9" t="s">
        <v>227</v>
      </c>
    </row>
    <row r="237" spans="1:4" x14ac:dyDescent="0.2">
      <c r="A237" t="s">
        <v>90</v>
      </c>
      <c r="B237" s="7">
        <v>0</v>
      </c>
      <c r="C237" s="7">
        <v>0</v>
      </c>
      <c r="D237" s="9" t="s">
        <v>227</v>
      </c>
    </row>
    <row r="238" spans="1:4" x14ac:dyDescent="0.2">
      <c r="A238" t="s">
        <v>92</v>
      </c>
      <c r="B238" s="7">
        <v>0</v>
      </c>
      <c r="C238" s="7">
        <v>0</v>
      </c>
      <c r="D238" s="9" t="s">
        <v>227</v>
      </c>
    </row>
    <row r="239" spans="1:4" x14ac:dyDescent="0.2">
      <c r="A239" t="s">
        <v>94</v>
      </c>
      <c r="B239" s="7">
        <v>0</v>
      </c>
      <c r="C239" s="7">
        <v>0</v>
      </c>
      <c r="D239" s="9" t="s">
        <v>227</v>
      </c>
    </row>
    <row r="240" spans="1:4" x14ac:dyDescent="0.2">
      <c r="A240" t="s">
        <v>96</v>
      </c>
      <c r="B240" s="7">
        <v>0</v>
      </c>
      <c r="C240" s="7">
        <v>0</v>
      </c>
      <c r="D240" s="9" t="s">
        <v>227</v>
      </c>
    </row>
    <row r="241" spans="1:4" x14ac:dyDescent="0.2">
      <c r="A241" t="s">
        <v>98</v>
      </c>
      <c r="B241" s="7">
        <v>0</v>
      </c>
      <c r="C241" s="7">
        <v>0</v>
      </c>
      <c r="D241" s="9" t="s">
        <v>227</v>
      </c>
    </row>
    <row r="242" spans="1:4" x14ac:dyDescent="0.2">
      <c r="A242" t="s">
        <v>100</v>
      </c>
      <c r="B242" s="7">
        <v>6930</v>
      </c>
      <c r="C242" s="7">
        <v>6930</v>
      </c>
      <c r="D242" s="9" t="s">
        <v>287</v>
      </c>
    </row>
    <row r="244" spans="1:4" ht="15.75" x14ac:dyDescent="0.25">
      <c r="A244" s="15" t="s">
        <v>62</v>
      </c>
      <c r="B244" s="15" t="s">
        <v>196</v>
      </c>
      <c r="C244" s="16">
        <v>5839.83</v>
      </c>
      <c r="D244" s="17"/>
    </row>
    <row r="245" spans="1:4" ht="15" x14ac:dyDescent="0.25">
      <c r="A245" s="5" t="s">
        <v>82</v>
      </c>
      <c r="B245" s="5" t="s">
        <v>197</v>
      </c>
      <c r="C245" s="5" t="s">
        <v>198</v>
      </c>
      <c r="D245" s="18" t="s">
        <v>199</v>
      </c>
    </row>
    <row r="246" spans="1:4" x14ac:dyDescent="0.2">
      <c r="A246" t="s">
        <v>88</v>
      </c>
      <c r="B246" s="7">
        <v>5839.83</v>
      </c>
      <c r="C246" s="7"/>
      <c r="D246" s="9" t="s">
        <v>288</v>
      </c>
    </row>
    <row r="247" spans="1:4" x14ac:dyDescent="0.2">
      <c r="A247" t="s">
        <v>90</v>
      </c>
      <c r="B247" s="7">
        <v>0</v>
      </c>
      <c r="C247" s="7">
        <v>-5839.83</v>
      </c>
      <c r="D247" s="9" t="s">
        <v>227</v>
      </c>
    </row>
    <row r="248" spans="1:4" x14ac:dyDescent="0.2">
      <c r="A248" t="s">
        <v>92</v>
      </c>
      <c r="B248" s="7">
        <v>0</v>
      </c>
      <c r="C248" s="7">
        <v>0</v>
      </c>
      <c r="D248" s="9" t="s">
        <v>227</v>
      </c>
    </row>
    <row r="249" spans="1:4" x14ac:dyDescent="0.2">
      <c r="A249" t="s">
        <v>94</v>
      </c>
      <c r="B249" s="7">
        <v>0</v>
      </c>
      <c r="C249" s="7">
        <v>0</v>
      </c>
      <c r="D249" s="9" t="s">
        <v>227</v>
      </c>
    </row>
    <row r="250" spans="1:4" x14ac:dyDescent="0.2">
      <c r="A250" t="s">
        <v>96</v>
      </c>
      <c r="B250" s="7">
        <v>0</v>
      </c>
      <c r="C250" s="7">
        <v>0</v>
      </c>
      <c r="D250" s="9" t="s">
        <v>227</v>
      </c>
    </row>
    <row r="251" spans="1:4" x14ac:dyDescent="0.2">
      <c r="A251" t="s">
        <v>98</v>
      </c>
      <c r="B251" s="7">
        <v>0</v>
      </c>
      <c r="C251" s="7">
        <v>0</v>
      </c>
      <c r="D251" s="9" t="s">
        <v>227</v>
      </c>
    </row>
    <row r="252" spans="1:4" x14ac:dyDescent="0.2">
      <c r="A252" t="s">
        <v>100</v>
      </c>
      <c r="B252" s="7">
        <v>0</v>
      </c>
      <c r="C252" s="7">
        <v>0</v>
      </c>
      <c r="D252" s="9" t="s">
        <v>227</v>
      </c>
    </row>
    <row r="254" spans="1:4" ht="15.75" x14ac:dyDescent="0.25">
      <c r="A254" s="15" t="s">
        <v>64</v>
      </c>
      <c r="B254" s="15" t="s">
        <v>196</v>
      </c>
      <c r="C254" s="16">
        <v>5400</v>
      </c>
      <c r="D254" s="17"/>
    </row>
    <row r="255" spans="1:4" ht="15" x14ac:dyDescent="0.25">
      <c r="A255" s="5" t="s">
        <v>82</v>
      </c>
      <c r="B255" s="5" t="s">
        <v>197</v>
      </c>
      <c r="C255" s="5" t="s">
        <v>198</v>
      </c>
      <c r="D255" s="18" t="s">
        <v>199</v>
      </c>
    </row>
    <row r="256" spans="1:4" x14ac:dyDescent="0.2">
      <c r="A256" t="s">
        <v>88</v>
      </c>
      <c r="B256" s="7">
        <v>5400</v>
      </c>
      <c r="C256" s="7"/>
      <c r="D256" s="9" t="s">
        <v>289</v>
      </c>
    </row>
    <row r="257" spans="1:4" x14ac:dyDescent="0.2">
      <c r="A257" t="s">
        <v>90</v>
      </c>
      <c r="B257" s="7">
        <v>0</v>
      </c>
      <c r="C257" s="7">
        <v>-5400</v>
      </c>
      <c r="D257" s="9" t="s">
        <v>227</v>
      </c>
    </row>
    <row r="258" spans="1:4" x14ac:dyDescent="0.2">
      <c r="A258" t="s">
        <v>92</v>
      </c>
      <c r="B258" s="7">
        <v>0</v>
      </c>
      <c r="C258" s="7">
        <v>0</v>
      </c>
      <c r="D258" s="9" t="s">
        <v>227</v>
      </c>
    </row>
    <row r="259" spans="1:4" x14ac:dyDescent="0.2">
      <c r="A259" t="s">
        <v>94</v>
      </c>
      <c r="B259" s="7">
        <v>0</v>
      </c>
      <c r="C259" s="7">
        <v>0</v>
      </c>
      <c r="D259" s="9" t="s">
        <v>227</v>
      </c>
    </row>
    <row r="260" spans="1:4" x14ac:dyDescent="0.2">
      <c r="A260" t="s">
        <v>96</v>
      </c>
      <c r="B260" s="7">
        <v>0</v>
      </c>
      <c r="C260" s="7">
        <v>0</v>
      </c>
      <c r="D260" s="9" t="s">
        <v>227</v>
      </c>
    </row>
    <row r="261" spans="1:4" x14ac:dyDescent="0.2">
      <c r="A261" t="s">
        <v>98</v>
      </c>
      <c r="B261" s="7">
        <v>0</v>
      </c>
      <c r="C261" s="7">
        <v>0</v>
      </c>
      <c r="D261" s="9" t="s">
        <v>227</v>
      </c>
    </row>
    <row r="262" spans="1:4" x14ac:dyDescent="0.2">
      <c r="A262" t="s">
        <v>100</v>
      </c>
      <c r="B262" s="7">
        <v>0</v>
      </c>
      <c r="C262" s="7">
        <v>0</v>
      </c>
      <c r="D262" s="9" t="s">
        <v>227</v>
      </c>
    </row>
    <row r="264" spans="1:4" ht="15.75" x14ac:dyDescent="0.25">
      <c r="A264" s="15" t="s">
        <v>66</v>
      </c>
      <c r="B264" s="15" t="s">
        <v>196</v>
      </c>
      <c r="C264" s="16">
        <v>3500</v>
      </c>
      <c r="D264" s="17"/>
    </row>
    <row r="265" spans="1:4" ht="15" x14ac:dyDescent="0.25">
      <c r="A265" s="5" t="s">
        <v>82</v>
      </c>
      <c r="B265" s="5" t="s">
        <v>197</v>
      </c>
      <c r="C265" s="5" t="s">
        <v>198</v>
      </c>
      <c r="D265" s="18" t="s">
        <v>199</v>
      </c>
    </row>
    <row r="266" spans="1:4" x14ac:dyDescent="0.2">
      <c r="A266" t="s">
        <v>88</v>
      </c>
      <c r="B266" s="7">
        <v>0</v>
      </c>
      <c r="C266" s="7"/>
      <c r="D266" s="9" t="s">
        <v>227</v>
      </c>
    </row>
    <row r="267" spans="1:4" x14ac:dyDescent="0.2">
      <c r="A267" t="s">
        <v>90</v>
      </c>
      <c r="B267" s="7">
        <v>0</v>
      </c>
      <c r="C267" s="7">
        <v>0</v>
      </c>
      <c r="D267" s="9" t="s">
        <v>227</v>
      </c>
    </row>
    <row r="268" spans="1:4" x14ac:dyDescent="0.2">
      <c r="A268" t="s">
        <v>92</v>
      </c>
      <c r="B268" s="7">
        <v>0</v>
      </c>
      <c r="C268" s="7">
        <v>0</v>
      </c>
      <c r="D268" s="9" t="s">
        <v>227</v>
      </c>
    </row>
    <row r="269" spans="1:4" x14ac:dyDescent="0.2">
      <c r="A269" t="s">
        <v>94</v>
      </c>
      <c r="B269" s="7">
        <v>3500</v>
      </c>
      <c r="C269" s="7">
        <v>3500</v>
      </c>
      <c r="D269" s="9" t="s">
        <v>284</v>
      </c>
    </row>
    <row r="270" spans="1:4" x14ac:dyDescent="0.2">
      <c r="A270" t="s">
        <v>96</v>
      </c>
      <c r="B270" s="7">
        <v>0</v>
      </c>
      <c r="C270" s="7">
        <v>-3500</v>
      </c>
      <c r="D270" s="9" t="s">
        <v>227</v>
      </c>
    </row>
    <row r="271" spans="1:4" x14ac:dyDescent="0.2">
      <c r="A271" t="s">
        <v>98</v>
      </c>
      <c r="B271" s="7">
        <v>0</v>
      </c>
      <c r="C271" s="7">
        <v>0</v>
      </c>
      <c r="D271" s="9" t="s">
        <v>227</v>
      </c>
    </row>
    <row r="272" spans="1:4" x14ac:dyDescent="0.2">
      <c r="A272" t="s">
        <v>100</v>
      </c>
      <c r="B272" s="7">
        <v>0</v>
      </c>
      <c r="C272" s="7">
        <v>0</v>
      </c>
      <c r="D272" s="9" t="s">
        <v>227</v>
      </c>
    </row>
    <row r="274" spans="1:4" ht="15.75" x14ac:dyDescent="0.25">
      <c r="A274" s="15" t="s">
        <v>68</v>
      </c>
      <c r="B274" s="15" t="s">
        <v>196</v>
      </c>
      <c r="C274" s="16">
        <v>2137.29</v>
      </c>
      <c r="D274" s="17"/>
    </row>
    <row r="275" spans="1:4" ht="15" x14ac:dyDescent="0.25">
      <c r="A275" s="5" t="s">
        <v>82</v>
      </c>
      <c r="B275" s="5" t="s">
        <v>197</v>
      </c>
      <c r="C275" s="5" t="s">
        <v>198</v>
      </c>
      <c r="D275" s="18" t="s">
        <v>199</v>
      </c>
    </row>
    <row r="276" spans="1:4" x14ac:dyDescent="0.2">
      <c r="A276" t="s">
        <v>88</v>
      </c>
      <c r="B276" s="7">
        <v>0</v>
      </c>
      <c r="C276" s="7"/>
      <c r="D276" s="9" t="s">
        <v>227</v>
      </c>
    </row>
    <row r="277" spans="1:4" x14ac:dyDescent="0.2">
      <c r="A277" t="s">
        <v>90</v>
      </c>
      <c r="B277" s="7">
        <v>0</v>
      </c>
      <c r="C277" s="7">
        <v>0</v>
      </c>
      <c r="D277" s="9" t="s">
        <v>227</v>
      </c>
    </row>
    <row r="278" spans="1:4" x14ac:dyDescent="0.2">
      <c r="A278" t="s">
        <v>92</v>
      </c>
      <c r="B278" s="7">
        <v>0</v>
      </c>
      <c r="C278" s="7">
        <v>0</v>
      </c>
      <c r="D278" s="9" t="s">
        <v>227</v>
      </c>
    </row>
    <row r="279" spans="1:4" x14ac:dyDescent="0.2">
      <c r="A279" t="s">
        <v>94</v>
      </c>
      <c r="B279" s="7">
        <v>2137.29</v>
      </c>
      <c r="C279" s="7">
        <v>2137.29</v>
      </c>
      <c r="D279" s="9" t="s">
        <v>284</v>
      </c>
    </row>
    <row r="280" spans="1:4" x14ac:dyDescent="0.2">
      <c r="A280" t="s">
        <v>96</v>
      </c>
      <c r="B280" s="7">
        <v>0</v>
      </c>
      <c r="C280" s="7">
        <v>-2137.29</v>
      </c>
      <c r="D280" s="9" t="s">
        <v>227</v>
      </c>
    </row>
    <row r="281" spans="1:4" x14ac:dyDescent="0.2">
      <c r="A281" t="s">
        <v>98</v>
      </c>
      <c r="B281" s="7">
        <v>0</v>
      </c>
      <c r="C281" s="7">
        <v>0</v>
      </c>
      <c r="D281" s="9" t="s">
        <v>227</v>
      </c>
    </row>
    <row r="282" spans="1:4" x14ac:dyDescent="0.2">
      <c r="A282" t="s">
        <v>100</v>
      </c>
      <c r="B282" s="7">
        <v>0</v>
      </c>
      <c r="C282" s="7">
        <v>0</v>
      </c>
      <c r="D282" s="9" t="s">
        <v>227</v>
      </c>
    </row>
    <row r="284" spans="1:4" ht="15.75" x14ac:dyDescent="0.25">
      <c r="A284" s="15" t="s">
        <v>69</v>
      </c>
      <c r="B284" s="15" t="s">
        <v>196</v>
      </c>
      <c r="C284" s="16">
        <v>803.39</v>
      </c>
      <c r="D284" s="17"/>
    </row>
    <row r="285" spans="1:4" ht="15" x14ac:dyDescent="0.25">
      <c r="A285" s="5" t="s">
        <v>82</v>
      </c>
      <c r="B285" s="5" t="s">
        <v>197</v>
      </c>
      <c r="C285" s="5" t="s">
        <v>198</v>
      </c>
      <c r="D285" s="18" t="s">
        <v>199</v>
      </c>
    </row>
    <row r="286" spans="1:4" x14ac:dyDescent="0.2">
      <c r="A286" t="s">
        <v>88</v>
      </c>
      <c r="B286" s="7">
        <v>803.39</v>
      </c>
      <c r="C286" s="7"/>
      <c r="D286" s="9" t="s">
        <v>290</v>
      </c>
    </row>
    <row r="287" spans="1:4" x14ac:dyDescent="0.2">
      <c r="A287" t="s">
        <v>90</v>
      </c>
      <c r="B287" s="7">
        <v>0</v>
      </c>
      <c r="C287" s="7">
        <v>-803.39</v>
      </c>
      <c r="D287" s="9" t="s">
        <v>227</v>
      </c>
    </row>
    <row r="288" spans="1:4" x14ac:dyDescent="0.2">
      <c r="A288" t="s">
        <v>92</v>
      </c>
      <c r="B288" s="7">
        <v>0</v>
      </c>
      <c r="C288" s="7">
        <v>0</v>
      </c>
      <c r="D288" s="9" t="s">
        <v>227</v>
      </c>
    </row>
    <row r="289" spans="1:4" x14ac:dyDescent="0.2">
      <c r="A289" t="s">
        <v>94</v>
      </c>
      <c r="B289" s="7">
        <v>0</v>
      </c>
      <c r="C289" s="7">
        <v>0</v>
      </c>
      <c r="D289" s="9" t="s">
        <v>227</v>
      </c>
    </row>
    <row r="290" spans="1:4" x14ac:dyDescent="0.2">
      <c r="A290" t="s">
        <v>96</v>
      </c>
      <c r="B290" s="7">
        <v>0</v>
      </c>
      <c r="C290" s="7">
        <v>0</v>
      </c>
      <c r="D290" s="9" t="s">
        <v>227</v>
      </c>
    </row>
    <row r="291" spans="1:4" x14ac:dyDescent="0.2">
      <c r="A291" t="s">
        <v>98</v>
      </c>
      <c r="B291" s="7">
        <v>0</v>
      </c>
      <c r="C291" s="7">
        <v>0</v>
      </c>
      <c r="D291" s="9" t="s">
        <v>227</v>
      </c>
    </row>
    <row r="292" spans="1:4" x14ac:dyDescent="0.2">
      <c r="A292" t="s">
        <v>100</v>
      </c>
      <c r="B292" s="7">
        <v>0</v>
      </c>
      <c r="C292" s="7">
        <v>0</v>
      </c>
      <c r="D292" s="9" t="s">
        <v>227</v>
      </c>
    </row>
    <row r="294" spans="1:4" ht="15.75" x14ac:dyDescent="0.25">
      <c r="A294" s="15" t="s">
        <v>71</v>
      </c>
      <c r="B294" s="15" t="s">
        <v>196</v>
      </c>
      <c r="C294" s="16">
        <v>0</v>
      </c>
      <c r="D294" s="17"/>
    </row>
    <row r="295" spans="1:4" ht="15" x14ac:dyDescent="0.25">
      <c r="A295" s="5" t="s">
        <v>82</v>
      </c>
      <c r="B295" s="5" t="s">
        <v>197</v>
      </c>
      <c r="C295" s="5" t="s">
        <v>198</v>
      </c>
      <c r="D295" s="18" t="s">
        <v>199</v>
      </c>
    </row>
    <row r="296" spans="1:4" x14ac:dyDescent="0.2">
      <c r="A296" t="s">
        <v>88</v>
      </c>
      <c r="B296" s="7">
        <v>0</v>
      </c>
      <c r="C296" s="7"/>
      <c r="D296" s="9" t="s">
        <v>227</v>
      </c>
    </row>
    <row r="297" spans="1:4" x14ac:dyDescent="0.2">
      <c r="A297" t="s">
        <v>90</v>
      </c>
      <c r="B297" s="7">
        <v>0</v>
      </c>
      <c r="C297" s="7">
        <v>0</v>
      </c>
      <c r="D297" s="9" t="s">
        <v>227</v>
      </c>
    </row>
    <row r="298" spans="1:4" x14ac:dyDescent="0.2">
      <c r="A298" t="s">
        <v>92</v>
      </c>
      <c r="B298" s="7">
        <v>0</v>
      </c>
      <c r="C298" s="7">
        <v>0</v>
      </c>
      <c r="D298" s="9" t="s">
        <v>227</v>
      </c>
    </row>
    <row r="299" spans="1:4" x14ac:dyDescent="0.2">
      <c r="A299" t="s">
        <v>94</v>
      </c>
      <c r="B299" s="7">
        <v>0</v>
      </c>
      <c r="C299" s="7">
        <v>0</v>
      </c>
      <c r="D299" s="9" t="s">
        <v>227</v>
      </c>
    </row>
    <row r="300" spans="1:4" x14ac:dyDescent="0.2">
      <c r="A300" t="s">
        <v>96</v>
      </c>
      <c r="B300" s="7">
        <v>0</v>
      </c>
      <c r="C300" s="7">
        <v>0</v>
      </c>
      <c r="D300" s="9" t="s">
        <v>227</v>
      </c>
    </row>
    <row r="301" spans="1:4" x14ac:dyDescent="0.2">
      <c r="A301" t="s">
        <v>98</v>
      </c>
      <c r="B301" s="7">
        <v>0</v>
      </c>
      <c r="C301" s="7">
        <v>0</v>
      </c>
      <c r="D301" s="9" t="s">
        <v>227</v>
      </c>
    </row>
    <row r="302" spans="1:4" x14ac:dyDescent="0.2">
      <c r="A302" t="s">
        <v>100</v>
      </c>
      <c r="B302" s="7">
        <v>0</v>
      </c>
      <c r="C302" s="7">
        <v>0</v>
      </c>
      <c r="D302" s="9" t="s">
        <v>227</v>
      </c>
    </row>
    <row r="304" spans="1:4" ht="15.75" x14ac:dyDescent="0.25">
      <c r="A304" s="15" t="s">
        <v>73</v>
      </c>
      <c r="B304" s="15" t="s">
        <v>196</v>
      </c>
      <c r="C304" s="16">
        <v>0</v>
      </c>
      <c r="D304" s="17"/>
    </row>
    <row r="305" spans="1:4" ht="15" x14ac:dyDescent="0.25">
      <c r="A305" s="5" t="s">
        <v>82</v>
      </c>
      <c r="B305" s="5" t="s">
        <v>197</v>
      </c>
      <c r="C305" s="5" t="s">
        <v>198</v>
      </c>
      <c r="D305" s="18" t="s">
        <v>199</v>
      </c>
    </row>
    <row r="306" spans="1:4" x14ac:dyDescent="0.2">
      <c r="A306" t="s">
        <v>88</v>
      </c>
      <c r="B306" s="7">
        <v>0</v>
      </c>
      <c r="C306" s="7"/>
      <c r="D306" s="9" t="s">
        <v>227</v>
      </c>
    </row>
    <row r="307" spans="1:4" x14ac:dyDescent="0.2">
      <c r="A307" t="s">
        <v>90</v>
      </c>
      <c r="B307" s="7">
        <v>0</v>
      </c>
      <c r="C307" s="7">
        <v>0</v>
      </c>
      <c r="D307" s="9" t="s">
        <v>227</v>
      </c>
    </row>
    <row r="308" spans="1:4" x14ac:dyDescent="0.2">
      <c r="A308" t="s">
        <v>92</v>
      </c>
      <c r="B308" s="7">
        <v>0</v>
      </c>
      <c r="C308" s="7">
        <v>0</v>
      </c>
      <c r="D308" s="9" t="s">
        <v>227</v>
      </c>
    </row>
    <row r="309" spans="1:4" x14ac:dyDescent="0.2">
      <c r="A309" t="s">
        <v>94</v>
      </c>
      <c r="B309" s="7">
        <v>0</v>
      </c>
      <c r="C309" s="7">
        <v>0</v>
      </c>
      <c r="D309" s="9" t="s">
        <v>227</v>
      </c>
    </row>
    <row r="310" spans="1:4" x14ac:dyDescent="0.2">
      <c r="A310" t="s">
        <v>96</v>
      </c>
      <c r="B310" s="7">
        <v>0</v>
      </c>
      <c r="C310" s="7">
        <v>0</v>
      </c>
      <c r="D310" s="9" t="s">
        <v>227</v>
      </c>
    </row>
    <row r="311" spans="1:4" x14ac:dyDescent="0.2">
      <c r="A311" t="s">
        <v>98</v>
      </c>
      <c r="B311" s="7">
        <v>0</v>
      </c>
      <c r="C311" s="7">
        <v>0</v>
      </c>
      <c r="D311" s="9" t="s">
        <v>227</v>
      </c>
    </row>
    <row r="312" spans="1:4" x14ac:dyDescent="0.2">
      <c r="A312" t="s">
        <v>100</v>
      </c>
      <c r="B312" s="7">
        <v>0</v>
      </c>
      <c r="C312" s="7">
        <v>0</v>
      </c>
      <c r="D312" s="9" t="s">
        <v>227</v>
      </c>
    </row>
    <row r="314" spans="1:4" ht="15.75" x14ac:dyDescent="0.25">
      <c r="A314" s="15" t="s">
        <v>74</v>
      </c>
      <c r="B314" s="15" t="s">
        <v>196</v>
      </c>
      <c r="C314" s="16">
        <v>-10000</v>
      </c>
      <c r="D314" s="17"/>
    </row>
    <row r="315" spans="1:4" ht="15" x14ac:dyDescent="0.25">
      <c r="A315" s="5" t="s">
        <v>82</v>
      </c>
      <c r="B315" s="5" t="s">
        <v>197</v>
      </c>
      <c r="C315" s="5" t="s">
        <v>198</v>
      </c>
      <c r="D315" s="18" t="s">
        <v>199</v>
      </c>
    </row>
    <row r="316" spans="1:4" x14ac:dyDescent="0.2">
      <c r="A316" t="s">
        <v>88</v>
      </c>
      <c r="B316" s="7">
        <v>0</v>
      </c>
      <c r="C316" s="7"/>
      <c r="D316" s="9" t="s">
        <v>227</v>
      </c>
    </row>
    <row r="317" spans="1:4" x14ac:dyDescent="0.2">
      <c r="A317" t="s">
        <v>90</v>
      </c>
      <c r="B317" s="7">
        <v>-10000</v>
      </c>
      <c r="C317" s="7">
        <v>-10000</v>
      </c>
      <c r="D317" s="9" t="s">
        <v>291</v>
      </c>
    </row>
    <row r="318" spans="1:4" x14ac:dyDescent="0.2">
      <c r="A318" t="s">
        <v>92</v>
      </c>
      <c r="B318" s="7">
        <v>0</v>
      </c>
      <c r="C318" s="7">
        <v>10000</v>
      </c>
      <c r="D318" s="9" t="s">
        <v>227</v>
      </c>
    </row>
    <row r="319" spans="1:4" x14ac:dyDescent="0.2">
      <c r="A319" t="s">
        <v>94</v>
      </c>
      <c r="B319" s="7">
        <v>0</v>
      </c>
      <c r="C319" s="7">
        <v>0</v>
      </c>
      <c r="D319" s="9" t="s">
        <v>227</v>
      </c>
    </row>
    <row r="320" spans="1:4" x14ac:dyDescent="0.2">
      <c r="A320" t="s">
        <v>96</v>
      </c>
      <c r="B320" s="7">
        <v>0</v>
      </c>
      <c r="C320" s="7">
        <v>0</v>
      </c>
      <c r="D320" s="9" t="s">
        <v>227</v>
      </c>
    </row>
    <row r="321" spans="1:4" x14ac:dyDescent="0.2">
      <c r="A321" t="s">
        <v>98</v>
      </c>
      <c r="B321" s="7">
        <v>0</v>
      </c>
      <c r="C321" s="7">
        <v>0</v>
      </c>
      <c r="D321" s="9" t="s">
        <v>227</v>
      </c>
    </row>
    <row r="322" spans="1:4" x14ac:dyDescent="0.2">
      <c r="A322" t="s">
        <v>100</v>
      </c>
      <c r="B322" s="7">
        <v>0</v>
      </c>
      <c r="C322" s="7">
        <v>0</v>
      </c>
      <c r="D322" s="9" t="s">
        <v>227</v>
      </c>
    </row>
    <row r="324" spans="1:4" ht="15.75" x14ac:dyDescent="0.25">
      <c r="A324" s="15" t="s">
        <v>76</v>
      </c>
      <c r="B324" s="15" t="s">
        <v>196</v>
      </c>
      <c r="C324" s="16">
        <v>-17776.27</v>
      </c>
      <c r="D324" s="17"/>
    </row>
    <row r="325" spans="1:4" ht="15" x14ac:dyDescent="0.25">
      <c r="A325" s="5" t="s">
        <v>82</v>
      </c>
      <c r="B325" s="5" t="s">
        <v>197</v>
      </c>
      <c r="C325" s="5" t="s">
        <v>198</v>
      </c>
      <c r="D325" s="18" t="s">
        <v>199</v>
      </c>
    </row>
    <row r="326" spans="1:4" x14ac:dyDescent="0.2">
      <c r="A326" t="s">
        <v>88</v>
      </c>
      <c r="B326" s="7">
        <v>-8976.27</v>
      </c>
      <c r="C326" s="7"/>
      <c r="D326" s="9" t="s">
        <v>292</v>
      </c>
    </row>
    <row r="327" spans="1:4" x14ac:dyDescent="0.2">
      <c r="A327" t="s">
        <v>90</v>
      </c>
      <c r="B327" s="7">
        <v>0</v>
      </c>
      <c r="C327" s="7">
        <v>8976.27</v>
      </c>
      <c r="D327" s="9" t="s">
        <v>227</v>
      </c>
    </row>
    <row r="328" spans="1:4" x14ac:dyDescent="0.2">
      <c r="A328" t="s">
        <v>92</v>
      </c>
      <c r="B328" s="7">
        <v>0</v>
      </c>
      <c r="C328" s="7">
        <v>0</v>
      </c>
      <c r="D328" s="9" t="s">
        <v>227</v>
      </c>
    </row>
    <row r="329" spans="1:4" x14ac:dyDescent="0.2">
      <c r="A329" t="s">
        <v>94</v>
      </c>
      <c r="B329" s="7">
        <v>-8800</v>
      </c>
      <c r="C329" s="7">
        <v>-8800</v>
      </c>
      <c r="D329" s="9" t="s">
        <v>293</v>
      </c>
    </row>
    <row r="330" spans="1:4" x14ac:dyDescent="0.2">
      <c r="A330" t="s">
        <v>96</v>
      </c>
      <c r="B330" s="7">
        <v>0</v>
      </c>
      <c r="C330" s="7">
        <v>8800</v>
      </c>
      <c r="D330" s="9" t="s">
        <v>227</v>
      </c>
    </row>
    <row r="331" spans="1:4" x14ac:dyDescent="0.2">
      <c r="A331" t="s">
        <v>98</v>
      </c>
      <c r="B331" s="7">
        <v>0</v>
      </c>
      <c r="C331" s="7">
        <v>0</v>
      </c>
      <c r="D331" s="9" t="s">
        <v>227</v>
      </c>
    </row>
    <row r="332" spans="1:4" x14ac:dyDescent="0.2">
      <c r="A332" t="s">
        <v>100</v>
      </c>
      <c r="B332" s="7">
        <v>0</v>
      </c>
      <c r="C332" s="7">
        <v>0</v>
      </c>
      <c r="D332" s="9" t="s">
        <v>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C5966-14D5-41BE-AC22-182B878C8921}">
  <dimension ref="A1:F12"/>
  <sheetViews>
    <sheetView rightToLeft="1" workbookViewId="0"/>
  </sheetViews>
  <sheetFormatPr defaultRowHeight="14.25" x14ac:dyDescent="0.2"/>
  <cols>
    <col min="1" max="1" width="18.625" customWidth="1"/>
    <col min="2" max="2" width="15.625" customWidth="1"/>
    <col min="3" max="3" width="14.625" customWidth="1"/>
    <col min="4" max="4" width="12.625" customWidth="1"/>
    <col min="5" max="5" width="18.625" customWidth="1"/>
    <col min="6" max="6" width="100.625" customWidth="1"/>
  </cols>
  <sheetData>
    <row r="1" spans="1:6" ht="20.25" x14ac:dyDescent="0.3">
      <c r="A1" s="1" t="s">
        <v>80</v>
      </c>
    </row>
    <row r="2" spans="1:6" x14ac:dyDescent="0.2">
      <c r="A2" s="2" t="s">
        <v>81</v>
      </c>
    </row>
    <row r="4" spans="1:6" ht="15" x14ac:dyDescent="0.25">
      <c r="A4" s="4" t="s">
        <v>82</v>
      </c>
      <c r="B4" s="4" t="s">
        <v>83</v>
      </c>
      <c r="C4" s="4" t="s">
        <v>84</v>
      </c>
      <c r="D4" s="4" t="s">
        <v>85</v>
      </c>
      <c r="E4" s="4" t="s">
        <v>86</v>
      </c>
      <c r="F4" s="4" t="s">
        <v>87</v>
      </c>
    </row>
    <row r="5" spans="1:6" ht="28.5" x14ac:dyDescent="0.2">
      <c r="A5" t="s">
        <v>88</v>
      </c>
      <c r="B5" s="7">
        <v>583854.4</v>
      </c>
      <c r="C5" s="7"/>
      <c r="E5">
        <v>16</v>
      </c>
      <c r="F5" s="9" t="s">
        <v>89</v>
      </c>
    </row>
    <row r="6" spans="1:6" ht="28.5" x14ac:dyDescent="0.2">
      <c r="A6" t="s">
        <v>90</v>
      </c>
      <c r="B6" s="7">
        <v>342085.06</v>
      </c>
      <c r="C6" s="7">
        <f t="shared" ref="C6:C11" si="0">B6-B5</f>
        <v>-241769.34000000003</v>
      </c>
      <c r="D6" s="6">
        <f t="shared" ref="D6:D11" si="1">B6/B5-1</f>
        <v>-0.41409183522467252</v>
      </c>
      <c r="E6">
        <v>12</v>
      </c>
      <c r="F6" s="9" t="s">
        <v>91</v>
      </c>
    </row>
    <row r="7" spans="1:6" ht="28.5" x14ac:dyDescent="0.2">
      <c r="A7" t="s">
        <v>92</v>
      </c>
      <c r="B7" s="7">
        <v>510652.54</v>
      </c>
      <c r="C7" s="7">
        <f t="shared" si="0"/>
        <v>168567.47999999998</v>
      </c>
      <c r="D7" s="6">
        <f t="shared" si="1"/>
        <v>0.49276481118468007</v>
      </c>
      <c r="E7">
        <v>11</v>
      </c>
      <c r="F7" s="9" t="s">
        <v>93</v>
      </c>
    </row>
    <row r="8" spans="1:6" ht="28.5" x14ac:dyDescent="0.2">
      <c r="A8" t="s">
        <v>94</v>
      </c>
      <c r="B8" s="7">
        <v>388825.63</v>
      </c>
      <c r="C8" s="7">
        <f t="shared" si="0"/>
        <v>-121826.90999999997</v>
      </c>
      <c r="D8" s="6">
        <f t="shared" si="1"/>
        <v>-0.23857104480475111</v>
      </c>
      <c r="E8">
        <v>13</v>
      </c>
      <c r="F8" s="9" t="s">
        <v>95</v>
      </c>
    </row>
    <row r="9" spans="1:6" ht="28.5" x14ac:dyDescent="0.2">
      <c r="A9" t="s">
        <v>96</v>
      </c>
      <c r="B9" s="7">
        <v>386459.31</v>
      </c>
      <c r="C9" s="7">
        <f t="shared" si="0"/>
        <v>-2366.320000000007</v>
      </c>
      <c r="D9" s="6">
        <f t="shared" si="1"/>
        <v>-6.0858128102306841E-3</v>
      </c>
      <c r="E9">
        <v>8</v>
      </c>
      <c r="F9" s="9" t="s">
        <v>97</v>
      </c>
    </row>
    <row r="10" spans="1:6" ht="42.75" x14ac:dyDescent="0.2">
      <c r="A10" t="s">
        <v>98</v>
      </c>
      <c r="B10" s="7">
        <v>752110.25</v>
      </c>
      <c r="C10" s="7">
        <f t="shared" si="0"/>
        <v>365650.94</v>
      </c>
      <c r="D10" s="6">
        <f t="shared" si="1"/>
        <v>0.94615637542798492</v>
      </c>
      <c r="E10">
        <v>14</v>
      </c>
      <c r="F10" s="9" t="s">
        <v>99</v>
      </c>
    </row>
    <row r="11" spans="1:6" ht="57" x14ac:dyDescent="0.2">
      <c r="A11" t="s">
        <v>100</v>
      </c>
      <c r="B11" s="7">
        <v>1068020.47</v>
      </c>
      <c r="C11" s="7">
        <f t="shared" si="0"/>
        <v>315910.21999999997</v>
      </c>
      <c r="D11" s="6">
        <f t="shared" si="1"/>
        <v>0.42003179719994499</v>
      </c>
      <c r="E11">
        <v>17</v>
      </c>
      <c r="F11" s="9" t="s">
        <v>101</v>
      </c>
    </row>
    <row r="12" spans="1:6" ht="15" x14ac:dyDescent="0.25">
      <c r="A12" s="3" t="s">
        <v>10</v>
      </c>
      <c r="B12" s="10">
        <f>SUM(B5:B11)</f>
        <v>4032007.66</v>
      </c>
      <c r="C12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C402E-E785-4674-90FB-DAF474E04329}">
  <dimension ref="A1:I151"/>
  <sheetViews>
    <sheetView rightToLeft="1" workbookViewId="0"/>
  </sheetViews>
  <sheetFormatPr defaultRowHeight="14.25" x14ac:dyDescent="0.2"/>
  <cols>
    <col min="1" max="1" width="12.625" customWidth="1"/>
    <col min="2" max="2" width="13.625" customWidth="1"/>
    <col min="3" max="3" width="18.625" customWidth="1"/>
    <col min="4" max="4" width="34.625" customWidth="1"/>
    <col min="5" max="5" width="42.625" customWidth="1"/>
    <col min="6" max="9" width="16.625" customWidth="1"/>
  </cols>
  <sheetData>
    <row r="1" spans="1:9" ht="15" x14ac:dyDescent="0.25">
      <c r="A1" s="4" t="s">
        <v>102</v>
      </c>
      <c r="B1" s="4" t="s">
        <v>103</v>
      </c>
      <c r="C1" s="4" t="s">
        <v>104</v>
      </c>
      <c r="D1" s="4" t="s">
        <v>2</v>
      </c>
      <c r="E1" s="4" t="s">
        <v>105</v>
      </c>
      <c r="F1" s="4" t="s">
        <v>106</v>
      </c>
      <c r="G1" s="4" t="s">
        <v>107</v>
      </c>
      <c r="H1" s="4" t="s">
        <v>108</v>
      </c>
      <c r="I1" s="4" t="s">
        <v>109</v>
      </c>
    </row>
    <row r="2" spans="1:9" x14ac:dyDescent="0.2">
      <c r="A2">
        <v>50268</v>
      </c>
      <c r="B2" s="11">
        <v>46024</v>
      </c>
      <c r="C2" t="s">
        <v>110</v>
      </c>
      <c r="D2" t="s">
        <v>14</v>
      </c>
      <c r="E2" t="s">
        <v>111</v>
      </c>
      <c r="F2" s="12">
        <v>163502</v>
      </c>
      <c r="G2" s="12">
        <v>24940.98</v>
      </c>
      <c r="H2" s="12">
        <v>138561.01999999999</v>
      </c>
      <c r="I2" t="s">
        <v>88</v>
      </c>
    </row>
    <row r="3" spans="1:9" x14ac:dyDescent="0.2">
      <c r="A3">
        <v>50267</v>
      </c>
      <c r="B3" s="11">
        <v>46024</v>
      </c>
      <c r="C3" t="s">
        <v>110</v>
      </c>
      <c r="D3" t="s">
        <v>44</v>
      </c>
      <c r="E3" t="s">
        <v>111</v>
      </c>
      <c r="F3" s="12">
        <v>19312</v>
      </c>
      <c r="G3" s="12">
        <v>2945.9</v>
      </c>
      <c r="H3" s="12">
        <v>16366.1</v>
      </c>
      <c r="I3" t="s">
        <v>88</v>
      </c>
    </row>
    <row r="4" spans="1:9" x14ac:dyDescent="0.2">
      <c r="A4">
        <v>50266</v>
      </c>
      <c r="B4" s="11">
        <v>46024</v>
      </c>
      <c r="C4" t="s">
        <v>110</v>
      </c>
      <c r="D4" t="s">
        <v>76</v>
      </c>
      <c r="E4" t="s">
        <v>112</v>
      </c>
      <c r="F4" s="12">
        <v>10384</v>
      </c>
      <c r="G4" s="12">
        <v>1584</v>
      </c>
      <c r="H4" s="12">
        <v>8800</v>
      </c>
      <c r="I4" t="s">
        <v>88</v>
      </c>
    </row>
    <row r="5" spans="1:9" x14ac:dyDescent="0.2">
      <c r="A5">
        <v>50269</v>
      </c>
      <c r="B5" s="11">
        <v>46024</v>
      </c>
      <c r="C5" t="s">
        <v>110</v>
      </c>
      <c r="D5" t="s">
        <v>69</v>
      </c>
      <c r="E5" t="s">
        <v>112</v>
      </c>
      <c r="F5" s="12">
        <v>9562</v>
      </c>
      <c r="G5" s="12">
        <v>1458.61</v>
      </c>
      <c r="H5" s="12">
        <v>8103.39</v>
      </c>
      <c r="I5" t="s">
        <v>88</v>
      </c>
    </row>
    <row r="6" spans="1:9" x14ac:dyDescent="0.2">
      <c r="A6">
        <v>50271</v>
      </c>
      <c r="B6" s="11">
        <v>46024</v>
      </c>
      <c r="C6" t="s">
        <v>110</v>
      </c>
      <c r="D6" t="s">
        <v>62</v>
      </c>
      <c r="E6" t="s">
        <v>112</v>
      </c>
      <c r="F6" s="12">
        <v>8786</v>
      </c>
      <c r="G6" s="12">
        <v>1340.24</v>
      </c>
      <c r="H6" s="12">
        <v>7445.76</v>
      </c>
      <c r="I6" t="s">
        <v>88</v>
      </c>
    </row>
    <row r="7" spans="1:9" x14ac:dyDescent="0.2">
      <c r="A7">
        <v>50270</v>
      </c>
      <c r="B7" s="11">
        <v>46024</v>
      </c>
      <c r="C7" t="s">
        <v>110</v>
      </c>
      <c r="D7" t="s">
        <v>69</v>
      </c>
      <c r="E7" t="s">
        <v>112</v>
      </c>
      <c r="F7" s="12">
        <v>948</v>
      </c>
      <c r="G7" s="12">
        <v>144.61000000000001</v>
      </c>
      <c r="H7" s="12">
        <v>803.39</v>
      </c>
      <c r="I7" t="s">
        <v>88</v>
      </c>
    </row>
    <row r="8" spans="1:9" x14ac:dyDescent="0.2">
      <c r="A8">
        <v>70080</v>
      </c>
      <c r="B8" s="11">
        <v>46024</v>
      </c>
      <c r="C8" t="s">
        <v>113</v>
      </c>
      <c r="D8" t="s">
        <v>69</v>
      </c>
      <c r="E8" t="s">
        <v>112</v>
      </c>
      <c r="F8" s="12">
        <v>-9562</v>
      </c>
      <c r="G8" s="12">
        <v>-1458.61</v>
      </c>
      <c r="H8" s="12">
        <v>-8103.39</v>
      </c>
      <c r="I8" t="s">
        <v>88</v>
      </c>
    </row>
    <row r="9" spans="1:9" x14ac:dyDescent="0.2">
      <c r="A9">
        <v>50265</v>
      </c>
      <c r="B9" s="11">
        <v>46024</v>
      </c>
      <c r="C9" t="s">
        <v>110</v>
      </c>
      <c r="D9" t="s">
        <v>38</v>
      </c>
      <c r="E9" t="s">
        <v>112</v>
      </c>
      <c r="F9" s="12">
        <v>51330</v>
      </c>
      <c r="G9" s="12">
        <v>7830</v>
      </c>
      <c r="H9" s="12">
        <v>43500</v>
      </c>
      <c r="I9" t="s">
        <v>88</v>
      </c>
    </row>
    <row r="10" spans="1:9" x14ac:dyDescent="0.2">
      <c r="A10">
        <v>50260</v>
      </c>
      <c r="B10" s="11">
        <v>46024</v>
      </c>
      <c r="C10" t="s">
        <v>110</v>
      </c>
      <c r="D10" t="s">
        <v>64</v>
      </c>
      <c r="E10" t="s">
        <v>112</v>
      </c>
      <c r="F10" s="12">
        <v>6372</v>
      </c>
      <c r="G10" s="12">
        <v>972</v>
      </c>
      <c r="H10" s="12">
        <v>5400</v>
      </c>
      <c r="I10" t="s">
        <v>88</v>
      </c>
    </row>
    <row r="11" spans="1:9" x14ac:dyDescent="0.2">
      <c r="A11">
        <v>50259</v>
      </c>
      <c r="B11" s="11">
        <v>46024</v>
      </c>
      <c r="C11" t="s">
        <v>110</v>
      </c>
      <c r="D11" t="s">
        <v>58</v>
      </c>
      <c r="E11" t="s">
        <v>112</v>
      </c>
      <c r="F11" s="12">
        <v>9664.2000000000007</v>
      </c>
      <c r="G11" s="12">
        <v>1474.2</v>
      </c>
      <c r="H11" s="12">
        <v>8190</v>
      </c>
      <c r="I11" t="s">
        <v>88</v>
      </c>
    </row>
    <row r="12" spans="1:9" x14ac:dyDescent="0.2">
      <c r="A12">
        <v>50258</v>
      </c>
      <c r="B12" s="11">
        <v>46024</v>
      </c>
      <c r="C12" t="s">
        <v>110</v>
      </c>
      <c r="D12" t="s">
        <v>114</v>
      </c>
      <c r="E12" t="s">
        <v>112</v>
      </c>
      <c r="F12" s="12">
        <v>23600</v>
      </c>
      <c r="G12" s="12">
        <v>3600</v>
      </c>
      <c r="H12" s="12">
        <v>20000</v>
      </c>
      <c r="I12" t="s">
        <v>88</v>
      </c>
    </row>
    <row r="13" spans="1:9" x14ac:dyDescent="0.2">
      <c r="A13">
        <v>50261</v>
      </c>
      <c r="B13" s="11">
        <v>46024</v>
      </c>
      <c r="C13" t="s">
        <v>110</v>
      </c>
      <c r="D13" t="s">
        <v>115</v>
      </c>
      <c r="E13" t="s">
        <v>112</v>
      </c>
      <c r="F13" s="12">
        <v>13570</v>
      </c>
      <c r="G13" s="12">
        <v>2070</v>
      </c>
      <c r="H13" s="12">
        <v>11500</v>
      </c>
      <c r="I13" t="s">
        <v>88</v>
      </c>
    </row>
    <row r="14" spans="1:9" x14ac:dyDescent="0.2">
      <c r="A14">
        <v>50264</v>
      </c>
      <c r="B14" s="11">
        <v>46024</v>
      </c>
      <c r="C14" t="s">
        <v>110</v>
      </c>
      <c r="D14" t="s">
        <v>40</v>
      </c>
      <c r="E14" t="s">
        <v>112</v>
      </c>
      <c r="F14" s="12">
        <v>19246</v>
      </c>
      <c r="G14" s="12">
        <v>2935.83</v>
      </c>
      <c r="H14" s="12">
        <v>16310.17</v>
      </c>
      <c r="I14" t="s">
        <v>88</v>
      </c>
    </row>
    <row r="15" spans="1:9" x14ac:dyDescent="0.2">
      <c r="A15">
        <v>50263</v>
      </c>
      <c r="B15" s="11">
        <v>46024</v>
      </c>
      <c r="C15" t="s">
        <v>110</v>
      </c>
      <c r="D15" t="s">
        <v>115</v>
      </c>
      <c r="E15" t="s">
        <v>112</v>
      </c>
      <c r="F15" s="12">
        <v>2950</v>
      </c>
      <c r="G15" s="12">
        <v>450</v>
      </c>
      <c r="H15" s="12">
        <v>2500</v>
      </c>
      <c r="I15" t="s">
        <v>88</v>
      </c>
    </row>
    <row r="16" spans="1:9" x14ac:dyDescent="0.2">
      <c r="A16">
        <v>50262</v>
      </c>
      <c r="B16" s="11">
        <v>46024</v>
      </c>
      <c r="C16" t="s">
        <v>110</v>
      </c>
      <c r="D16" t="s">
        <v>115</v>
      </c>
      <c r="E16" t="s">
        <v>112</v>
      </c>
      <c r="F16" s="12">
        <v>9499</v>
      </c>
      <c r="G16" s="12">
        <v>1449</v>
      </c>
      <c r="H16" s="12">
        <v>8050</v>
      </c>
      <c r="I16" t="s">
        <v>88</v>
      </c>
    </row>
    <row r="17" spans="1:9" x14ac:dyDescent="0.2">
      <c r="A17">
        <v>70082</v>
      </c>
      <c r="B17" s="11">
        <v>46114</v>
      </c>
      <c r="C17" t="s">
        <v>113</v>
      </c>
      <c r="D17" t="s">
        <v>62</v>
      </c>
      <c r="E17" t="s">
        <v>112</v>
      </c>
      <c r="F17" s="12">
        <v>-8786</v>
      </c>
      <c r="G17" s="12">
        <v>-1340.24</v>
      </c>
      <c r="H17" s="12">
        <v>-7445.76</v>
      </c>
      <c r="I17" t="s">
        <v>88</v>
      </c>
    </row>
    <row r="18" spans="1:9" x14ac:dyDescent="0.2">
      <c r="A18">
        <v>50275</v>
      </c>
      <c r="B18" s="11">
        <v>46114</v>
      </c>
      <c r="C18" t="s">
        <v>110</v>
      </c>
      <c r="D18" t="s">
        <v>116</v>
      </c>
      <c r="E18" t="s">
        <v>112</v>
      </c>
      <c r="F18" s="12">
        <v>78732</v>
      </c>
      <c r="G18" s="12">
        <v>12009.97</v>
      </c>
      <c r="H18" s="12">
        <v>66722.03</v>
      </c>
      <c r="I18" t="s">
        <v>88</v>
      </c>
    </row>
    <row r="19" spans="1:9" x14ac:dyDescent="0.2">
      <c r="A19">
        <v>70084</v>
      </c>
      <c r="B19" s="11">
        <v>46114</v>
      </c>
      <c r="C19" t="s">
        <v>113</v>
      </c>
      <c r="D19" t="s">
        <v>76</v>
      </c>
      <c r="E19" t="s">
        <v>112</v>
      </c>
      <c r="F19" s="12">
        <v>-10592</v>
      </c>
      <c r="G19" s="12">
        <v>-1615.73</v>
      </c>
      <c r="H19" s="12">
        <v>-8976.27</v>
      </c>
      <c r="I19" t="s">
        <v>88</v>
      </c>
    </row>
    <row r="20" spans="1:9" x14ac:dyDescent="0.2">
      <c r="A20">
        <v>70083</v>
      </c>
      <c r="B20" s="11">
        <v>46114</v>
      </c>
      <c r="C20" t="s">
        <v>113</v>
      </c>
      <c r="D20" t="s">
        <v>76</v>
      </c>
      <c r="E20" t="s">
        <v>112</v>
      </c>
      <c r="F20" s="12">
        <v>-10384</v>
      </c>
      <c r="G20" s="12">
        <v>-1584</v>
      </c>
      <c r="H20" s="12">
        <v>-8800</v>
      </c>
      <c r="I20" t="s">
        <v>88</v>
      </c>
    </row>
    <row r="21" spans="1:9" x14ac:dyDescent="0.2">
      <c r="A21">
        <v>50273</v>
      </c>
      <c r="B21" s="11">
        <v>46114</v>
      </c>
      <c r="C21" t="s">
        <v>110</v>
      </c>
      <c r="D21" t="s">
        <v>117</v>
      </c>
      <c r="E21" t="s">
        <v>112</v>
      </c>
      <c r="F21" s="12">
        <v>15340</v>
      </c>
      <c r="G21" s="12">
        <v>2340</v>
      </c>
      <c r="H21" s="12">
        <v>13000</v>
      </c>
      <c r="I21" t="s">
        <v>88</v>
      </c>
    </row>
    <row r="22" spans="1:9" x14ac:dyDescent="0.2">
      <c r="A22">
        <v>50272</v>
      </c>
      <c r="B22" s="11">
        <v>46114</v>
      </c>
      <c r="C22" t="s">
        <v>110</v>
      </c>
      <c r="D22" t="s">
        <v>117</v>
      </c>
      <c r="E22" t="s">
        <v>112</v>
      </c>
      <c r="F22" s="12">
        <v>29500</v>
      </c>
      <c r="G22" s="12">
        <v>4500</v>
      </c>
      <c r="H22" s="12">
        <v>25000</v>
      </c>
      <c r="I22" t="s">
        <v>88</v>
      </c>
    </row>
    <row r="23" spans="1:9" x14ac:dyDescent="0.2">
      <c r="A23">
        <v>70081</v>
      </c>
      <c r="B23" s="11">
        <v>46114</v>
      </c>
      <c r="C23" t="s">
        <v>113</v>
      </c>
      <c r="D23" t="s">
        <v>116</v>
      </c>
      <c r="E23" t="s">
        <v>112</v>
      </c>
      <c r="F23" s="12">
        <v>-78732</v>
      </c>
      <c r="G23" s="12">
        <v>-12009.97</v>
      </c>
      <c r="H23" s="12">
        <v>-66722.03</v>
      </c>
      <c r="I23" t="s">
        <v>88</v>
      </c>
    </row>
    <row r="24" spans="1:9" x14ac:dyDescent="0.2">
      <c r="A24">
        <v>50274</v>
      </c>
      <c r="B24" s="11">
        <v>46114</v>
      </c>
      <c r="C24" t="s">
        <v>110</v>
      </c>
      <c r="D24" t="s">
        <v>116</v>
      </c>
      <c r="E24" t="s">
        <v>112</v>
      </c>
      <c r="F24" s="12">
        <v>78732</v>
      </c>
      <c r="G24" s="12">
        <v>12009.97</v>
      </c>
      <c r="H24" s="12">
        <v>66722.03</v>
      </c>
      <c r="I24" t="s">
        <v>88</v>
      </c>
    </row>
    <row r="25" spans="1:9" x14ac:dyDescent="0.2">
      <c r="A25">
        <v>50277</v>
      </c>
      <c r="B25" s="11">
        <v>46144</v>
      </c>
      <c r="C25" t="s">
        <v>110</v>
      </c>
      <c r="D25" t="s">
        <v>18</v>
      </c>
      <c r="E25" t="s">
        <v>112</v>
      </c>
      <c r="F25" s="12">
        <v>44226</v>
      </c>
      <c r="G25" s="12">
        <v>6746.34</v>
      </c>
      <c r="H25" s="12">
        <v>37479.660000000003</v>
      </c>
      <c r="I25" t="s">
        <v>88</v>
      </c>
    </row>
    <row r="26" spans="1:9" x14ac:dyDescent="0.2">
      <c r="A26">
        <v>50276</v>
      </c>
      <c r="B26" s="11">
        <v>46144</v>
      </c>
      <c r="C26" t="s">
        <v>110</v>
      </c>
      <c r="D26" t="s">
        <v>118</v>
      </c>
      <c r="E26" t="s">
        <v>112</v>
      </c>
      <c r="F26" s="12">
        <v>39896</v>
      </c>
      <c r="G26" s="12">
        <v>6085.83</v>
      </c>
      <c r="H26" s="12">
        <v>33810.17</v>
      </c>
      <c r="I26" t="s">
        <v>88</v>
      </c>
    </row>
    <row r="27" spans="1:9" x14ac:dyDescent="0.2">
      <c r="A27">
        <v>70092</v>
      </c>
      <c r="B27" s="11">
        <v>46328</v>
      </c>
      <c r="C27" t="s">
        <v>113</v>
      </c>
      <c r="D27" t="s">
        <v>71</v>
      </c>
      <c r="E27" t="s">
        <v>112</v>
      </c>
      <c r="F27" s="12">
        <v>-2154</v>
      </c>
      <c r="G27" s="12">
        <v>-328.58</v>
      </c>
      <c r="H27" s="12">
        <v>-1825.42</v>
      </c>
      <c r="I27" t="s">
        <v>88</v>
      </c>
    </row>
    <row r="28" spans="1:9" x14ac:dyDescent="0.2">
      <c r="A28">
        <v>50283</v>
      </c>
      <c r="B28" s="11">
        <v>46328</v>
      </c>
      <c r="C28" t="s">
        <v>110</v>
      </c>
      <c r="D28" t="s">
        <v>74</v>
      </c>
      <c r="E28" t="s">
        <v>119</v>
      </c>
      <c r="F28" s="12">
        <v>59377.599999999999</v>
      </c>
      <c r="G28" s="12">
        <v>9057.6</v>
      </c>
      <c r="H28" s="12">
        <v>50320</v>
      </c>
      <c r="I28" t="s">
        <v>88</v>
      </c>
    </row>
    <row r="29" spans="1:9" x14ac:dyDescent="0.2">
      <c r="A29">
        <v>50282</v>
      </c>
      <c r="B29" s="11">
        <v>46328</v>
      </c>
      <c r="C29" t="s">
        <v>110</v>
      </c>
      <c r="D29" t="s">
        <v>71</v>
      </c>
      <c r="E29" t="s">
        <v>112</v>
      </c>
      <c r="F29" s="12">
        <v>2154</v>
      </c>
      <c r="G29" s="12">
        <v>328.58</v>
      </c>
      <c r="H29" s="12">
        <v>1825.42</v>
      </c>
      <c r="I29" t="s">
        <v>88</v>
      </c>
    </row>
    <row r="30" spans="1:9" x14ac:dyDescent="0.2">
      <c r="A30">
        <v>50285</v>
      </c>
      <c r="B30" t="s">
        <v>120</v>
      </c>
      <c r="C30" t="s">
        <v>110</v>
      </c>
      <c r="D30" t="s">
        <v>74</v>
      </c>
      <c r="E30" t="s">
        <v>121</v>
      </c>
      <c r="F30" s="12">
        <v>59377.599999999999</v>
      </c>
      <c r="G30" s="12">
        <v>9057.6</v>
      </c>
      <c r="H30" s="12">
        <v>50320</v>
      </c>
      <c r="I30" t="s">
        <v>88</v>
      </c>
    </row>
    <row r="31" spans="1:9" x14ac:dyDescent="0.2">
      <c r="A31">
        <v>70093</v>
      </c>
      <c r="B31" t="s">
        <v>120</v>
      </c>
      <c r="C31" t="s">
        <v>113</v>
      </c>
      <c r="D31" t="s">
        <v>74</v>
      </c>
      <c r="E31" t="s">
        <v>122</v>
      </c>
      <c r="F31" s="12">
        <v>-59377.599999999999</v>
      </c>
      <c r="G31" s="12">
        <v>-9057.6</v>
      </c>
      <c r="H31" s="12">
        <v>-50320</v>
      </c>
      <c r="I31" t="s">
        <v>88</v>
      </c>
    </row>
    <row r="32" spans="1:9" x14ac:dyDescent="0.2">
      <c r="A32">
        <v>70087</v>
      </c>
      <c r="B32" t="s">
        <v>120</v>
      </c>
      <c r="C32" t="s">
        <v>113</v>
      </c>
      <c r="D32" t="s">
        <v>74</v>
      </c>
      <c r="E32" t="s">
        <v>122</v>
      </c>
      <c r="F32" s="12">
        <v>-50409.599999999999</v>
      </c>
      <c r="G32" s="12">
        <v>-7689.6</v>
      </c>
      <c r="H32" s="12">
        <v>-42720</v>
      </c>
      <c r="I32" t="s">
        <v>88</v>
      </c>
    </row>
    <row r="33" spans="1:9" x14ac:dyDescent="0.2">
      <c r="A33">
        <v>70086</v>
      </c>
      <c r="B33" t="s">
        <v>120</v>
      </c>
      <c r="C33" t="s">
        <v>113</v>
      </c>
      <c r="D33" t="s">
        <v>74</v>
      </c>
      <c r="E33" t="s">
        <v>123</v>
      </c>
      <c r="F33" s="12">
        <v>-59377.599999999999</v>
      </c>
      <c r="G33" s="12">
        <v>-9057.6</v>
      </c>
      <c r="H33" s="12">
        <v>-50320</v>
      </c>
      <c r="I33" t="s">
        <v>88</v>
      </c>
    </row>
    <row r="34" spans="1:9" x14ac:dyDescent="0.2">
      <c r="A34">
        <v>50284</v>
      </c>
      <c r="B34" t="s">
        <v>120</v>
      </c>
      <c r="C34" t="s">
        <v>110</v>
      </c>
      <c r="D34" t="s">
        <v>74</v>
      </c>
      <c r="E34" t="s">
        <v>121</v>
      </c>
      <c r="F34" s="12">
        <v>50409.599999999999</v>
      </c>
      <c r="G34" s="12">
        <v>7689.6</v>
      </c>
      <c r="H34" s="12">
        <v>42720</v>
      </c>
      <c r="I34" t="s">
        <v>88</v>
      </c>
    </row>
    <row r="35" spans="1:9" x14ac:dyDescent="0.2">
      <c r="A35">
        <v>50286</v>
      </c>
      <c r="B35" t="s">
        <v>124</v>
      </c>
      <c r="C35" t="s">
        <v>110</v>
      </c>
      <c r="D35" t="s">
        <v>34</v>
      </c>
      <c r="E35" t="s">
        <v>112</v>
      </c>
      <c r="F35" s="12">
        <v>102800</v>
      </c>
      <c r="G35" s="12">
        <v>15681.36</v>
      </c>
      <c r="H35" s="12">
        <v>87118.64</v>
      </c>
      <c r="I35" t="s">
        <v>88</v>
      </c>
    </row>
    <row r="36" spans="1:9" x14ac:dyDescent="0.2">
      <c r="A36">
        <v>70089</v>
      </c>
      <c r="B36" t="s">
        <v>125</v>
      </c>
      <c r="C36" t="s">
        <v>113</v>
      </c>
      <c r="D36" t="s">
        <v>74</v>
      </c>
      <c r="E36" t="s">
        <v>112</v>
      </c>
      <c r="F36" s="12">
        <v>-11800</v>
      </c>
      <c r="G36" s="12">
        <v>-1800</v>
      </c>
      <c r="H36" s="12">
        <v>-10000</v>
      </c>
      <c r="I36" t="s">
        <v>90</v>
      </c>
    </row>
    <row r="37" spans="1:9" x14ac:dyDescent="0.2">
      <c r="A37">
        <v>50296</v>
      </c>
      <c r="B37" t="s">
        <v>125</v>
      </c>
      <c r="C37" t="s">
        <v>110</v>
      </c>
      <c r="D37" t="s">
        <v>18</v>
      </c>
      <c r="E37" t="s">
        <v>112</v>
      </c>
      <c r="F37" s="12">
        <v>62162</v>
      </c>
      <c r="G37" s="12">
        <v>9482.34</v>
      </c>
      <c r="H37" s="12">
        <v>52679.66</v>
      </c>
      <c r="I37" t="s">
        <v>88</v>
      </c>
    </row>
    <row r="38" spans="1:9" x14ac:dyDescent="0.2">
      <c r="A38">
        <v>50292</v>
      </c>
      <c r="B38" t="s">
        <v>125</v>
      </c>
      <c r="C38" t="s">
        <v>110</v>
      </c>
      <c r="D38" t="s">
        <v>62</v>
      </c>
      <c r="E38" t="s">
        <v>112</v>
      </c>
      <c r="F38" s="12">
        <v>6891</v>
      </c>
      <c r="G38" s="12">
        <v>1051.17</v>
      </c>
      <c r="H38" s="12">
        <v>5839.83</v>
      </c>
      <c r="I38" t="s">
        <v>88</v>
      </c>
    </row>
    <row r="39" spans="1:9" x14ac:dyDescent="0.2">
      <c r="A39">
        <v>50297</v>
      </c>
      <c r="B39" s="11">
        <v>46025</v>
      </c>
      <c r="C39" t="s">
        <v>110</v>
      </c>
      <c r="D39" t="s">
        <v>116</v>
      </c>
      <c r="E39" t="s">
        <v>112</v>
      </c>
      <c r="F39" s="12">
        <v>36007</v>
      </c>
      <c r="G39" s="12">
        <v>5492.59</v>
      </c>
      <c r="H39" s="12">
        <v>30514.41</v>
      </c>
      <c r="I39" t="s">
        <v>90</v>
      </c>
    </row>
    <row r="40" spans="1:9" x14ac:dyDescent="0.2">
      <c r="A40">
        <v>70088</v>
      </c>
      <c r="B40" s="11">
        <v>46025</v>
      </c>
      <c r="C40" t="s">
        <v>113</v>
      </c>
      <c r="D40" t="s">
        <v>18</v>
      </c>
      <c r="E40" t="s">
        <v>112</v>
      </c>
      <c r="F40" s="12">
        <v>-62162</v>
      </c>
      <c r="G40" s="12">
        <v>-9482.34</v>
      </c>
      <c r="H40" s="12">
        <v>-52679.66</v>
      </c>
      <c r="I40" t="s">
        <v>90</v>
      </c>
    </row>
    <row r="41" spans="1:9" x14ac:dyDescent="0.2">
      <c r="A41">
        <v>50295</v>
      </c>
      <c r="B41" s="11">
        <v>46025</v>
      </c>
      <c r="C41" t="s">
        <v>110</v>
      </c>
      <c r="D41" t="s">
        <v>18</v>
      </c>
      <c r="E41" t="s">
        <v>112</v>
      </c>
      <c r="F41" s="12">
        <v>62162</v>
      </c>
      <c r="G41" s="12">
        <v>9482.34</v>
      </c>
      <c r="H41" s="12">
        <v>52679.66</v>
      </c>
      <c r="I41" t="s">
        <v>90</v>
      </c>
    </row>
    <row r="42" spans="1:9" x14ac:dyDescent="0.2">
      <c r="A42">
        <v>70098</v>
      </c>
      <c r="B42" s="11">
        <v>46025</v>
      </c>
      <c r="C42" t="s">
        <v>113</v>
      </c>
      <c r="D42" t="s">
        <v>71</v>
      </c>
      <c r="E42" t="s">
        <v>112</v>
      </c>
      <c r="F42" s="12">
        <v>-2154</v>
      </c>
      <c r="G42" s="12">
        <v>-328.58</v>
      </c>
      <c r="H42" s="12">
        <v>-1825.42</v>
      </c>
      <c r="I42" t="s">
        <v>90</v>
      </c>
    </row>
    <row r="43" spans="1:9" x14ac:dyDescent="0.2">
      <c r="A43">
        <v>50299</v>
      </c>
      <c r="B43" s="11">
        <v>46025</v>
      </c>
      <c r="C43" t="s">
        <v>110</v>
      </c>
      <c r="D43" t="s">
        <v>40</v>
      </c>
      <c r="E43" t="s">
        <v>112</v>
      </c>
      <c r="F43" s="12">
        <v>19576</v>
      </c>
      <c r="G43" s="12">
        <v>2986.17</v>
      </c>
      <c r="H43" s="12">
        <v>16589.830000000002</v>
      </c>
      <c r="I43" t="s">
        <v>90</v>
      </c>
    </row>
    <row r="44" spans="1:9" x14ac:dyDescent="0.2">
      <c r="A44">
        <v>50298</v>
      </c>
      <c r="B44" s="11">
        <v>46025</v>
      </c>
      <c r="C44" t="s">
        <v>110</v>
      </c>
      <c r="D44" t="s">
        <v>118</v>
      </c>
      <c r="E44" t="s">
        <v>112</v>
      </c>
      <c r="F44" s="12">
        <v>29745</v>
      </c>
      <c r="G44" s="12">
        <v>4537.37</v>
      </c>
      <c r="H44" s="12">
        <v>25207.63</v>
      </c>
      <c r="I44" t="s">
        <v>90</v>
      </c>
    </row>
    <row r="45" spans="1:9" x14ac:dyDescent="0.2">
      <c r="A45">
        <v>50294</v>
      </c>
      <c r="B45" s="11">
        <v>46025</v>
      </c>
      <c r="C45" t="s">
        <v>110</v>
      </c>
      <c r="D45" t="s">
        <v>14</v>
      </c>
      <c r="E45" t="s">
        <v>126</v>
      </c>
      <c r="F45" s="12">
        <v>143954</v>
      </c>
      <c r="G45" s="12">
        <v>21959.08</v>
      </c>
      <c r="H45" s="12">
        <v>121994.92</v>
      </c>
      <c r="I45" t="s">
        <v>90</v>
      </c>
    </row>
    <row r="46" spans="1:9" x14ac:dyDescent="0.2">
      <c r="A46">
        <v>50289</v>
      </c>
      <c r="B46" s="11">
        <v>46025</v>
      </c>
      <c r="C46" t="s">
        <v>110</v>
      </c>
      <c r="D46" t="s">
        <v>71</v>
      </c>
      <c r="E46" t="s">
        <v>112</v>
      </c>
      <c r="F46" s="12">
        <v>2154</v>
      </c>
      <c r="G46" s="12">
        <v>328.58</v>
      </c>
      <c r="H46" s="12">
        <v>1825.42</v>
      </c>
      <c r="I46" t="s">
        <v>90</v>
      </c>
    </row>
    <row r="47" spans="1:9" x14ac:dyDescent="0.2">
      <c r="A47">
        <v>50288</v>
      </c>
      <c r="B47" s="11">
        <v>46025</v>
      </c>
      <c r="C47" t="s">
        <v>110</v>
      </c>
      <c r="D47" t="s">
        <v>114</v>
      </c>
      <c r="E47" t="s">
        <v>112</v>
      </c>
      <c r="F47" s="12">
        <v>5521.5</v>
      </c>
      <c r="G47" s="12">
        <v>0</v>
      </c>
      <c r="H47" s="12">
        <v>5521.5</v>
      </c>
      <c r="I47" t="s">
        <v>90</v>
      </c>
    </row>
    <row r="48" spans="1:9" x14ac:dyDescent="0.2">
      <c r="A48">
        <v>50287</v>
      </c>
      <c r="B48" s="11">
        <v>46025</v>
      </c>
      <c r="C48" t="s">
        <v>110</v>
      </c>
      <c r="D48" t="s">
        <v>114</v>
      </c>
      <c r="E48" t="s">
        <v>112</v>
      </c>
      <c r="F48" s="12">
        <v>23600</v>
      </c>
      <c r="G48" s="12">
        <v>3600</v>
      </c>
      <c r="H48" s="12">
        <v>20000</v>
      </c>
      <c r="I48" t="s">
        <v>90</v>
      </c>
    </row>
    <row r="49" spans="1:9" x14ac:dyDescent="0.2">
      <c r="A49">
        <v>50293</v>
      </c>
      <c r="B49" s="11">
        <v>46025</v>
      </c>
      <c r="C49" t="s">
        <v>110</v>
      </c>
      <c r="D49" t="s">
        <v>46</v>
      </c>
      <c r="E49" t="s">
        <v>112</v>
      </c>
      <c r="F49" s="12">
        <v>6245</v>
      </c>
      <c r="G49" s="12">
        <v>952.63</v>
      </c>
      <c r="H49" s="12">
        <v>5292.37</v>
      </c>
      <c r="I49" t="s">
        <v>90</v>
      </c>
    </row>
    <row r="50" spans="1:9" x14ac:dyDescent="0.2">
      <c r="A50">
        <v>50291</v>
      </c>
      <c r="B50" s="11">
        <v>46025</v>
      </c>
      <c r="C50" t="s">
        <v>110</v>
      </c>
      <c r="D50" t="s">
        <v>44</v>
      </c>
      <c r="E50" t="s">
        <v>112</v>
      </c>
      <c r="F50" s="12">
        <v>19312</v>
      </c>
      <c r="G50" s="12">
        <v>2945.9</v>
      </c>
      <c r="H50" s="12">
        <v>16366.1</v>
      </c>
      <c r="I50" t="s">
        <v>90</v>
      </c>
    </row>
    <row r="51" spans="1:9" x14ac:dyDescent="0.2">
      <c r="A51">
        <v>50290</v>
      </c>
      <c r="B51" s="11">
        <v>46025</v>
      </c>
      <c r="C51" t="s">
        <v>110</v>
      </c>
      <c r="D51" t="s">
        <v>38</v>
      </c>
      <c r="E51" t="s">
        <v>112</v>
      </c>
      <c r="F51" s="12">
        <v>40002</v>
      </c>
      <c r="G51" s="12">
        <v>6102</v>
      </c>
      <c r="H51" s="12">
        <v>33900</v>
      </c>
      <c r="I51" t="s">
        <v>90</v>
      </c>
    </row>
    <row r="52" spans="1:9" x14ac:dyDescent="0.2">
      <c r="A52">
        <v>50302</v>
      </c>
      <c r="B52" s="11">
        <v>46237</v>
      </c>
      <c r="C52" t="s">
        <v>110</v>
      </c>
      <c r="D52" t="s">
        <v>115</v>
      </c>
      <c r="E52" t="s">
        <v>112</v>
      </c>
      <c r="F52" s="12">
        <v>13570</v>
      </c>
      <c r="G52" s="12">
        <v>2070</v>
      </c>
      <c r="H52" s="12">
        <v>11500</v>
      </c>
      <c r="I52" t="s">
        <v>90</v>
      </c>
    </row>
    <row r="53" spans="1:9" x14ac:dyDescent="0.2">
      <c r="A53">
        <v>50301</v>
      </c>
      <c r="B53" s="11">
        <v>46237</v>
      </c>
      <c r="C53" t="s">
        <v>110</v>
      </c>
      <c r="D53" t="s">
        <v>115</v>
      </c>
      <c r="E53" t="s">
        <v>112</v>
      </c>
      <c r="F53" s="12">
        <v>9499</v>
      </c>
      <c r="G53" s="12">
        <v>1449</v>
      </c>
      <c r="H53" s="12">
        <v>8050</v>
      </c>
      <c r="I53" t="s">
        <v>90</v>
      </c>
    </row>
    <row r="54" spans="1:9" x14ac:dyDescent="0.2">
      <c r="A54">
        <v>50300</v>
      </c>
      <c r="B54" s="11">
        <v>46237</v>
      </c>
      <c r="C54" t="s">
        <v>110</v>
      </c>
      <c r="D54" t="s">
        <v>115</v>
      </c>
      <c r="E54" t="s">
        <v>112</v>
      </c>
      <c r="F54" s="12">
        <v>4425</v>
      </c>
      <c r="G54" s="12">
        <v>675</v>
      </c>
      <c r="H54" s="12">
        <v>3750</v>
      </c>
      <c r="I54" t="s">
        <v>90</v>
      </c>
    </row>
    <row r="55" spans="1:9" x14ac:dyDescent="0.2">
      <c r="A55">
        <v>50303</v>
      </c>
      <c r="B55" t="s">
        <v>127</v>
      </c>
      <c r="C55" t="s">
        <v>110</v>
      </c>
      <c r="D55" t="s">
        <v>38</v>
      </c>
      <c r="E55" t="s">
        <v>112</v>
      </c>
      <c r="F55" s="12">
        <v>36189</v>
      </c>
      <c r="G55" s="12">
        <v>5520.36</v>
      </c>
      <c r="H55" s="12">
        <v>30668.639999999999</v>
      </c>
      <c r="I55" t="s">
        <v>90</v>
      </c>
    </row>
    <row r="56" spans="1:9" x14ac:dyDescent="0.2">
      <c r="A56">
        <v>70090</v>
      </c>
      <c r="B56" t="s">
        <v>127</v>
      </c>
      <c r="C56" t="s">
        <v>113</v>
      </c>
      <c r="D56" t="s">
        <v>38</v>
      </c>
      <c r="E56" t="s">
        <v>112</v>
      </c>
      <c r="F56" s="12">
        <v>-40002</v>
      </c>
      <c r="G56" s="12">
        <v>-6102</v>
      </c>
      <c r="H56" s="12">
        <v>-33900</v>
      </c>
      <c r="I56" t="s">
        <v>90</v>
      </c>
    </row>
    <row r="57" spans="1:9" x14ac:dyDescent="0.2">
      <c r="A57">
        <v>70091</v>
      </c>
      <c r="B57" t="s">
        <v>128</v>
      </c>
      <c r="C57" t="s">
        <v>113</v>
      </c>
      <c r="D57" t="s">
        <v>114</v>
      </c>
      <c r="E57" t="s">
        <v>112</v>
      </c>
      <c r="F57" s="12">
        <v>-5521.5</v>
      </c>
      <c r="G57" s="12">
        <v>0</v>
      </c>
      <c r="H57" s="12">
        <v>-5521.5</v>
      </c>
      <c r="I57" t="s">
        <v>90</v>
      </c>
    </row>
    <row r="58" spans="1:9" x14ac:dyDescent="0.2">
      <c r="A58">
        <v>50304</v>
      </c>
      <c r="B58" t="s">
        <v>129</v>
      </c>
      <c r="C58" t="s">
        <v>110</v>
      </c>
      <c r="D58" t="s">
        <v>114</v>
      </c>
      <c r="E58" t="s">
        <v>112</v>
      </c>
      <c r="F58" s="12">
        <v>6515.37</v>
      </c>
      <c r="G58" s="12">
        <v>993.87</v>
      </c>
      <c r="H58" s="12">
        <v>5521.5</v>
      </c>
      <c r="I58" t="s">
        <v>90</v>
      </c>
    </row>
    <row r="59" spans="1:9" x14ac:dyDescent="0.2">
      <c r="A59">
        <v>70096</v>
      </c>
      <c r="B59" t="s">
        <v>130</v>
      </c>
      <c r="C59" t="s">
        <v>113</v>
      </c>
      <c r="D59" t="s">
        <v>116</v>
      </c>
      <c r="E59" t="s">
        <v>112</v>
      </c>
      <c r="F59" s="12">
        <v>-39624</v>
      </c>
      <c r="G59" s="12">
        <v>-6044.34</v>
      </c>
      <c r="H59" s="12">
        <v>-33579.660000000003</v>
      </c>
      <c r="I59" t="s">
        <v>90</v>
      </c>
    </row>
    <row r="60" spans="1:9" x14ac:dyDescent="0.2">
      <c r="A60">
        <v>50305</v>
      </c>
      <c r="B60" t="s">
        <v>130</v>
      </c>
      <c r="C60" t="s">
        <v>110</v>
      </c>
      <c r="D60" t="s">
        <v>116</v>
      </c>
      <c r="E60" t="s">
        <v>112</v>
      </c>
      <c r="F60" s="12">
        <v>39624</v>
      </c>
      <c r="G60" s="12">
        <v>6044.34</v>
      </c>
      <c r="H60" s="12">
        <v>33579.660000000003</v>
      </c>
      <c r="I60" t="s">
        <v>90</v>
      </c>
    </row>
    <row r="61" spans="1:9" x14ac:dyDescent="0.2">
      <c r="A61">
        <v>50325</v>
      </c>
      <c r="B61" t="s">
        <v>131</v>
      </c>
      <c r="C61" t="s">
        <v>110</v>
      </c>
      <c r="D61" t="s">
        <v>18</v>
      </c>
      <c r="E61" t="s">
        <v>112</v>
      </c>
      <c r="F61" s="12">
        <v>67543</v>
      </c>
      <c r="G61" s="12">
        <v>10303.17</v>
      </c>
      <c r="H61" s="12">
        <v>57239.83</v>
      </c>
      <c r="I61" t="s">
        <v>90</v>
      </c>
    </row>
    <row r="62" spans="1:9" x14ac:dyDescent="0.2">
      <c r="A62">
        <v>70097</v>
      </c>
      <c r="B62" t="s">
        <v>131</v>
      </c>
      <c r="C62" t="s">
        <v>113</v>
      </c>
      <c r="D62" t="s">
        <v>34</v>
      </c>
      <c r="E62" t="s">
        <v>112</v>
      </c>
      <c r="F62" s="12">
        <v>-720</v>
      </c>
      <c r="G62" s="12">
        <v>-109.83</v>
      </c>
      <c r="H62" s="12">
        <v>-610.16999999999996</v>
      </c>
      <c r="I62" t="s">
        <v>90</v>
      </c>
    </row>
    <row r="63" spans="1:9" x14ac:dyDescent="0.2">
      <c r="A63">
        <v>50315</v>
      </c>
      <c r="B63" s="11">
        <v>46026</v>
      </c>
      <c r="C63" t="s">
        <v>110</v>
      </c>
      <c r="D63" t="s">
        <v>115</v>
      </c>
      <c r="E63" t="s">
        <v>112</v>
      </c>
      <c r="F63" s="12">
        <v>9499</v>
      </c>
      <c r="G63" s="12">
        <v>1449</v>
      </c>
      <c r="H63" s="12">
        <v>8050</v>
      </c>
      <c r="I63" t="s">
        <v>92</v>
      </c>
    </row>
    <row r="64" spans="1:9" x14ac:dyDescent="0.2">
      <c r="A64">
        <v>50314</v>
      </c>
      <c r="B64" s="11">
        <v>46026</v>
      </c>
      <c r="C64" t="s">
        <v>110</v>
      </c>
      <c r="D64" t="s">
        <v>115</v>
      </c>
      <c r="E64" t="s">
        <v>112</v>
      </c>
      <c r="F64" s="12">
        <v>13570</v>
      </c>
      <c r="G64" s="12">
        <v>2070</v>
      </c>
      <c r="H64" s="12">
        <v>11500</v>
      </c>
      <c r="I64" t="s">
        <v>92</v>
      </c>
    </row>
    <row r="65" spans="1:9" x14ac:dyDescent="0.2">
      <c r="A65">
        <v>50313</v>
      </c>
      <c r="B65" s="11">
        <v>46026</v>
      </c>
      <c r="C65" t="s">
        <v>110</v>
      </c>
      <c r="D65" t="s">
        <v>132</v>
      </c>
      <c r="E65" t="s">
        <v>112</v>
      </c>
      <c r="F65" s="12">
        <v>57171</v>
      </c>
      <c r="G65" s="12">
        <v>8721</v>
      </c>
      <c r="H65" s="12">
        <v>48450</v>
      </c>
      <c r="I65" t="s">
        <v>92</v>
      </c>
    </row>
    <row r="66" spans="1:9" x14ac:dyDescent="0.2">
      <c r="A66">
        <v>70103</v>
      </c>
      <c r="B66" s="11">
        <v>46026</v>
      </c>
      <c r="C66" t="s">
        <v>113</v>
      </c>
      <c r="D66" t="s">
        <v>38</v>
      </c>
      <c r="E66" t="s">
        <v>112</v>
      </c>
      <c r="F66" s="12">
        <v>-18939</v>
      </c>
      <c r="G66" s="12">
        <v>-2889</v>
      </c>
      <c r="H66" s="12">
        <v>-16050</v>
      </c>
      <c r="I66" t="s">
        <v>92</v>
      </c>
    </row>
    <row r="67" spans="1:9" x14ac:dyDescent="0.2">
      <c r="A67">
        <v>50323</v>
      </c>
      <c r="B67" s="11">
        <v>46026</v>
      </c>
      <c r="C67" t="s">
        <v>110</v>
      </c>
      <c r="D67" t="s">
        <v>116</v>
      </c>
      <c r="E67" t="s">
        <v>112</v>
      </c>
      <c r="F67" s="12">
        <v>39624</v>
      </c>
      <c r="G67" s="12">
        <v>6044.34</v>
      </c>
      <c r="H67" s="12">
        <v>33579.660000000003</v>
      </c>
      <c r="I67" t="s">
        <v>92</v>
      </c>
    </row>
    <row r="68" spans="1:9" x14ac:dyDescent="0.2">
      <c r="A68">
        <v>50316</v>
      </c>
      <c r="B68" s="11">
        <v>46026</v>
      </c>
      <c r="C68" t="s">
        <v>110</v>
      </c>
      <c r="D68" t="s">
        <v>115</v>
      </c>
      <c r="E68" t="s">
        <v>112</v>
      </c>
      <c r="F68" s="12">
        <v>2950</v>
      </c>
      <c r="G68" s="12">
        <v>450</v>
      </c>
      <c r="H68" s="12">
        <v>2500</v>
      </c>
      <c r="I68" t="s">
        <v>92</v>
      </c>
    </row>
    <row r="69" spans="1:9" x14ac:dyDescent="0.2">
      <c r="A69">
        <v>50312</v>
      </c>
      <c r="B69" s="11">
        <v>46026</v>
      </c>
      <c r="C69" t="s">
        <v>110</v>
      </c>
      <c r="D69" t="s">
        <v>118</v>
      </c>
      <c r="E69" t="s">
        <v>112</v>
      </c>
      <c r="F69" s="12">
        <v>45649</v>
      </c>
      <c r="G69" s="12">
        <v>6963.41</v>
      </c>
      <c r="H69" s="12">
        <v>38685.589999999997</v>
      </c>
      <c r="I69" t="s">
        <v>92</v>
      </c>
    </row>
    <row r="70" spans="1:9" x14ac:dyDescent="0.2">
      <c r="A70">
        <v>50308</v>
      </c>
      <c r="B70" s="11">
        <v>46026</v>
      </c>
      <c r="C70" t="s">
        <v>110</v>
      </c>
      <c r="D70" t="s">
        <v>38</v>
      </c>
      <c r="E70" t="s">
        <v>112</v>
      </c>
      <c r="F70" s="12">
        <v>18939</v>
      </c>
      <c r="G70" s="12">
        <v>2889</v>
      </c>
      <c r="H70" s="12">
        <v>16050</v>
      </c>
      <c r="I70" t="s">
        <v>92</v>
      </c>
    </row>
    <row r="71" spans="1:9" x14ac:dyDescent="0.2">
      <c r="A71">
        <v>50307</v>
      </c>
      <c r="B71" s="11">
        <v>46026</v>
      </c>
      <c r="C71" t="s">
        <v>110</v>
      </c>
      <c r="D71" t="s">
        <v>44</v>
      </c>
      <c r="E71" t="s">
        <v>112</v>
      </c>
      <c r="F71" s="12">
        <v>18271</v>
      </c>
      <c r="G71" s="12">
        <v>2787.1</v>
      </c>
      <c r="H71" s="12">
        <v>15483.9</v>
      </c>
      <c r="I71" t="s">
        <v>92</v>
      </c>
    </row>
    <row r="72" spans="1:9" x14ac:dyDescent="0.2">
      <c r="A72">
        <v>50306</v>
      </c>
      <c r="B72" s="11">
        <v>46026</v>
      </c>
      <c r="C72" t="s">
        <v>110</v>
      </c>
      <c r="D72" t="s">
        <v>114</v>
      </c>
      <c r="E72" t="s">
        <v>112</v>
      </c>
      <c r="F72" s="12">
        <v>28338</v>
      </c>
      <c r="G72" s="12">
        <v>4322.75</v>
      </c>
      <c r="H72" s="12">
        <v>24015.25</v>
      </c>
      <c r="I72" t="s">
        <v>92</v>
      </c>
    </row>
    <row r="73" spans="1:9" x14ac:dyDescent="0.2">
      <c r="A73">
        <v>50311</v>
      </c>
      <c r="B73" s="11">
        <v>46026</v>
      </c>
      <c r="C73" t="s">
        <v>110</v>
      </c>
      <c r="D73" t="s">
        <v>46</v>
      </c>
      <c r="E73" t="s">
        <v>112</v>
      </c>
      <c r="F73" s="12">
        <v>20760</v>
      </c>
      <c r="G73" s="12">
        <v>3166.78</v>
      </c>
      <c r="H73" s="12">
        <v>17593.22</v>
      </c>
      <c r="I73" t="s">
        <v>92</v>
      </c>
    </row>
    <row r="74" spans="1:9" x14ac:dyDescent="0.2">
      <c r="A74">
        <v>50310</v>
      </c>
      <c r="B74" s="11">
        <v>46026</v>
      </c>
      <c r="C74" t="s">
        <v>110</v>
      </c>
      <c r="D74" t="s">
        <v>40</v>
      </c>
      <c r="E74" t="s">
        <v>112</v>
      </c>
      <c r="F74" s="12">
        <v>19452</v>
      </c>
      <c r="G74" s="12">
        <v>2967.25</v>
      </c>
      <c r="H74" s="12">
        <v>16484.75</v>
      </c>
      <c r="I74" t="s">
        <v>92</v>
      </c>
    </row>
    <row r="75" spans="1:9" x14ac:dyDescent="0.2">
      <c r="A75">
        <v>50309</v>
      </c>
      <c r="B75" s="11">
        <v>46026</v>
      </c>
      <c r="C75" t="s">
        <v>110</v>
      </c>
      <c r="D75" t="s">
        <v>14</v>
      </c>
      <c r="E75" t="s">
        <v>112</v>
      </c>
      <c r="F75" s="12">
        <v>172298</v>
      </c>
      <c r="G75" s="12">
        <v>26282.75</v>
      </c>
      <c r="H75" s="12">
        <v>146015.25</v>
      </c>
      <c r="I75" t="s">
        <v>92</v>
      </c>
    </row>
    <row r="76" spans="1:9" x14ac:dyDescent="0.2">
      <c r="A76">
        <v>50317</v>
      </c>
      <c r="B76" s="11">
        <v>46085</v>
      </c>
      <c r="C76" t="s">
        <v>110</v>
      </c>
      <c r="D76" t="s">
        <v>38</v>
      </c>
      <c r="E76" t="s">
        <v>112</v>
      </c>
      <c r="F76" s="12">
        <v>1416</v>
      </c>
      <c r="G76" s="12">
        <v>216</v>
      </c>
      <c r="H76" s="12">
        <v>1200</v>
      </c>
      <c r="I76" t="s">
        <v>92</v>
      </c>
    </row>
    <row r="77" spans="1:9" x14ac:dyDescent="0.2">
      <c r="A77">
        <v>50319</v>
      </c>
      <c r="B77" s="11">
        <v>46085</v>
      </c>
      <c r="C77" t="s">
        <v>110</v>
      </c>
      <c r="D77" t="s">
        <v>117</v>
      </c>
      <c r="E77" t="s">
        <v>112</v>
      </c>
      <c r="F77" s="12">
        <v>29500</v>
      </c>
      <c r="G77" s="12">
        <v>4500</v>
      </c>
      <c r="H77" s="12">
        <v>25000</v>
      </c>
      <c r="I77" t="s">
        <v>92</v>
      </c>
    </row>
    <row r="78" spans="1:9" x14ac:dyDescent="0.2">
      <c r="A78">
        <v>50318</v>
      </c>
      <c r="B78" s="11">
        <v>46085</v>
      </c>
      <c r="C78" t="s">
        <v>110</v>
      </c>
      <c r="D78" t="s">
        <v>117</v>
      </c>
      <c r="E78" t="s">
        <v>112</v>
      </c>
      <c r="F78" s="12">
        <v>15340</v>
      </c>
      <c r="G78" s="12">
        <v>2340</v>
      </c>
      <c r="H78" s="12">
        <v>13000</v>
      </c>
      <c r="I78" t="s">
        <v>92</v>
      </c>
    </row>
    <row r="79" spans="1:9" x14ac:dyDescent="0.2">
      <c r="A79">
        <v>50321</v>
      </c>
      <c r="B79" s="11">
        <v>46146</v>
      </c>
      <c r="C79" t="s">
        <v>110</v>
      </c>
      <c r="D79" t="s">
        <v>14</v>
      </c>
      <c r="E79" t="s">
        <v>112</v>
      </c>
      <c r="F79" s="12">
        <v>161188</v>
      </c>
      <c r="G79" s="12">
        <v>24588</v>
      </c>
      <c r="H79" s="12">
        <v>136600</v>
      </c>
      <c r="I79" t="s">
        <v>92</v>
      </c>
    </row>
    <row r="80" spans="1:9" x14ac:dyDescent="0.2">
      <c r="A80">
        <v>70102</v>
      </c>
      <c r="B80" s="11">
        <v>46146</v>
      </c>
      <c r="C80" t="s">
        <v>113</v>
      </c>
      <c r="D80" t="s">
        <v>38</v>
      </c>
      <c r="E80" t="s">
        <v>112</v>
      </c>
      <c r="F80" s="12">
        <v>-1416</v>
      </c>
      <c r="G80" s="12">
        <v>-216</v>
      </c>
      <c r="H80" s="12">
        <v>-1200</v>
      </c>
      <c r="I80" t="s">
        <v>92</v>
      </c>
    </row>
    <row r="81" spans="1:9" x14ac:dyDescent="0.2">
      <c r="A81">
        <v>70095</v>
      </c>
      <c r="B81" s="11">
        <v>46146</v>
      </c>
      <c r="C81" t="s">
        <v>113</v>
      </c>
      <c r="D81" t="s">
        <v>14</v>
      </c>
      <c r="E81" t="s">
        <v>112</v>
      </c>
      <c r="F81" s="12">
        <v>-172298</v>
      </c>
      <c r="G81" s="12">
        <v>-26282.75</v>
      </c>
      <c r="H81" s="12">
        <v>-146015.25</v>
      </c>
      <c r="I81" t="s">
        <v>92</v>
      </c>
    </row>
    <row r="82" spans="1:9" x14ac:dyDescent="0.2">
      <c r="A82">
        <v>50320</v>
      </c>
      <c r="B82" s="11">
        <v>46146</v>
      </c>
      <c r="C82" t="s">
        <v>110</v>
      </c>
      <c r="D82" t="s">
        <v>14</v>
      </c>
      <c r="E82" t="s">
        <v>112</v>
      </c>
      <c r="F82" s="12">
        <v>3662</v>
      </c>
      <c r="G82" s="12">
        <v>558.61</v>
      </c>
      <c r="H82" s="12">
        <v>3103.39</v>
      </c>
      <c r="I82" t="s">
        <v>92</v>
      </c>
    </row>
    <row r="83" spans="1:9" x14ac:dyDescent="0.2">
      <c r="A83">
        <v>70094</v>
      </c>
      <c r="B83" s="11">
        <v>46146</v>
      </c>
      <c r="C83" t="s">
        <v>113</v>
      </c>
      <c r="D83" t="s">
        <v>14</v>
      </c>
      <c r="E83" t="s">
        <v>112</v>
      </c>
      <c r="F83" s="12">
        <v>-3662</v>
      </c>
      <c r="G83" s="12">
        <v>-558.61</v>
      </c>
      <c r="H83" s="12">
        <v>-3103.39</v>
      </c>
      <c r="I83" t="s">
        <v>92</v>
      </c>
    </row>
    <row r="84" spans="1:9" x14ac:dyDescent="0.2">
      <c r="A84">
        <v>70099</v>
      </c>
      <c r="B84" s="11">
        <v>46269</v>
      </c>
      <c r="C84" t="s">
        <v>113</v>
      </c>
      <c r="D84" t="s">
        <v>18</v>
      </c>
      <c r="E84" t="s">
        <v>112</v>
      </c>
      <c r="F84" s="12">
        <v>-67543</v>
      </c>
      <c r="G84" s="12">
        <v>-10303.17</v>
      </c>
      <c r="H84" s="12">
        <v>-57239.83</v>
      </c>
      <c r="I84" t="s">
        <v>92</v>
      </c>
    </row>
    <row r="85" spans="1:9" x14ac:dyDescent="0.2">
      <c r="A85">
        <v>50322</v>
      </c>
      <c r="B85" s="11">
        <v>46269</v>
      </c>
      <c r="C85" t="s">
        <v>110</v>
      </c>
      <c r="D85" t="s">
        <v>18</v>
      </c>
      <c r="E85" t="s">
        <v>112</v>
      </c>
      <c r="F85" s="12">
        <v>67543</v>
      </c>
      <c r="G85" s="12">
        <v>10303.17</v>
      </c>
      <c r="H85" s="12">
        <v>57239.83</v>
      </c>
      <c r="I85" t="s">
        <v>92</v>
      </c>
    </row>
    <row r="86" spans="1:9" x14ac:dyDescent="0.2">
      <c r="A86">
        <v>50324</v>
      </c>
      <c r="B86" t="s">
        <v>133</v>
      </c>
      <c r="C86" t="s">
        <v>110</v>
      </c>
      <c r="D86" t="s">
        <v>14</v>
      </c>
      <c r="E86" t="s">
        <v>112</v>
      </c>
      <c r="F86" s="12">
        <v>1487</v>
      </c>
      <c r="G86" s="12">
        <v>226.83</v>
      </c>
      <c r="H86" s="12">
        <v>1260.17</v>
      </c>
      <c r="I86" t="s">
        <v>92</v>
      </c>
    </row>
    <row r="87" spans="1:9" x14ac:dyDescent="0.2">
      <c r="A87">
        <v>50340</v>
      </c>
      <c r="B87" t="s">
        <v>134</v>
      </c>
      <c r="C87" t="s">
        <v>110</v>
      </c>
      <c r="D87" t="s">
        <v>18</v>
      </c>
      <c r="E87" t="s">
        <v>112</v>
      </c>
      <c r="F87" s="12">
        <v>59236</v>
      </c>
      <c r="G87" s="12">
        <v>9036</v>
      </c>
      <c r="H87" s="12">
        <v>50200</v>
      </c>
      <c r="I87" t="s">
        <v>92</v>
      </c>
    </row>
    <row r="88" spans="1:9" x14ac:dyDescent="0.2">
      <c r="A88">
        <v>50330</v>
      </c>
      <c r="B88" t="s">
        <v>134</v>
      </c>
      <c r="C88" t="s">
        <v>110</v>
      </c>
      <c r="D88" t="s">
        <v>132</v>
      </c>
      <c r="E88" t="s">
        <v>112</v>
      </c>
      <c r="F88" s="12">
        <v>80535</v>
      </c>
      <c r="G88" s="12">
        <v>12285</v>
      </c>
      <c r="H88" s="12">
        <v>68250</v>
      </c>
      <c r="I88" t="s">
        <v>92</v>
      </c>
    </row>
    <row r="89" spans="1:9" x14ac:dyDescent="0.2">
      <c r="A89">
        <v>50326</v>
      </c>
      <c r="B89" s="11">
        <v>46027</v>
      </c>
      <c r="C89" t="s">
        <v>110</v>
      </c>
      <c r="D89" t="s">
        <v>114</v>
      </c>
      <c r="E89" t="s">
        <v>112</v>
      </c>
      <c r="F89" s="12">
        <v>25772</v>
      </c>
      <c r="G89" s="12">
        <v>3931.32</v>
      </c>
      <c r="H89" s="12">
        <v>21840.68</v>
      </c>
      <c r="I89" t="s">
        <v>94</v>
      </c>
    </row>
    <row r="90" spans="1:9" x14ac:dyDescent="0.2">
      <c r="A90">
        <v>70100</v>
      </c>
      <c r="B90" s="11">
        <v>46086</v>
      </c>
      <c r="C90" t="s">
        <v>113</v>
      </c>
      <c r="D90" t="s">
        <v>14</v>
      </c>
      <c r="E90" t="s">
        <v>112</v>
      </c>
      <c r="F90" s="12">
        <v>-126915</v>
      </c>
      <c r="G90" s="12">
        <v>-19359.919999999998</v>
      </c>
      <c r="H90" s="12">
        <v>-107555.08</v>
      </c>
      <c r="I90" t="s">
        <v>94</v>
      </c>
    </row>
    <row r="91" spans="1:9" x14ac:dyDescent="0.2">
      <c r="A91">
        <v>50337</v>
      </c>
      <c r="B91" s="11">
        <v>46086</v>
      </c>
      <c r="C91" t="s">
        <v>110</v>
      </c>
      <c r="D91" t="s">
        <v>116</v>
      </c>
      <c r="E91" t="s">
        <v>112</v>
      </c>
      <c r="F91" s="12">
        <v>25067</v>
      </c>
      <c r="G91" s="12">
        <v>3823.78</v>
      </c>
      <c r="H91" s="12">
        <v>21243.22</v>
      </c>
      <c r="I91" t="s">
        <v>94</v>
      </c>
    </row>
    <row r="92" spans="1:9" x14ac:dyDescent="0.2">
      <c r="A92">
        <v>50336</v>
      </c>
      <c r="B92" s="11">
        <v>46086</v>
      </c>
      <c r="C92" t="s">
        <v>110</v>
      </c>
      <c r="D92" t="s">
        <v>115</v>
      </c>
      <c r="E92" t="s">
        <v>112</v>
      </c>
      <c r="F92" s="12">
        <v>2950</v>
      </c>
      <c r="G92" s="12">
        <v>450</v>
      </c>
      <c r="H92" s="12">
        <v>2500</v>
      </c>
      <c r="I92" t="s">
        <v>94</v>
      </c>
    </row>
    <row r="93" spans="1:9" x14ac:dyDescent="0.2">
      <c r="A93">
        <v>70101</v>
      </c>
      <c r="B93" s="11">
        <v>46086</v>
      </c>
      <c r="C93" t="s">
        <v>113</v>
      </c>
      <c r="D93" t="s">
        <v>18</v>
      </c>
      <c r="E93" t="s">
        <v>112</v>
      </c>
      <c r="F93" s="12">
        <v>-59236</v>
      </c>
      <c r="G93" s="12">
        <v>-9036</v>
      </c>
      <c r="H93" s="12">
        <v>-50200</v>
      </c>
      <c r="I93" t="s">
        <v>94</v>
      </c>
    </row>
    <row r="94" spans="1:9" x14ac:dyDescent="0.2">
      <c r="A94">
        <v>50339</v>
      </c>
      <c r="B94" s="11">
        <v>46086</v>
      </c>
      <c r="C94" t="s">
        <v>110</v>
      </c>
      <c r="D94" t="s">
        <v>18</v>
      </c>
      <c r="E94" t="s">
        <v>112</v>
      </c>
      <c r="F94" s="12">
        <v>59236</v>
      </c>
      <c r="G94" s="12">
        <v>9036</v>
      </c>
      <c r="H94" s="12">
        <v>50200</v>
      </c>
      <c r="I94" t="s">
        <v>94</v>
      </c>
    </row>
    <row r="95" spans="1:9" x14ac:dyDescent="0.2">
      <c r="A95">
        <v>50338</v>
      </c>
      <c r="B95" s="11">
        <v>46086</v>
      </c>
      <c r="C95" t="s">
        <v>110</v>
      </c>
      <c r="D95" t="s">
        <v>14</v>
      </c>
      <c r="E95" t="s">
        <v>112</v>
      </c>
      <c r="F95" s="12">
        <v>138143</v>
      </c>
      <c r="G95" s="12">
        <v>21072.66</v>
      </c>
      <c r="H95" s="12">
        <v>117070.34</v>
      </c>
      <c r="I95" t="s">
        <v>94</v>
      </c>
    </row>
    <row r="96" spans="1:9" x14ac:dyDescent="0.2">
      <c r="A96">
        <v>50329</v>
      </c>
      <c r="B96" s="11">
        <v>46086</v>
      </c>
      <c r="C96" t="s">
        <v>110</v>
      </c>
      <c r="D96" t="s">
        <v>46</v>
      </c>
      <c r="E96" t="s">
        <v>112</v>
      </c>
      <c r="F96" s="12">
        <v>12318</v>
      </c>
      <c r="G96" s="12">
        <v>1879.02</v>
      </c>
      <c r="H96" s="12">
        <v>10438.98</v>
      </c>
      <c r="I96" t="s">
        <v>94</v>
      </c>
    </row>
    <row r="97" spans="1:9" x14ac:dyDescent="0.2">
      <c r="A97">
        <v>50328</v>
      </c>
      <c r="B97" s="11">
        <v>46086</v>
      </c>
      <c r="C97" t="s">
        <v>110</v>
      </c>
      <c r="D97" t="s">
        <v>14</v>
      </c>
      <c r="E97" t="s">
        <v>112</v>
      </c>
      <c r="F97" s="12">
        <v>126915</v>
      </c>
      <c r="G97" s="12">
        <v>19359.919999999998</v>
      </c>
      <c r="H97" s="12">
        <v>107555.08</v>
      </c>
      <c r="I97" t="s">
        <v>94</v>
      </c>
    </row>
    <row r="98" spans="1:9" x14ac:dyDescent="0.2">
      <c r="A98">
        <v>50327</v>
      </c>
      <c r="B98" s="11">
        <v>46086</v>
      </c>
      <c r="C98" t="s">
        <v>110</v>
      </c>
      <c r="D98" t="s">
        <v>68</v>
      </c>
      <c r="E98" t="s">
        <v>112</v>
      </c>
      <c r="F98" s="12">
        <v>2522</v>
      </c>
      <c r="G98" s="12">
        <v>384.71</v>
      </c>
      <c r="H98" s="12">
        <v>2137.29</v>
      </c>
      <c r="I98" t="s">
        <v>94</v>
      </c>
    </row>
    <row r="99" spans="1:9" x14ac:dyDescent="0.2">
      <c r="A99">
        <v>50335</v>
      </c>
      <c r="B99" s="11">
        <v>46086</v>
      </c>
      <c r="C99" t="s">
        <v>110</v>
      </c>
      <c r="D99" t="s">
        <v>115</v>
      </c>
      <c r="E99" t="s">
        <v>112</v>
      </c>
      <c r="F99" s="12">
        <v>9952</v>
      </c>
      <c r="G99" s="12">
        <v>1518.1</v>
      </c>
      <c r="H99" s="12">
        <v>8433.9</v>
      </c>
      <c r="I99" t="s">
        <v>94</v>
      </c>
    </row>
    <row r="100" spans="1:9" x14ac:dyDescent="0.2">
      <c r="A100">
        <v>50334</v>
      </c>
      <c r="B100" s="11">
        <v>46086</v>
      </c>
      <c r="C100" t="s">
        <v>110</v>
      </c>
      <c r="D100" t="s">
        <v>115</v>
      </c>
      <c r="E100" t="s">
        <v>112</v>
      </c>
      <c r="F100" s="12">
        <v>13343</v>
      </c>
      <c r="G100" s="12">
        <v>2035.37</v>
      </c>
      <c r="H100" s="12">
        <v>11307.63</v>
      </c>
      <c r="I100" t="s">
        <v>94</v>
      </c>
    </row>
    <row r="101" spans="1:9" x14ac:dyDescent="0.2">
      <c r="A101">
        <v>50331</v>
      </c>
      <c r="B101" s="11">
        <v>46086</v>
      </c>
      <c r="C101" t="s">
        <v>110</v>
      </c>
      <c r="D101" t="s">
        <v>135</v>
      </c>
      <c r="E101" t="s">
        <v>112</v>
      </c>
      <c r="F101" s="12">
        <v>52286</v>
      </c>
      <c r="G101" s="12">
        <v>7975.83</v>
      </c>
      <c r="H101" s="12">
        <v>44310.17</v>
      </c>
      <c r="I101" t="s">
        <v>94</v>
      </c>
    </row>
    <row r="102" spans="1:9" x14ac:dyDescent="0.2">
      <c r="A102">
        <v>50333</v>
      </c>
      <c r="B102" s="11">
        <v>46117</v>
      </c>
      <c r="C102" t="s">
        <v>110</v>
      </c>
      <c r="D102" t="s">
        <v>40</v>
      </c>
      <c r="E102" t="s">
        <v>136</v>
      </c>
      <c r="F102" s="12">
        <v>17180.8</v>
      </c>
      <c r="G102" s="12">
        <v>2620.8000000000002</v>
      </c>
      <c r="H102" s="12">
        <v>14560</v>
      </c>
      <c r="I102" t="s">
        <v>94</v>
      </c>
    </row>
    <row r="103" spans="1:9" x14ac:dyDescent="0.2">
      <c r="A103">
        <v>50332</v>
      </c>
      <c r="B103" s="11">
        <v>46117</v>
      </c>
      <c r="C103" t="s">
        <v>110</v>
      </c>
      <c r="D103" t="s">
        <v>118</v>
      </c>
      <c r="E103" t="s">
        <v>137</v>
      </c>
      <c r="F103" s="12">
        <v>27031.439999999999</v>
      </c>
      <c r="G103" s="12">
        <v>4123.4399999999996</v>
      </c>
      <c r="H103" s="12">
        <v>22908</v>
      </c>
      <c r="I103" t="s">
        <v>94</v>
      </c>
    </row>
    <row r="104" spans="1:9" x14ac:dyDescent="0.2">
      <c r="A104">
        <v>50341</v>
      </c>
      <c r="B104" s="11">
        <v>46300</v>
      </c>
      <c r="C104" t="s">
        <v>110</v>
      </c>
      <c r="D104" t="s">
        <v>66</v>
      </c>
      <c r="E104" t="s">
        <v>112</v>
      </c>
      <c r="F104" s="12">
        <v>4130</v>
      </c>
      <c r="G104" s="12">
        <v>630</v>
      </c>
      <c r="H104" s="12">
        <v>3500</v>
      </c>
      <c r="I104" t="s">
        <v>94</v>
      </c>
    </row>
    <row r="105" spans="1:9" x14ac:dyDescent="0.2">
      <c r="A105">
        <v>70104</v>
      </c>
      <c r="B105" t="s">
        <v>138</v>
      </c>
      <c r="C105" t="s">
        <v>113</v>
      </c>
      <c r="D105" t="s">
        <v>73</v>
      </c>
      <c r="E105" t="s">
        <v>139</v>
      </c>
      <c r="F105" s="12">
        <v>-3186</v>
      </c>
      <c r="G105" s="12">
        <v>-486</v>
      </c>
      <c r="H105" s="12">
        <v>-2700</v>
      </c>
      <c r="I105" t="s">
        <v>94</v>
      </c>
    </row>
    <row r="106" spans="1:9" x14ac:dyDescent="0.2">
      <c r="A106">
        <v>50342</v>
      </c>
      <c r="B106" t="s">
        <v>138</v>
      </c>
      <c r="C106" t="s">
        <v>110</v>
      </c>
      <c r="D106" t="s">
        <v>73</v>
      </c>
      <c r="E106" t="s">
        <v>140</v>
      </c>
      <c r="F106" s="12">
        <v>3186</v>
      </c>
      <c r="G106" s="12">
        <v>486</v>
      </c>
      <c r="H106" s="12">
        <v>2700</v>
      </c>
      <c r="I106" t="s">
        <v>94</v>
      </c>
    </row>
    <row r="107" spans="1:9" x14ac:dyDescent="0.2">
      <c r="A107">
        <v>50344</v>
      </c>
      <c r="B107" t="s">
        <v>141</v>
      </c>
      <c r="C107" t="s">
        <v>110</v>
      </c>
      <c r="D107" t="s">
        <v>142</v>
      </c>
      <c r="E107" t="s">
        <v>112</v>
      </c>
      <c r="F107" s="12">
        <v>28055</v>
      </c>
      <c r="G107" s="12">
        <v>4279.58</v>
      </c>
      <c r="H107" s="12">
        <v>23775.42</v>
      </c>
      <c r="I107" t="s">
        <v>94</v>
      </c>
    </row>
    <row r="108" spans="1:9" x14ac:dyDescent="0.2">
      <c r="A108">
        <v>50343</v>
      </c>
      <c r="B108" t="s">
        <v>141</v>
      </c>
      <c r="C108" t="s">
        <v>110</v>
      </c>
      <c r="D108" t="s">
        <v>132</v>
      </c>
      <c r="E108" t="s">
        <v>112</v>
      </c>
      <c r="F108" s="12">
        <v>110448</v>
      </c>
      <c r="G108" s="12">
        <v>16848</v>
      </c>
      <c r="H108" s="12">
        <v>93600</v>
      </c>
      <c r="I108" t="s">
        <v>94</v>
      </c>
    </row>
    <row r="109" spans="1:9" x14ac:dyDescent="0.2">
      <c r="A109">
        <v>70105</v>
      </c>
      <c r="B109" t="s">
        <v>141</v>
      </c>
      <c r="C109" t="s">
        <v>113</v>
      </c>
      <c r="D109" t="s">
        <v>76</v>
      </c>
      <c r="E109" t="s">
        <v>112</v>
      </c>
      <c r="F109" s="12">
        <v>-10384</v>
      </c>
      <c r="G109" s="12">
        <v>-1584</v>
      </c>
      <c r="H109" s="12">
        <v>-8800</v>
      </c>
      <c r="I109" t="s">
        <v>94</v>
      </c>
    </row>
    <row r="110" spans="1:9" x14ac:dyDescent="0.2">
      <c r="A110">
        <v>60034</v>
      </c>
      <c r="B110" s="11">
        <v>46028</v>
      </c>
      <c r="C110" t="s">
        <v>143</v>
      </c>
      <c r="D110" t="s">
        <v>14</v>
      </c>
      <c r="E110" t="s">
        <v>112</v>
      </c>
      <c r="F110" s="12">
        <v>159630</v>
      </c>
      <c r="G110" s="12">
        <v>24350.34</v>
      </c>
      <c r="H110" s="12">
        <v>135279.66</v>
      </c>
      <c r="I110" t="s">
        <v>96</v>
      </c>
    </row>
    <row r="111" spans="1:9" x14ac:dyDescent="0.2">
      <c r="A111">
        <v>60033</v>
      </c>
      <c r="B111" s="11">
        <v>46028</v>
      </c>
      <c r="C111" t="s">
        <v>143</v>
      </c>
      <c r="D111" t="s">
        <v>118</v>
      </c>
      <c r="E111" t="s">
        <v>112</v>
      </c>
      <c r="F111" s="12">
        <v>41578</v>
      </c>
      <c r="G111" s="12">
        <v>6342.41</v>
      </c>
      <c r="H111" s="12">
        <v>35235.589999999997</v>
      </c>
      <c r="I111" t="s">
        <v>96</v>
      </c>
    </row>
    <row r="112" spans="1:9" x14ac:dyDescent="0.2">
      <c r="A112">
        <v>60032</v>
      </c>
      <c r="B112" s="11">
        <v>46028</v>
      </c>
      <c r="C112" t="s">
        <v>143</v>
      </c>
      <c r="D112" t="s">
        <v>40</v>
      </c>
      <c r="E112" t="s">
        <v>112</v>
      </c>
      <c r="F112" s="12">
        <v>9169</v>
      </c>
      <c r="G112" s="12">
        <v>1398.66</v>
      </c>
      <c r="H112" s="12">
        <v>7770.34</v>
      </c>
      <c r="I112" t="s">
        <v>96</v>
      </c>
    </row>
    <row r="113" spans="1:9" x14ac:dyDescent="0.2">
      <c r="A113">
        <v>60036</v>
      </c>
      <c r="B113" s="11">
        <v>46240</v>
      </c>
      <c r="C113" t="s">
        <v>143</v>
      </c>
      <c r="D113" t="s">
        <v>115</v>
      </c>
      <c r="E113" t="s">
        <v>144</v>
      </c>
      <c r="F113" s="12">
        <v>28733</v>
      </c>
      <c r="G113" s="12">
        <v>4383</v>
      </c>
      <c r="H113" s="12">
        <v>24350</v>
      </c>
      <c r="I113" t="s">
        <v>96</v>
      </c>
    </row>
    <row r="114" spans="1:9" x14ac:dyDescent="0.2">
      <c r="A114">
        <v>60035</v>
      </c>
      <c r="B114" s="11">
        <v>46240</v>
      </c>
      <c r="C114" t="s">
        <v>143</v>
      </c>
      <c r="D114" t="s">
        <v>114</v>
      </c>
      <c r="E114" t="s">
        <v>112</v>
      </c>
      <c r="F114" s="12">
        <v>25772</v>
      </c>
      <c r="G114" s="12">
        <v>3931.32</v>
      </c>
      <c r="H114" s="12">
        <v>21840.68</v>
      </c>
      <c r="I114" t="s">
        <v>96</v>
      </c>
    </row>
    <row r="115" spans="1:9" x14ac:dyDescent="0.2">
      <c r="A115">
        <v>60037</v>
      </c>
      <c r="B115" s="11">
        <v>46271</v>
      </c>
      <c r="C115" t="s">
        <v>143</v>
      </c>
      <c r="D115" t="s">
        <v>135</v>
      </c>
      <c r="E115" t="s">
        <v>112</v>
      </c>
      <c r="F115" s="12">
        <v>103135</v>
      </c>
      <c r="G115" s="12">
        <v>15732.46</v>
      </c>
      <c r="H115" s="12">
        <v>87402.54</v>
      </c>
      <c r="I115" t="s">
        <v>96</v>
      </c>
    </row>
    <row r="116" spans="1:9" x14ac:dyDescent="0.2">
      <c r="A116">
        <v>60039</v>
      </c>
      <c r="B116" t="s">
        <v>145</v>
      </c>
      <c r="C116" t="s">
        <v>143</v>
      </c>
      <c r="D116" t="s">
        <v>116</v>
      </c>
      <c r="E116" t="s">
        <v>112</v>
      </c>
      <c r="F116" s="12">
        <v>73756</v>
      </c>
      <c r="G116" s="12">
        <v>11250.92</v>
      </c>
      <c r="H116" s="12">
        <v>62505.08</v>
      </c>
      <c r="I116" t="s">
        <v>96</v>
      </c>
    </row>
    <row r="117" spans="1:9" x14ac:dyDescent="0.2">
      <c r="A117">
        <v>60038</v>
      </c>
      <c r="B117" t="s">
        <v>145</v>
      </c>
      <c r="C117" t="s">
        <v>143</v>
      </c>
      <c r="D117" t="s">
        <v>54</v>
      </c>
      <c r="E117" t="s">
        <v>112</v>
      </c>
      <c r="F117" s="12">
        <v>14249</v>
      </c>
      <c r="G117" s="12">
        <v>2173.58</v>
      </c>
      <c r="H117" s="12">
        <v>12075.42</v>
      </c>
      <c r="I117" t="s">
        <v>96</v>
      </c>
    </row>
    <row r="118" spans="1:9" x14ac:dyDescent="0.2">
      <c r="A118">
        <v>60040</v>
      </c>
      <c r="B118" s="11">
        <v>46241</v>
      </c>
      <c r="C118" t="s">
        <v>143</v>
      </c>
      <c r="D118" t="s">
        <v>146</v>
      </c>
      <c r="E118" t="s">
        <v>147</v>
      </c>
      <c r="F118" s="12">
        <v>43158.5</v>
      </c>
      <c r="G118" s="12">
        <v>6583.5</v>
      </c>
      <c r="H118" s="12">
        <v>36575</v>
      </c>
      <c r="I118" t="s">
        <v>98</v>
      </c>
    </row>
    <row r="119" spans="1:9" x14ac:dyDescent="0.2">
      <c r="A119">
        <v>50345</v>
      </c>
      <c r="B119" s="11">
        <v>46272</v>
      </c>
      <c r="C119" t="s">
        <v>110</v>
      </c>
      <c r="D119" t="s">
        <v>116</v>
      </c>
      <c r="E119" t="s">
        <v>147</v>
      </c>
      <c r="F119" s="12">
        <v>112180.24</v>
      </c>
      <c r="G119" s="12">
        <v>17112.240000000002</v>
      </c>
      <c r="H119" s="12">
        <v>95068</v>
      </c>
      <c r="I119" t="s">
        <v>98</v>
      </c>
    </row>
    <row r="120" spans="1:9" x14ac:dyDescent="0.2">
      <c r="A120">
        <v>50346</v>
      </c>
      <c r="B120" s="11">
        <v>46363</v>
      </c>
      <c r="C120" t="s">
        <v>110</v>
      </c>
      <c r="D120" t="s">
        <v>142</v>
      </c>
      <c r="E120" t="s">
        <v>147</v>
      </c>
      <c r="F120" s="12">
        <v>32745</v>
      </c>
      <c r="G120" s="12">
        <v>4995</v>
      </c>
      <c r="H120" s="12">
        <v>27750</v>
      </c>
      <c r="I120" t="s">
        <v>98</v>
      </c>
    </row>
    <row r="121" spans="1:9" x14ac:dyDescent="0.2">
      <c r="A121">
        <v>70107</v>
      </c>
      <c r="B121" t="s">
        <v>148</v>
      </c>
      <c r="C121" t="s">
        <v>113</v>
      </c>
      <c r="D121" t="s">
        <v>142</v>
      </c>
      <c r="E121" t="s">
        <v>149</v>
      </c>
      <c r="F121" s="12">
        <v>-32745</v>
      </c>
      <c r="G121" s="12">
        <v>-4995</v>
      </c>
      <c r="H121" s="12">
        <v>-27750</v>
      </c>
      <c r="I121" t="s">
        <v>98</v>
      </c>
    </row>
    <row r="122" spans="1:9" x14ac:dyDescent="0.2">
      <c r="A122">
        <v>70106</v>
      </c>
      <c r="B122" t="s">
        <v>148</v>
      </c>
      <c r="C122" t="s">
        <v>113</v>
      </c>
      <c r="D122" t="s">
        <v>142</v>
      </c>
      <c r="E122" t="s">
        <v>150</v>
      </c>
      <c r="F122" s="12">
        <v>-2832</v>
      </c>
      <c r="G122" s="12">
        <v>-432</v>
      </c>
      <c r="H122" s="12">
        <v>-2400</v>
      </c>
      <c r="I122" t="s">
        <v>98</v>
      </c>
    </row>
    <row r="123" spans="1:9" x14ac:dyDescent="0.2">
      <c r="A123">
        <v>50349</v>
      </c>
      <c r="B123" t="s">
        <v>148</v>
      </c>
      <c r="C123" t="s">
        <v>110</v>
      </c>
      <c r="D123" t="s">
        <v>142</v>
      </c>
      <c r="E123" t="s">
        <v>151</v>
      </c>
      <c r="F123" s="12">
        <v>2668.28</v>
      </c>
      <c r="G123" s="12">
        <v>407.03</v>
      </c>
      <c r="H123" s="12">
        <v>2261.25</v>
      </c>
      <c r="I123" t="s">
        <v>98</v>
      </c>
    </row>
    <row r="124" spans="1:9" x14ac:dyDescent="0.2">
      <c r="A124">
        <v>50348</v>
      </c>
      <c r="B124" t="s">
        <v>148</v>
      </c>
      <c r="C124" t="s">
        <v>110</v>
      </c>
      <c r="D124" t="s">
        <v>142</v>
      </c>
      <c r="E124" t="s">
        <v>152</v>
      </c>
      <c r="F124" s="12">
        <v>32975.1</v>
      </c>
      <c r="G124" s="12">
        <v>5030.1000000000004</v>
      </c>
      <c r="H124" s="12">
        <v>27945</v>
      </c>
      <c r="I124" t="s">
        <v>98</v>
      </c>
    </row>
    <row r="125" spans="1:9" x14ac:dyDescent="0.2">
      <c r="A125">
        <v>60042</v>
      </c>
      <c r="B125" t="s">
        <v>148</v>
      </c>
      <c r="C125" t="s">
        <v>143</v>
      </c>
      <c r="D125" t="s">
        <v>114</v>
      </c>
      <c r="E125" t="s">
        <v>112</v>
      </c>
      <c r="F125" s="12">
        <v>25771.79</v>
      </c>
      <c r="G125" s="12">
        <v>3931.29</v>
      </c>
      <c r="H125" s="12">
        <v>21840.5</v>
      </c>
      <c r="I125" t="s">
        <v>98</v>
      </c>
    </row>
    <row r="126" spans="1:9" x14ac:dyDescent="0.2">
      <c r="A126">
        <v>60041</v>
      </c>
      <c r="B126" t="s">
        <v>148</v>
      </c>
      <c r="C126" t="s">
        <v>143</v>
      </c>
      <c r="D126" t="s">
        <v>153</v>
      </c>
      <c r="E126" t="s">
        <v>154</v>
      </c>
      <c r="F126" s="12">
        <v>42075.85</v>
      </c>
      <c r="G126" s="12">
        <v>6418.35</v>
      </c>
      <c r="H126" s="12">
        <v>35657.5</v>
      </c>
      <c r="I126" t="s">
        <v>98</v>
      </c>
    </row>
    <row r="127" spans="1:9" x14ac:dyDescent="0.2">
      <c r="A127">
        <v>50347</v>
      </c>
      <c r="B127" t="s">
        <v>148</v>
      </c>
      <c r="C127" t="s">
        <v>110</v>
      </c>
      <c r="D127" t="s">
        <v>142</v>
      </c>
      <c r="E127" t="s">
        <v>155</v>
      </c>
      <c r="F127" s="12">
        <v>2832</v>
      </c>
      <c r="G127" s="12">
        <v>432</v>
      </c>
      <c r="H127" s="12">
        <v>2400</v>
      </c>
      <c r="I127" t="s">
        <v>98</v>
      </c>
    </row>
    <row r="128" spans="1:9" x14ac:dyDescent="0.2">
      <c r="A128">
        <v>60043</v>
      </c>
      <c r="B128" t="s">
        <v>148</v>
      </c>
      <c r="C128" t="s">
        <v>143</v>
      </c>
      <c r="D128" t="s">
        <v>14</v>
      </c>
      <c r="E128" t="s">
        <v>147</v>
      </c>
      <c r="F128" s="12">
        <v>182846.9</v>
      </c>
      <c r="G128" s="12">
        <v>27891.9</v>
      </c>
      <c r="H128" s="12">
        <v>154955</v>
      </c>
      <c r="I128" t="s">
        <v>98</v>
      </c>
    </row>
    <row r="129" spans="1:9" x14ac:dyDescent="0.2">
      <c r="A129">
        <v>70108</v>
      </c>
      <c r="B129" t="s">
        <v>156</v>
      </c>
      <c r="C129" t="s">
        <v>113</v>
      </c>
      <c r="D129" t="s">
        <v>18</v>
      </c>
      <c r="E129" t="s">
        <v>112</v>
      </c>
      <c r="F129" s="12">
        <v>-97792.5</v>
      </c>
      <c r="G129" s="12">
        <v>-14917.5</v>
      </c>
      <c r="H129" s="12">
        <v>-82875</v>
      </c>
      <c r="I129" t="s">
        <v>98</v>
      </c>
    </row>
    <row r="130" spans="1:9" x14ac:dyDescent="0.2">
      <c r="A130">
        <v>50350</v>
      </c>
      <c r="B130" t="s">
        <v>156</v>
      </c>
      <c r="C130" t="s">
        <v>110</v>
      </c>
      <c r="D130" t="s">
        <v>18</v>
      </c>
      <c r="E130" t="s">
        <v>112</v>
      </c>
      <c r="F130" s="12">
        <v>97792.5</v>
      </c>
      <c r="G130" s="12">
        <v>14917.5</v>
      </c>
      <c r="H130" s="12">
        <v>82875</v>
      </c>
      <c r="I130" t="s">
        <v>98</v>
      </c>
    </row>
    <row r="131" spans="1:9" x14ac:dyDescent="0.2">
      <c r="A131">
        <v>60046</v>
      </c>
      <c r="B131" t="s">
        <v>157</v>
      </c>
      <c r="C131" t="s">
        <v>143</v>
      </c>
      <c r="D131" t="s">
        <v>158</v>
      </c>
      <c r="E131" t="s">
        <v>147</v>
      </c>
      <c r="F131" s="12">
        <v>7174.4</v>
      </c>
      <c r="G131" s="12">
        <v>1094.4000000000001</v>
      </c>
      <c r="H131" s="12">
        <v>6080</v>
      </c>
      <c r="I131" t="s">
        <v>98</v>
      </c>
    </row>
    <row r="132" spans="1:9" x14ac:dyDescent="0.2">
      <c r="A132">
        <v>60044</v>
      </c>
      <c r="B132" t="s">
        <v>157</v>
      </c>
      <c r="C132" t="s">
        <v>143</v>
      </c>
      <c r="D132" t="s">
        <v>118</v>
      </c>
      <c r="E132" t="s">
        <v>147</v>
      </c>
      <c r="F132" s="12">
        <v>52272</v>
      </c>
      <c r="G132" s="12">
        <v>7973.69</v>
      </c>
      <c r="H132" s="12">
        <v>44298.31</v>
      </c>
      <c r="I132" t="s">
        <v>98</v>
      </c>
    </row>
    <row r="133" spans="1:9" x14ac:dyDescent="0.2">
      <c r="A133">
        <v>50351</v>
      </c>
      <c r="B133" t="s">
        <v>159</v>
      </c>
      <c r="C133" t="s">
        <v>110</v>
      </c>
      <c r="D133" t="s">
        <v>115</v>
      </c>
      <c r="E133" t="s">
        <v>160</v>
      </c>
      <c r="F133" s="12">
        <v>26697.5</v>
      </c>
      <c r="G133" s="12">
        <v>4072.5</v>
      </c>
      <c r="H133" s="12">
        <v>22625</v>
      </c>
      <c r="I133" t="s">
        <v>98</v>
      </c>
    </row>
    <row r="134" spans="1:9" x14ac:dyDescent="0.2">
      <c r="A134">
        <v>60045</v>
      </c>
      <c r="B134" t="s">
        <v>159</v>
      </c>
      <c r="C134" t="s">
        <v>143</v>
      </c>
      <c r="D134" t="s">
        <v>132</v>
      </c>
      <c r="E134" t="s">
        <v>147</v>
      </c>
      <c r="F134" s="12">
        <v>126296</v>
      </c>
      <c r="G134" s="12">
        <v>19265.490000000002</v>
      </c>
      <c r="H134" s="12">
        <v>107030.51</v>
      </c>
      <c r="I134" t="s">
        <v>98</v>
      </c>
    </row>
    <row r="135" spans="1:9" x14ac:dyDescent="0.2">
      <c r="A135">
        <v>50355</v>
      </c>
      <c r="B135" t="s">
        <v>161</v>
      </c>
      <c r="C135" t="s">
        <v>110</v>
      </c>
      <c r="D135" t="s">
        <v>153</v>
      </c>
      <c r="E135" t="s">
        <v>147</v>
      </c>
      <c r="F135" s="12">
        <v>102940.84</v>
      </c>
      <c r="G135" s="12">
        <v>15702.84</v>
      </c>
      <c r="H135" s="12">
        <v>87238</v>
      </c>
      <c r="I135" t="s">
        <v>98</v>
      </c>
    </row>
    <row r="136" spans="1:9" x14ac:dyDescent="0.2">
      <c r="A136">
        <v>50352</v>
      </c>
      <c r="B136" t="s">
        <v>161</v>
      </c>
      <c r="C136" t="s">
        <v>110</v>
      </c>
      <c r="D136" t="s">
        <v>135</v>
      </c>
      <c r="E136" t="s">
        <v>147</v>
      </c>
      <c r="F136" s="12">
        <v>104353.3</v>
      </c>
      <c r="G136" s="12">
        <v>15918.3</v>
      </c>
      <c r="H136" s="12">
        <v>88435</v>
      </c>
      <c r="I136" t="s">
        <v>98</v>
      </c>
    </row>
    <row r="137" spans="1:9" x14ac:dyDescent="0.2">
      <c r="A137">
        <v>50353</v>
      </c>
      <c r="B137" s="11">
        <v>46061</v>
      </c>
      <c r="C137" t="s">
        <v>110</v>
      </c>
      <c r="D137" t="s">
        <v>117</v>
      </c>
      <c r="E137" t="s">
        <v>112</v>
      </c>
      <c r="F137" s="12">
        <v>64257.58</v>
      </c>
      <c r="G137" s="12">
        <v>9802</v>
      </c>
      <c r="H137" s="12">
        <v>54455.58</v>
      </c>
      <c r="I137" t="s">
        <v>100</v>
      </c>
    </row>
    <row r="138" spans="1:9" x14ac:dyDescent="0.2">
      <c r="A138">
        <v>60047</v>
      </c>
      <c r="B138" s="11">
        <v>46120</v>
      </c>
      <c r="C138" t="s">
        <v>143</v>
      </c>
      <c r="D138" t="s">
        <v>56</v>
      </c>
      <c r="E138" t="s">
        <v>162</v>
      </c>
      <c r="F138" s="12">
        <v>10089</v>
      </c>
      <c r="G138" s="12">
        <v>1539</v>
      </c>
      <c r="H138" s="12">
        <v>8550</v>
      </c>
      <c r="I138" t="s">
        <v>100</v>
      </c>
    </row>
    <row r="139" spans="1:9" x14ac:dyDescent="0.2">
      <c r="A139">
        <v>60049</v>
      </c>
      <c r="B139" s="11">
        <v>46150</v>
      </c>
      <c r="C139" t="s">
        <v>143</v>
      </c>
      <c r="D139" t="s">
        <v>118</v>
      </c>
      <c r="E139" t="s">
        <v>147</v>
      </c>
      <c r="F139" s="12">
        <v>50588.959999999999</v>
      </c>
      <c r="G139" s="12">
        <v>7716.96</v>
      </c>
      <c r="H139" s="12">
        <v>42872</v>
      </c>
      <c r="I139" t="s">
        <v>100</v>
      </c>
    </row>
    <row r="140" spans="1:9" x14ac:dyDescent="0.2">
      <c r="A140">
        <v>60048</v>
      </c>
      <c r="B140" s="11">
        <v>46150</v>
      </c>
      <c r="C140" t="s">
        <v>143</v>
      </c>
      <c r="D140" t="s">
        <v>146</v>
      </c>
      <c r="E140" t="s">
        <v>162</v>
      </c>
      <c r="F140" s="12">
        <v>40614.42</v>
      </c>
      <c r="G140" s="12">
        <v>6195.42</v>
      </c>
      <c r="H140" s="12">
        <v>34419</v>
      </c>
      <c r="I140" t="s">
        <v>100</v>
      </c>
    </row>
    <row r="141" spans="1:9" x14ac:dyDescent="0.2">
      <c r="A141">
        <v>60050</v>
      </c>
      <c r="B141" s="11">
        <v>46181</v>
      </c>
      <c r="C141" t="s">
        <v>143</v>
      </c>
      <c r="D141" t="s">
        <v>116</v>
      </c>
      <c r="E141" t="s">
        <v>162</v>
      </c>
      <c r="F141" s="12">
        <v>282192.28000000003</v>
      </c>
      <c r="G141" s="12">
        <v>43046.28</v>
      </c>
      <c r="H141" s="12">
        <v>239146</v>
      </c>
      <c r="I141" t="s">
        <v>100</v>
      </c>
    </row>
    <row r="142" spans="1:9" x14ac:dyDescent="0.2">
      <c r="A142">
        <v>70109</v>
      </c>
      <c r="B142" s="11">
        <v>46273</v>
      </c>
      <c r="C142" t="s">
        <v>113</v>
      </c>
      <c r="D142" t="s">
        <v>153</v>
      </c>
      <c r="E142" t="s">
        <v>149</v>
      </c>
      <c r="F142" s="12">
        <v>-102940.84</v>
      </c>
      <c r="G142" s="12">
        <v>-15702.84</v>
      </c>
      <c r="H142" s="12">
        <v>-87238</v>
      </c>
      <c r="I142" t="s">
        <v>100</v>
      </c>
    </row>
    <row r="143" spans="1:9" x14ac:dyDescent="0.2">
      <c r="A143">
        <v>60052</v>
      </c>
      <c r="B143" s="11">
        <v>46273</v>
      </c>
      <c r="C143" t="s">
        <v>143</v>
      </c>
      <c r="D143" t="s">
        <v>114</v>
      </c>
      <c r="E143" t="s">
        <v>112</v>
      </c>
      <c r="F143" s="12">
        <v>25772</v>
      </c>
      <c r="G143" s="12">
        <v>3931.32</v>
      </c>
      <c r="H143" s="12">
        <v>21840.68</v>
      </c>
      <c r="I143" t="s">
        <v>100</v>
      </c>
    </row>
    <row r="144" spans="1:9" x14ac:dyDescent="0.2">
      <c r="A144">
        <v>60051</v>
      </c>
      <c r="B144" s="11">
        <v>46273</v>
      </c>
      <c r="C144" t="s">
        <v>143</v>
      </c>
      <c r="D144" t="s">
        <v>163</v>
      </c>
      <c r="E144" t="s">
        <v>164</v>
      </c>
      <c r="F144" s="12">
        <v>8177.4</v>
      </c>
      <c r="G144" s="12">
        <v>1247.4000000000001</v>
      </c>
      <c r="H144" s="12">
        <v>6930</v>
      </c>
      <c r="I144" t="s">
        <v>100</v>
      </c>
    </row>
    <row r="145" spans="1:9" x14ac:dyDescent="0.2">
      <c r="A145">
        <v>50354</v>
      </c>
      <c r="B145" s="11">
        <v>46273</v>
      </c>
      <c r="C145" t="s">
        <v>110</v>
      </c>
      <c r="D145" t="s">
        <v>153</v>
      </c>
      <c r="E145" t="s">
        <v>147</v>
      </c>
      <c r="F145" s="12">
        <v>102940.84</v>
      </c>
      <c r="G145" s="12">
        <v>15702.84</v>
      </c>
      <c r="H145" s="12">
        <v>87238</v>
      </c>
      <c r="I145" t="s">
        <v>100</v>
      </c>
    </row>
    <row r="146" spans="1:9" x14ac:dyDescent="0.2">
      <c r="A146">
        <v>50357</v>
      </c>
      <c r="B146" s="11">
        <v>46334</v>
      </c>
      <c r="C146" t="s">
        <v>110</v>
      </c>
      <c r="D146" t="s">
        <v>142</v>
      </c>
      <c r="E146" t="s">
        <v>165</v>
      </c>
      <c r="F146" s="12">
        <v>1697</v>
      </c>
      <c r="G146" s="12">
        <v>258.87</v>
      </c>
      <c r="H146" s="12">
        <v>1438.13</v>
      </c>
      <c r="I146" t="s">
        <v>100</v>
      </c>
    </row>
    <row r="147" spans="1:9" x14ac:dyDescent="0.2">
      <c r="A147">
        <v>50356</v>
      </c>
      <c r="B147" s="11">
        <v>46334</v>
      </c>
      <c r="C147" t="s">
        <v>110</v>
      </c>
      <c r="D147" t="s">
        <v>142</v>
      </c>
      <c r="E147" t="s">
        <v>166</v>
      </c>
      <c r="F147" s="12">
        <v>34367</v>
      </c>
      <c r="G147" s="12">
        <v>5242.43</v>
      </c>
      <c r="H147" s="12">
        <v>29124.57</v>
      </c>
      <c r="I147" t="s">
        <v>100</v>
      </c>
    </row>
    <row r="148" spans="1:9" x14ac:dyDescent="0.2">
      <c r="A148">
        <v>60053</v>
      </c>
      <c r="B148" s="11">
        <v>46334</v>
      </c>
      <c r="C148" t="s">
        <v>143</v>
      </c>
      <c r="D148" t="s">
        <v>115</v>
      </c>
      <c r="E148" t="s">
        <v>167</v>
      </c>
      <c r="F148" s="12">
        <v>24425.66</v>
      </c>
      <c r="G148" s="12">
        <v>3725.95</v>
      </c>
      <c r="H148" s="12">
        <v>20699.71</v>
      </c>
      <c r="I148" t="s">
        <v>100</v>
      </c>
    </row>
    <row r="149" spans="1:9" x14ac:dyDescent="0.2">
      <c r="A149">
        <v>60054</v>
      </c>
      <c r="B149" t="s">
        <v>168</v>
      </c>
      <c r="C149" t="s">
        <v>143</v>
      </c>
      <c r="D149" t="s">
        <v>158</v>
      </c>
      <c r="E149" t="s">
        <v>162</v>
      </c>
      <c r="F149" s="12">
        <v>16426</v>
      </c>
      <c r="G149" s="12">
        <v>2505.66</v>
      </c>
      <c r="H149" s="12">
        <v>13920.34</v>
      </c>
      <c r="I149" t="s">
        <v>100</v>
      </c>
    </row>
    <row r="150" spans="1:9" x14ac:dyDescent="0.2">
      <c r="A150">
        <v>50358</v>
      </c>
      <c r="B150" t="s">
        <v>169</v>
      </c>
      <c r="C150" t="s">
        <v>110</v>
      </c>
      <c r="D150" t="s">
        <v>132</v>
      </c>
      <c r="E150" t="s">
        <v>170</v>
      </c>
      <c r="F150" s="12">
        <v>112398</v>
      </c>
      <c r="G150" s="12">
        <v>17145.46</v>
      </c>
      <c r="H150" s="12">
        <v>95252.54</v>
      </c>
      <c r="I150" t="s">
        <v>100</v>
      </c>
    </row>
    <row r="151" spans="1:9" x14ac:dyDescent="0.2">
      <c r="A151">
        <v>50359</v>
      </c>
      <c r="B151" t="s">
        <v>171</v>
      </c>
      <c r="C151" t="s">
        <v>110</v>
      </c>
      <c r="D151" t="s">
        <v>135</v>
      </c>
      <c r="E151" t="s">
        <v>147</v>
      </c>
      <c r="F151" s="12">
        <v>104550.95</v>
      </c>
      <c r="G151" s="12">
        <v>15948.45</v>
      </c>
      <c r="H151" s="12">
        <v>88602.5</v>
      </c>
      <c r="I151" t="s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E68EB-A2DF-4156-9129-99DA10FC38C7}">
  <dimension ref="A1:A31"/>
  <sheetViews>
    <sheetView rightToLeft="1" workbookViewId="0"/>
  </sheetViews>
  <sheetFormatPr defaultRowHeight="14.25" x14ac:dyDescent="0.2"/>
  <cols>
    <col min="1" max="1" width="130.625" customWidth="1"/>
  </cols>
  <sheetData>
    <row r="1" spans="1:1" ht="20.25" x14ac:dyDescent="0.3">
      <c r="A1" s="14" t="s">
        <v>172</v>
      </c>
    </row>
    <row r="2" spans="1:1" x14ac:dyDescent="0.2">
      <c r="A2" s="9"/>
    </row>
    <row r="3" spans="1:1" ht="15.75" x14ac:dyDescent="0.25">
      <c r="A3" s="13" t="s">
        <v>173</v>
      </c>
    </row>
    <row r="4" spans="1:1" x14ac:dyDescent="0.2">
      <c r="A4" s="9" t="s">
        <v>174</v>
      </c>
    </row>
    <row r="5" spans="1:1" x14ac:dyDescent="0.2">
      <c r="A5" s="9" t="s">
        <v>175</v>
      </c>
    </row>
    <row r="6" spans="1:1" x14ac:dyDescent="0.2">
      <c r="A6" s="9" t="s">
        <v>176</v>
      </c>
    </row>
    <row r="7" spans="1:1" x14ac:dyDescent="0.2">
      <c r="A7" s="9"/>
    </row>
    <row r="8" spans="1:1" ht="15.75" x14ac:dyDescent="0.25">
      <c r="A8" s="13" t="s">
        <v>107</v>
      </c>
    </row>
    <row r="9" spans="1:1" ht="28.5" x14ac:dyDescent="0.2">
      <c r="A9" s="9" t="s">
        <v>177</v>
      </c>
    </row>
    <row r="10" spans="1:1" x14ac:dyDescent="0.2">
      <c r="A10" s="9"/>
    </row>
    <row r="11" spans="1:1" ht="15.75" x14ac:dyDescent="0.25">
      <c r="A11" s="13" t="s">
        <v>178</v>
      </c>
    </row>
    <row r="12" spans="1:1" x14ac:dyDescent="0.2">
      <c r="A12" s="9" t="s">
        <v>179</v>
      </c>
    </row>
    <row r="13" spans="1:1" ht="28.5" x14ac:dyDescent="0.2">
      <c r="A13" s="9" t="s">
        <v>180</v>
      </c>
    </row>
    <row r="14" spans="1:1" x14ac:dyDescent="0.2">
      <c r="A14" s="9" t="s">
        <v>181</v>
      </c>
    </row>
    <row r="15" spans="1:1" x14ac:dyDescent="0.2">
      <c r="A15" s="9" t="s">
        <v>182</v>
      </c>
    </row>
    <row r="16" spans="1:1" x14ac:dyDescent="0.2">
      <c r="A16" s="9"/>
    </row>
    <row r="17" spans="1:1" ht="15.75" x14ac:dyDescent="0.25">
      <c r="A17" s="13" t="s">
        <v>183</v>
      </c>
    </row>
    <row r="18" spans="1:1" x14ac:dyDescent="0.2">
      <c r="A18" s="9" t="s">
        <v>184</v>
      </c>
    </row>
    <row r="19" spans="1:1" x14ac:dyDescent="0.2">
      <c r="A19" s="9" t="s">
        <v>185</v>
      </c>
    </row>
    <row r="20" spans="1:1" x14ac:dyDescent="0.2">
      <c r="A20" s="9"/>
    </row>
    <row r="21" spans="1:1" ht="15.75" x14ac:dyDescent="0.25">
      <c r="A21" s="13" t="s">
        <v>186</v>
      </c>
    </row>
    <row r="22" spans="1:1" ht="28.5" x14ac:dyDescent="0.2">
      <c r="A22" s="9" t="s">
        <v>187</v>
      </c>
    </row>
    <row r="23" spans="1:1" x14ac:dyDescent="0.2">
      <c r="A23" s="9" t="s">
        <v>188</v>
      </c>
    </row>
    <row r="24" spans="1:1" x14ac:dyDescent="0.2">
      <c r="A24" s="9" t="s">
        <v>189</v>
      </c>
    </row>
    <row r="25" spans="1:1" ht="28.5" x14ac:dyDescent="0.2">
      <c r="A25" s="9" t="s">
        <v>190</v>
      </c>
    </row>
    <row r="26" spans="1:1" x14ac:dyDescent="0.2">
      <c r="A26" s="9" t="s">
        <v>191</v>
      </c>
    </row>
    <row r="27" spans="1:1" x14ac:dyDescent="0.2">
      <c r="A27" s="9" t="s">
        <v>192</v>
      </c>
    </row>
    <row r="28" spans="1:1" x14ac:dyDescent="0.2">
      <c r="A28" s="9"/>
    </row>
    <row r="29" spans="1:1" ht="15.75" x14ac:dyDescent="0.25">
      <c r="A29" s="13" t="s">
        <v>193</v>
      </c>
    </row>
    <row r="30" spans="1:1" x14ac:dyDescent="0.2">
      <c r="A30" s="9" t="s">
        <v>194</v>
      </c>
    </row>
    <row r="31" spans="1:1" x14ac:dyDescent="0.2">
      <c r="A3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5</vt:i4>
      </vt:variant>
    </vt:vector>
  </HeadingPairs>
  <TitlesOfParts>
    <vt:vector size="5" baseType="lpstr">
      <vt:lpstr>הכנסות לפי לקוח</vt:lpstr>
      <vt:lpstr>פירוט לפי לקוח</vt:lpstr>
      <vt:lpstr>סיכום ושינוי חודשי</vt:lpstr>
      <vt:lpstr>מסמכי מורנינג 2026</vt:lpstr>
      <vt:lpstr>שיטה והערות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2026-08-31T07:00:15Z</dcterms:created>
  <dcterms:modified xsi:type="dcterms:W3CDTF">2026-08-31T07:08:17Z</dcterms:modified>
</cp:coreProperties>
</file>