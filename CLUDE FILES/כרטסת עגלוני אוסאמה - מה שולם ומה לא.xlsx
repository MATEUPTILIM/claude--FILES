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UDE FILES\"/>
    </mc:Choice>
  </mc:AlternateContent>
  <xr:revisionPtr revIDLastSave="0" documentId="13_ncr:1_{B1114C1D-0EFD-4CF3-85E5-5568D329B02A}" xr6:coauthVersionLast="47" xr6:coauthVersionMax="47" xr10:uidLastSave="{00000000-0000-0000-0000-000000000000}"/>
  <bookViews>
    <workbookView xWindow="-27600" yWindow="4200" windowWidth="21600" windowHeight="11295" xr2:uid="{DB9B64D6-D333-4FBE-9C6D-5047A5A20A83}"/>
  </bookViews>
  <sheets>
    <sheet name="סיכום" sheetId="1" r:id="rId1"/>
    <sheet name="כרטסת" sheetId="2" r:id="rId2"/>
    <sheet name="לא שולם" sheetId="3" r:id="rId3"/>
    <sheet name="התאמת תשלומים" sheetId="4" r:id="rId4"/>
    <sheet name="פערים בהנהחש" sheetId="5" r:id="rId5"/>
  </sheets>
  <definedNames>
    <definedName name="_xlnm._FilterDatabase" localSheetId="1" hidden="1">כרטסת!$A$1:$J$1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3" i="1" l="1"/>
  <c r="B22" i="1"/>
  <c r="I50" i="2"/>
  <c r="H50" i="2"/>
  <c r="G50" i="2"/>
  <c r="F27" i="5"/>
  <c r="E27" i="5"/>
  <c r="D27" i="5"/>
  <c r="H15" i="4"/>
  <c r="H13" i="4"/>
  <c r="E13" i="4"/>
  <c r="D13" i="4"/>
  <c r="D17" i="3"/>
  <c r="D15" i="3"/>
  <c r="F9" i="3"/>
  <c r="E9" i="3"/>
  <c r="D9" i="3"/>
  <c r="G8" i="3"/>
  <c r="G7" i="3"/>
  <c r="G6" i="3"/>
  <c r="G5" i="3"/>
  <c r="G4" i="3"/>
  <c r="G3" i="3"/>
  <c r="G2" i="3"/>
  <c r="I57" i="2"/>
  <c r="H57" i="2"/>
  <c r="G57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B14" i="1"/>
</calcChain>
</file>

<file path=xl/sharedStrings.xml><?xml version="1.0" encoding="utf-8"?>
<sst xmlns="http://schemas.openxmlformats.org/spreadsheetml/2006/main" count="284" uniqueCount="115">
  <si>
    <t>התחשבנות מול עגלוני אוסאמה - גז עגלוני</t>
  </si>
  <si>
    <t>עוסק מורשה 080017635 | א-טור ירושלים 49794 | 050-5279407 | ajlounigas@gmail.com</t>
  </si>
  <si>
    <t>לקוח: ישר שירותי קרקע לקבלן ולפועל בע"מ (ח.פ 516961711)</t>
  </si>
  <si>
    <t>מקורות המידע</t>
  </si>
  <si>
    <t>1. דוח הכנסות תקופתי שהפיק עגלוני ב-20/07/2026 לתקופה 01/01/2024-30/06/2026 (47 מסמכים)</t>
  </si>
  <si>
    <t>2. דוח תנועות בנק לאומי חשבון 829300/59, סינון "שם מוטב: עגלוני", 01/01/2024-06/09/2026</t>
  </si>
  <si>
    <t>3. כרטסת הנהלת חשבונות של ישר, חשבון 401852, הודפסה 15/07/2026</t>
  </si>
  <si>
    <t>שורה תחתונה - היתרה מול עגלוני</t>
  </si>
  <si>
    <t>סה"כ חשבוניות שהוציא (כולל מע"מ)</t>
  </si>
  <si>
    <t>בניכוי: תשלומים שקיבל עליהם קבלה</t>
  </si>
  <si>
    <t>בניכוי: תשלום 11/12/2025 שבוצע בפועל ולא הופקה עליו קבלה</t>
  </si>
  <si>
    <t>יתרה פתוחה לתשלום</t>
  </si>
  <si>
    <t>היתרה מורכבת מ-7 חשבוניות בלבד (ראה גיליון "לא שולם")</t>
  </si>
  <si>
    <t>אימות: כמה שילמת בפועל</t>
  </si>
  <si>
    <t>שלוש נקודות לפעולה</t>
  </si>
  <si>
    <t>1. לדרוש קבלה על 1,593 ש"ח ששולמו ב-11/12/2025 (חשבוניות 50769, 50770, 50811). ההעברה מופיעה בבנק, אסמכתא 99210, נטו 1,497.42 אחרי ניכוי 6%. במקביל להנפיק לו אישור ניכוי מס במקור על 95.58 ש"ח לשנת 2025.</t>
  </si>
  <si>
    <t>2. לשלם / לברר 7,951 ש"ח - חשבונית 50551 (900) מדצמבר 2024 וחשבונית 50641 (1,800) מאפריל 2025 הן ישנות מאוד ואף פעם לא נכללו בהעברה. שאר היתרה (5,251) היא חשבוניות 2026 שוטפות.</t>
  </si>
  <si>
    <t>3. 23,013 ש"ח של חשבוניות עגלוני מעולם לא נרשמו בהנהלת החשבונות של ישר - כולל 3,497 ש"ח מע"מ תשומות שלא נוכה. ראה גיליון "פערים בהנהח"ש". זה הפער הכספי המשמעותי ביותר כאן.</t>
  </si>
  <si>
    <t>מה כבר לא צריך לברר (נסגר מול דוח הבנק)</t>
  </si>
  <si>
    <t>* ההעברה של 900 ש"ח מ-21/10/2024 היא עבור חשבונית 50513, שרשומה בספרי ישר ב-31/10/2024. שתיהן מלפני שעגלוני עבר ל-Morning ולכן לא בדוח שלו. חשבונית ותשלום זהים - מתקזזות, לא משפיעות על היתרה.</t>
  </si>
  <si>
    <t>* אותו דבר לגבי חשבונית 60494 (2,246.40) וצ'ק של 2,246 מספטמבר 2024 - גם הם לפני המעבר ל-Morning ומתקזזים.</t>
  </si>
  <si>
    <t>* חשבונית 50534 (900) - שולמה בהעברה מ-25/11/2024 (אסמכתא בנק מציינת במפורש "50534"), קבלה 80133.</t>
  </si>
  <si>
    <t>* חשבונית 50562 (1,800) - שולמה בהעברה מ-12/01/2025 (אסמכתא בנק: "565 562 569"), קבלה 80148.</t>
  </si>
  <si>
    <t>חשבונית מס/קבלה</t>
  </si>
  <si>
    <t>נכלל במסמך</t>
  </si>
  <si>
    <t>שולם</t>
  </si>
  <si>
    <t>תשלום - צ'ק</t>
  </si>
  <si>
    <t>צ'ק 5000108</t>
  </si>
  <si>
    <t>בנק לאומי 902</t>
  </si>
  <si>
    <t>-</t>
  </si>
  <si>
    <t>חשבונית</t>
  </si>
  <si>
    <t>גז</t>
  </si>
  <si>
    <t>תשלום - העברה</t>
  </si>
  <si>
    <t>העברה בנקאית</t>
  </si>
  <si>
    <t>עבור 50534</t>
  </si>
  <si>
    <t>95987 / 78562</t>
  </si>
  <si>
    <t>לא שולם</t>
  </si>
  <si>
    <t>עבור 50543, 50544, 50561</t>
  </si>
  <si>
    <t>עבור 50562, 50565, 50569</t>
  </si>
  <si>
    <t>80148 + 80149</t>
  </si>
  <si>
    <t>יאנוש קורצאק 7</t>
  </si>
  <si>
    <t>יוסף קארו 34</t>
  </si>
  <si>
    <t>בית צפפא</t>
  </si>
  <si>
    <t>עבור 50579, 50592, 50576</t>
  </si>
  <si>
    <t>יאנוש קורצ'ק 7 ירושלים</t>
  </si>
  <si>
    <t>תרצה 7 ירושלים</t>
  </si>
  <si>
    <t>קורצ'אק 7</t>
  </si>
  <si>
    <t>יואל 34</t>
  </si>
  <si>
    <t>עבור 50596, 50597, 50613, 50614, 50615</t>
  </si>
  <si>
    <t>עבור 50571, 50574</t>
  </si>
  <si>
    <t>לא צוין בדוח</t>
  </si>
  <si>
    <t>תרצה 7</t>
  </si>
  <si>
    <t>עבור 50633, 50642, 50655</t>
  </si>
  <si>
    <t>יוסף קארו 34 ק"ק</t>
  </si>
  <si>
    <t>ברוריה 2</t>
  </si>
  <si>
    <t>עבור 50674, 50692, 50708, 50715</t>
  </si>
  <si>
    <t>עבור 50716, 50717</t>
  </si>
  <si>
    <t>יוסף קארו דירה 7</t>
  </si>
  <si>
    <t>אין קבלה</t>
  </si>
  <si>
    <t>שולם - חסרה קבלה</t>
  </si>
  <si>
    <t>יוסף קארו דירת גג</t>
  </si>
  <si>
    <t>יוסף קארו ק.ק</t>
  </si>
  <si>
    <t>עבור 50811, 50769, 50770 | ברוטו 1,593 בניכוי 6% מס במקור (95.58) = נטו 1,497.42</t>
  </si>
  <si>
    <t>*** לא הופקה ***</t>
  </si>
  <si>
    <t>יוסף קארו 34 דירה 11</t>
  </si>
  <si>
    <t>יוסף קארו 34 דירה 7</t>
  </si>
  <si>
    <t>3 מיכלי 48 ק"ג - יואל 32/1/2 יוסף קארו</t>
  </si>
  <si>
    <t>מיכל 48 ק"ג - יוסף קארו 34</t>
  </si>
  <si>
    <t>סה"כ</t>
  </si>
  <si>
    <t>יתרה לתשלום</t>
  </si>
  <si>
    <t>מסמכים שקדמו למעבר של עגלוני ל-Morning - אינם בדוח ההכנסות שלו, מתקזזים ואינם משפיעים על היתרה</t>
  </si>
  <si>
    <t>רשומה בספרי ישר בלבד</t>
  </si>
  <si>
    <t>מתקזז</t>
  </si>
  <si>
    <t>צ'ק</t>
  </si>
  <si>
    <t>כנגד חשבונית 60494</t>
  </si>
  <si>
    <t>עבור חשבונית 50513 (כך רשום באסמכתת הבנק)</t>
  </si>
  <si>
    <t>סה"כ מתקזז</t>
  </si>
  <si>
    <t>הפרש עיגול בלבד</t>
  </si>
  <si>
    <t>ישנה מאוד - מעולם לא נכללה באף העברה</t>
  </si>
  <si>
    <t>ישנה - ההעברה של 05/05/2025 כיסתה 50633+50642+50655 ולא את זו</t>
  </si>
  <si>
    <t>סה"כ לא שולם</t>
  </si>
  <si>
    <t>שולם בפועל אך עגלוני לא הפיק קבלה - לדרוש קבלה</t>
  </si>
  <si>
    <t>שולם 11/12/2025, אסמכתא בנק 99210</t>
  </si>
  <si>
    <t>סה"כ ששולם ללא קבלה (ברוטו)</t>
  </si>
  <si>
    <t>מזה נוכה מס במקור 6% - להנפיק לו אישור ניכוי לשנת 2025</t>
  </si>
  <si>
    <t>נטו שהועבר בפועל מהבנק</t>
  </si>
  <si>
    <t>60501 (חש' מס/קבלה)</t>
  </si>
  <si>
    <t>תואם</t>
  </si>
  <si>
    <t>50543, 50544, 50561</t>
  </si>
  <si>
    <t>50562, 50565, 50569</t>
  </si>
  <si>
    <t>50576, 50579, 50592</t>
  </si>
  <si>
    <t>50596, 50597, 50613, 50614, 50615</t>
  </si>
  <si>
    <t>50571, 50574</t>
  </si>
  <si>
    <t>50633, 50642, 50655</t>
  </si>
  <si>
    <t>50674, 50692, 50708, 50715</t>
  </si>
  <si>
    <t>50716, 50717</t>
  </si>
  <si>
    <t>*** לא הופקה קבלה ***</t>
  </si>
  <si>
    <t>50769, 50770, 50811</t>
  </si>
  <si>
    <t>חסרה קבלה</t>
  </si>
  <si>
    <t>הפרש ברוטו מול קבלות = התשלום מ-11/12/2025 שלא הופקה עליו קבלה</t>
  </si>
  <si>
    <t>חשבוניות של עגלוני שמעולם לא נרשמו בהנהלת החשבונות של ישר (חשבון 401852)</t>
  </si>
  <si>
    <t>הכרטסת הודפסה 15/07/2026 ומסתיימת ב-10/09/2025. סה"כ נרשמו חשבוניות ב-21,831.40 ש"ח מול 41,248 ש"ח שהוצאו בפועל.</t>
  </si>
  <si>
    <t>יאנוש קורצ'ק 7</t>
  </si>
  <si>
    <t>לא צוין</t>
  </si>
  <si>
    <t>יואל 32/1/2 יוסף קארו</t>
  </si>
  <si>
    <t>רישומים נוספים לתיקון בהנהלת החשבונות</t>
  </si>
  <si>
    <t>חשבונית 50592 נרשמה פעמיים - 450 ש"ח ב-06/02/2025 ו-450 ש"ח נוספים ב-09/02/2025. עגלוני הוציא אותה פעם אחת בלבד. יש להפוך את הרישום הכפול.</t>
  </si>
  <si>
    <t>התשלום מ-11/12/2025 (1,593 ברוטו / 1,497.42 נטו, אסמכתא 99210) לא נרשם כלל בכרטסת.</t>
  </si>
  <si>
    <t>חשבונית 60494 (2,246.40) וחשבונית 50513 (900) רשומות בספרים אך אינן בדוח ההכנסות של עגלוני - מסמכים מלפני המעבר שלו ל-Morning. לוודא שהמקור הפיזי קיים בתיק.</t>
  </si>
  <si>
    <t>הכרטסת לא עודכנה מאז 10/09/2025 - כל התנועות מאז חסרות.</t>
  </si>
  <si>
    <t>סה"כ העברות דיגיטליות לעגלוני בדוח הבנק (11 העברות, ברוטו לפני ניכוי מס במקור)</t>
  </si>
  <si>
    <t>בניכוי: העברה 21/10/2024 עבור חשבונית 50513 - מסמך שקדם למעבר של עגלוני ל-Morning ואינו בדוח שלו</t>
  </si>
  <si>
    <t>בתוספת: צ'ק 5000108 מיום 11/11/2024 (חשבונית מס/קבלה 60501)</t>
  </si>
  <si>
    <t>סה"כ ששולם על בסיס דוח עגלוני (ברוטו) - מזה 31,704 בקבלות ו-1,593 ללא קבלה</t>
  </si>
  <si>
    <t>בדיקה: 41,248 חשבוניות פחות 33,297 ששולם = היתרה הפתוחה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</si>
</sst>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b/>
      <sz val="16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4" fontId="0" fillId="0" borderId="0" xfId="0" applyNumberFormat="1"/>
    <xf numFmtId="4" fontId="4" fillId="3" borderId="0" xfId="0" applyNumberFormat="1" applyFont="1" applyFill="1"/>
    <xf numFmtId="4" fontId="2" fillId="0" borderId="0" xfId="0" applyNumberFormat="1" applyFont="1"/>
    <xf numFmtId="0" fontId="0" fillId="0" borderId="0" xfId="0" applyAlignment="1">
      <alignment wrapText="1"/>
    </xf>
    <xf numFmtId="14" fontId="0" fillId="0" borderId="0" xfId="0" applyNumberFormat="1"/>
    <xf numFmtId="0" fontId="5" fillId="4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2" fillId="3" borderId="1" xfId="0" applyFont="1" applyFill="1" applyBorder="1"/>
    <xf numFmtId="4" fontId="2" fillId="3" borderId="1" xfId="0" applyNumberFormat="1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0" fontId="5" fillId="4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0" fillId="0" borderId="2" xfId="0" applyBorder="1"/>
    <xf numFmtId="4" fontId="0" fillId="0" borderId="2" xfId="0" applyNumberFormat="1" applyBorder="1"/>
    <xf numFmtId="14" fontId="2" fillId="3" borderId="2" xfId="0" applyNumberFormat="1" applyFont="1" applyFill="1" applyBorder="1"/>
    <xf numFmtId="0" fontId="2" fillId="3" borderId="2" xfId="0" applyFont="1" applyFill="1" applyBorder="1"/>
    <xf numFmtId="4" fontId="2" fillId="3" borderId="2" xfId="0" applyNumberFormat="1" applyFont="1" applyFill="1" applyBorder="1"/>
    <xf numFmtId="0" fontId="2" fillId="0" borderId="2" xfId="0" applyFont="1" applyBorder="1"/>
    <xf numFmtId="4" fontId="2" fillId="0" borderId="2" xfId="0" applyNumberFormat="1" applyFont="1" applyBorder="1"/>
    <xf numFmtId="1" fontId="0" fillId="0" borderId="1" xfId="0" applyNumberFormat="1" applyBorder="1"/>
    <xf numFmtId="14" fontId="2" fillId="5" borderId="1" xfId="0" applyNumberFormat="1" applyFont="1" applyFill="1" applyBorder="1"/>
    <xf numFmtId="0" fontId="2" fillId="5" borderId="1" xfId="0" applyFont="1" applyFill="1" applyBorder="1"/>
    <xf numFmtId="4" fontId="2" fillId="5" borderId="1" xfId="0" applyNumberFormat="1" applyFont="1" applyFill="1" applyBorder="1"/>
    <xf numFmtId="0" fontId="0" fillId="6" borderId="1" xfId="0" applyFill="1" applyBorder="1"/>
    <xf numFmtId="14" fontId="0" fillId="6" borderId="1" xfId="0" applyNumberFormat="1" applyFill="1" applyBorder="1"/>
    <xf numFmtId="4" fontId="0" fillId="6" borderId="1" xfId="0" applyNumberFormat="1" applyFill="1" applyBorder="1"/>
    <xf numFmtId="14" fontId="2" fillId="2" borderId="2" xfId="0" applyNumberFormat="1" applyFont="1" applyFill="1" applyBorder="1"/>
    <xf numFmtId="0" fontId="2" fillId="2" borderId="2" xfId="0" applyFont="1" applyFill="1" applyBorder="1"/>
    <xf numFmtId="4" fontId="2" fillId="2" borderId="2" xfId="0" applyNumberFormat="1" applyFont="1" applyFill="1" applyBorder="1"/>
    <xf numFmtId="14" fontId="2" fillId="2" borderId="0" xfId="0" applyNumberFormat="1" applyFont="1" applyFill="1"/>
    <xf numFmtId="0" fontId="2" fillId="2" borderId="0" xfId="0" applyFont="1" applyFill="1"/>
    <xf numFmtId="4" fontId="2" fillId="2" borderId="0" xfId="0" applyNumberFormat="1" applyFont="1" applyFill="1"/>
    <xf numFmtId="0" fontId="0" fillId="0" borderId="1" xfId="0" applyBorder="1" applyAlignment="1">
      <alignment horizontal="right" wrapText="1"/>
    </xf>
    <xf numFmtId="0" fontId="4" fillId="0" borderId="0" xfId="0" applyFont="1"/>
    <xf numFmtId="0" fontId="0" fillId="0" borderId="0" xfId="0"/>
    <xf numFmtId="0" fontId="2" fillId="3" borderId="0" xfId="0" applyFont="1" applyFill="1"/>
    <xf numFmtId="4" fontId="2" fillId="3" borderId="0" xfId="0" applyNumberFormat="1" applyFont="1" applyFill="1"/>
  </cellXfs>
  <cellStyles count="1">
    <cellStyle name="Normal" xfId="0" builtinId="0"/>
  </cellStyles>
  <dxfs count="3">
    <dxf>
      <fill>
        <patternFill>
          <bgColor rgb="FFFFFF99"/>
        </patternFill>
      </fill>
    </dxf>
    <dxf>
      <fill>
        <patternFill>
          <bgColor rgb="FFC6EFCE"/>
        </patternFill>
      </fill>
    </dxf>
    <dxf>
      <font>
        <b/>
        <i val="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AF7C-2942-4579-A5D1-849FCE2390C1}">
  <dimension ref="A1:B34"/>
  <sheetViews>
    <sheetView rightToLeft="1" tabSelected="1" workbookViewId="0"/>
  </sheetViews>
  <sheetFormatPr defaultRowHeight="14.25" x14ac:dyDescent="0.2"/>
  <cols>
    <col min="1" max="1" width="110.625" customWidth="1"/>
    <col min="2" max="2" width="16.625" customWidth="1"/>
  </cols>
  <sheetData>
    <row r="1" spans="1:2" ht="20.25" x14ac:dyDescent="0.3">
      <c r="A1" s="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5" spans="1:2" ht="15.75" x14ac:dyDescent="0.25">
      <c r="A5" s="3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10" spans="1:2" ht="15.75" x14ac:dyDescent="0.25">
      <c r="A10" s="3" t="s">
        <v>7</v>
      </c>
    </row>
    <row r="11" spans="1:2" x14ac:dyDescent="0.2">
      <c r="A11" t="s">
        <v>8</v>
      </c>
      <c r="B11" s="5">
        <v>41248</v>
      </c>
    </row>
    <row r="12" spans="1:2" x14ac:dyDescent="0.2">
      <c r="A12" t="s">
        <v>9</v>
      </c>
      <c r="B12" s="5">
        <v>-31704</v>
      </c>
    </row>
    <row r="13" spans="1:2" x14ac:dyDescent="0.2">
      <c r="A13" t="s">
        <v>10</v>
      </c>
      <c r="B13" s="5">
        <v>-1593</v>
      </c>
    </row>
    <row r="14" spans="1:2" ht="16.5" x14ac:dyDescent="0.25">
      <c r="A14" s="4" t="s">
        <v>11</v>
      </c>
      <c r="B14" s="6">
        <f>SUM(B11:B13)</f>
        <v>7951</v>
      </c>
    </row>
    <row r="15" spans="1:2" x14ac:dyDescent="0.2">
      <c r="B15" s="5"/>
    </row>
    <row r="16" spans="1:2" x14ac:dyDescent="0.2">
      <c r="A16" t="s">
        <v>12</v>
      </c>
      <c r="B16" s="5"/>
    </row>
    <row r="17" spans="1:2" x14ac:dyDescent="0.2">
      <c r="B17" s="5"/>
    </row>
    <row r="18" spans="1:2" ht="15.75" x14ac:dyDescent="0.25">
      <c r="A18" s="3" t="s">
        <v>13</v>
      </c>
      <c r="B18" s="5"/>
    </row>
    <row r="19" spans="1:2" x14ac:dyDescent="0.2">
      <c r="A19" t="s">
        <v>110</v>
      </c>
      <c r="B19" s="5">
        <v>28257</v>
      </c>
    </row>
    <row r="20" spans="1:2" x14ac:dyDescent="0.2">
      <c r="A20" t="s">
        <v>111</v>
      </c>
      <c r="B20" s="5">
        <v>-900</v>
      </c>
    </row>
    <row r="21" spans="1:2" ht="15" x14ac:dyDescent="0.25">
      <c r="A21" s="2" t="s">
        <v>112</v>
      </c>
      <c r="B21" s="7">
        <v>5940</v>
      </c>
    </row>
    <row r="22" spans="1:2" ht="15" x14ac:dyDescent="0.25">
      <c r="A22" s="2" t="s">
        <v>113</v>
      </c>
      <c r="B22" s="7">
        <f>SUM(B19:B21)</f>
        <v>33297</v>
      </c>
    </row>
    <row r="23" spans="1:2" ht="15" x14ac:dyDescent="0.25">
      <c r="A23" s="43" t="s">
        <v>114</v>
      </c>
      <c r="B23" s="44">
        <f>B11-B22</f>
        <v>7951</v>
      </c>
    </row>
    <row r="25" spans="1:2" ht="15.75" x14ac:dyDescent="0.25">
      <c r="A25" s="3" t="s">
        <v>14</v>
      </c>
    </row>
    <row r="26" spans="1:2" ht="32.1" customHeight="1" x14ac:dyDescent="0.2">
      <c r="A26" s="8" t="s">
        <v>15</v>
      </c>
    </row>
    <row r="27" spans="1:2" ht="32.1" customHeight="1" x14ac:dyDescent="0.2">
      <c r="A27" s="8" t="s">
        <v>16</v>
      </c>
    </row>
    <row r="28" spans="1:2" ht="32.1" customHeight="1" x14ac:dyDescent="0.2">
      <c r="A28" s="8" t="s">
        <v>17</v>
      </c>
    </row>
    <row r="30" spans="1:2" ht="15.75" x14ac:dyDescent="0.25">
      <c r="A30" s="3" t="s">
        <v>18</v>
      </c>
    </row>
    <row r="31" spans="1:2" ht="32.1" customHeight="1" x14ac:dyDescent="0.2">
      <c r="A31" s="8" t="s">
        <v>19</v>
      </c>
    </row>
    <row r="32" spans="1:2" ht="32.1" customHeight="1" x14ac:dyDescent="0.2">
      <c r="A32" s="8" t="s">
        <v>20</v>
      </c>
    </row>
    <row r="33" spans="1:1" x14ac:dyDescent="0.2">
      <c r="A33" s="8" t="s">
        <v>21</v>
      </c>
    </row>
    <row r="34" spans="1:1" x14ac:dyDescent="0.2">
      <c r="A34" s="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BC41-DE8B-4C9C-A825-17B211EAC1A3}">
  <dimension ref="A1:J57"/>
  <sheetViews>
    <sheetView rightToLeft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12.625" customWidth="1"/>
    <col min="2" max="2" width="18.625" customWidth="1"/>
    <col min="3" max="3" width="14.625" customWidth="1"/>
    <col min="4" max="4" width="42.625" customWidth="1"/>
    <col min="5" max="5" width="14.625" customWidth="1"/>
    <col min="6" max="6" width="16.625" customWidth="1"/>
    <col min="7" max="9" width="15.625" customWidth="1"/>
    <col min="10" max="10" width="20.625" customWidth="1"/>
  </cols>
  <sheetData>
    <row r="1" spans="1:10" ht="30" customHeight="1" x14ac:dyDescent="0.2">
      <c r="A1" s="18">
        <v>1514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">
      <c r="A2" s="19">
        <v>45607</v>
      </c>
      <c r="B2" s="20" t="s">
        <v>23</v>
      </c>
      <c r="C2" s="20">
        <v>60501</v>
      </c>
      <c r="D2" s="20"/>
      <c r="E2" s="20"/>
      <c r="F2" s="20" t="s">
        <v>24</v>
      </c>
      <c r="G2" s="21">
        <v>5940</v>
      </c>
      <c r="H2" s="21"/>
      <c r="I2" s="21">
        <f>G2-H2</f>
        <v>5940</v>
      </c>
      <c r="J2" s="20" t="s">
        <v>25</v>
      </c>
    </row>
    <row r="3" spans="1:10" x14ac:dyDescent="0.2">
      <c r="A3" s="19">
        <v>45607</v>
      </c>
      <c r="B3" s="20" t="s">
        <v>26</v>
      </c>
      <c r="C3" s="20" t="s">
        <v>27</v>
      </c>
      <c r="D3" s="20"/>
      <c r="E3" s="20" t="s">
        <v>28</v>
      </c>
      <c r="F3" s="20">
        <v>60501</v>
      </c>
      <c r="G3" s="21"/>
      <c r="H3" s="21">
        <v>5940</v>
      </c>
      <c r="I3" s="21">
        <f t="shared" ref="I3:I49" si="0">I2+G3-H3</f>
        <v>0</v>
      </c>
      <c r="J3" s="20" t="s">
        <v>29</v>
      </c>
    </row>
    <row r="4" spans="1:10" x14ac:dyDescent="0.2">
      <c r="A4" s="19">
        <v>45616</v>
      </c>
      <c r="B4" s="20" t="s">
        <v>30</v>
      </c>
      <c r="C4" s="20">
        <v>50534</v>
      </c>
      <c r="D4" s="20" t="s">
        <v>31</v>
      </c>
      <c r="E4" s="20"/>
      <c r="F4" s="20">
        <v>80133</v>
      </c>
      <c r="G4" s="21">
        <v>900</v>
      </c>
      <c r="H4" s="21"/>
      <c r="I4" s="21">
        <f t="shared" si="0"/>
        <v>900</v>
      </c>
      <c r="J4" s="20" t="s">
        <v>25</v>
      </c>
    </row>
    <row r="5" spans="1:10" x14ac:dyDescent="0.2">
      <c r="A5" s="19">
        <v>45621</v>
      </c>
      <c r="B5" s="20" t="s">
        <v>32</v>
      </c>
      <c r="C5" s="20" t="s">
        <v>33</v>
      </c>
      <c r="D5" s="20" t="s">
        <v>34</v>
      </c>
      <c r="E5" s="20" t="s">
        <v>35</v>
      </c>
      <c r="F5" s="20">
        <v>80133</v>
      </c>
      <c r="G5" s="21"/>
      <c r="H5" s="21">
        <v>900</v>
      </c>
      <c r="I5" s="21">
        <f t="shared" si="0"/>
        <v>0</v>
      </c>
      <c r="J5" s="20" t="s">
        <v>29</v>
      </c>
    </row>
    <row r="6" spans="1:10" x14ac:dyDescent="0.2">
      <c r="A6" s="19">
        <v>45621</v>
      </c>
      <c r="B6" s="20" t="s">
        <v>30</v>
      </c>
      <c r="C6" s="20">
        <v>50543</v>
      </c>
      <c r="D6" s="20" t="s">
        <v>31</v>
      </c>
      <c r="E6" s="20"/>
      <c r="F6" s="20">
        <v>80144</v>
      </c>
      <c r="G6" s="21">
        <v>900</v>
      </c>
      <c r="H6" s="21"/>
      <c r="I6" s="21">
        <f t="shared" si="0"/>
        <v>900</v>
      </c>
      <c r="J6" s="20" t="s">
        <v>25</v>
      </c>
    </row>
    <row r="7" spans="1:10" x14ac:dyDescent="0.2">
      <c r="A7" s="19">
        <v>45627</v>
      </c>
      <c r="B7" s="20" t="s">
        <v>30</v>
      </c>
      <c r="C7" s="20">
        <v>50544</v>
      </c>
      <c r="D7" s="20" t="s">
        <v>31</v>
      </c>
      <c r="E7" s="20"/>
      <c r="F7" s="20">
        <v>80144</v>
      </c>
      <c r="G7" s="21">
        <v>1400</v>
      </c>
      <c r="H7" s="21"/>
      <c r="I7" s="21">
        <f t="shared" si="0"/>
        <v>2300</v>
      </c>
      <c r="J7" s="20" t="s">
        <v>25</v>
      </c>
    </row>
    <row r="8" spans="1:10" x14ac:dyDescent="0.2">
      <c r="A8" s="19">
        <v>45640</v>
      </c>
      <c r="B8" s="20" t="s">
        <v>30</v>
      </c>
      <c r="C8" s="20">
        <v>50551</v>
      </c>
      <c r="D8" s="20" t="s">
        <v>31</v>
      </c>
      <c r="E8" s="20"/>
      <c r="F8" s="20"/>
      <c r="G8" s="21">
        <v>900</v>
      </c>
      <c r="H8" s="21"/>
      <c r="I8" s="21">
        <f t="shared" si="0"/>
        <v>3200</v>
      </c>
      <c r="J8" s="20" t="s">
        <v>36</v>
      </c>
    </row>
    <row r="9" spans="1:10" x14ac:dyDescent="0.2">
      <c r="A9" s="19">
        <v>45648</v>
      </c>
      <c r="B9" s="20" t="s">
        <v>32</v>
      </c>
      <c r="C9" s="20" t="s">
        <v>33</v>
      </c>
      <c r="D9" s="20" t="s">
        <v>37</v>
      </c>
      <c r="E9" s="20">
        <v>125087</v>
      </c>
      <c r="F9" s="20">
        <v>80144</v>
      </c>
      <c r="G9" s="21"/>
      <c r="H9" s="21">
        <v>3200</v>
      </c>
      <c r="I9" s="21">
        <f t="shared" si="0"/>
        <v>0</v>
      </c>
      <c r="J9" s="20" t="s">
        <v>29</v>
      </c>
    </row>
    <row r="10" spans="1:10" x14ac:dyDescent="0.2">
      <c r="A10" s="19">
        <v>45657</v>
      </c>
      <c r="B10" s="20" t="s">
        <v>30</v>
      </c>
      <c r="C10" s="20">
        <v>50561</v>
      </c>
      <c r="D10" s="20" t="s">
        <v>31</v>
      </c>
      <c r="E10" s="20"/>
      <c r="F10" s="20">
        <v>80144</v>
      </c>
      <c r="G10" s="21">
        <v>900</v>
      </c>
      <c r="H10" s="21"/>
      <c r="I10" s="21">
        <f t="shared" si="0"/>
        <v>900</v>
      </c>
      <c r="J10" s="20" t="s">
        <v>25</v>
      </c>
    </row>
    <row r="11" spans="1:10" x14ac:dyDescent="0.2">
      <c r="A11" s="19">
        <v>45657</v>
      </c>
      <c r="B11" s="20" t="s">
        <v>30</v>
      </c>
      <c r="C11" s="20">
        <v>50562</v>
      </c>
      <c r="D11" s="20" t="s">
        <v>31</v>
      </c>
      <c r="E11" s="20"/>
      <c r="F11" s="20">
        <v>80148</v>
      </c>
      <c r="G11" s="21">
        <v>1800</v>
      </c>
      <c r="H11" s="21"/>
      <c r="I11" s="21">
        <f t="shared" si="0"/>
        <v>2700</v>
      </c>
      <c r="J11" s="20" t="s">
        <v>25</v>
      </c>
    </row>
    <row r="12" spans="1:10" x14ac:dyDescent="0.2">
      <c r="A12" s="19">
        <v>45661</v>
      </c>
      <c r="B12" s="20" t="s">
        <v>30</v>
      </c>
      <c r="C12" s="20">
        <v>50565</v>
      </c>
      <c r="D12" s="20" t="s">
        <v>31</v>
      </c>
      <c r="E12" s="20"/>
      <c r="F12" s="20">
        <v>80149</v>
      </c>
      <c r="G12" s="21">
        <v>900</v>
      </c>
      <c r="H12" s="21"/>
      <c r="I12" s="21">
        <f t="shared" si="0"/>
        <v>3600</v>
      </c>
      <c r="J12" s="20" t="s">
        <v>25</v>
      </c>
    </row>
    <row r="13" spans="1:10" x14ac:dyDescent="0.2">
      <c r="A13" s="19">
        <v>45665</v>
      </c>
      <c r="B13" s="20" t="s">
        <v>30</v>
      </c>
      <c r="C13" s="20">
        <v>50569</v>
      </c>
      <c r="D13" s="20" t="s">
        <v>31</v>
      </c>
      <c r="E13" s="20"/>
      <c r="F13" s="20">
        <v>80149</v>
      </c>
      <c r="G13" s="21">
        <v>900</v>
      </c>
      <c r="H13" s="21"/>
      <c r="I13" s="21">
        <f t="shared" si="0"/>
        <v>4500</v>
      </c>
      <c r="J13" s="20" t="s">
        <v>25</v>
      </c>
    </row>
    <row r="14" spans="1:10" x14ac:dyDescent="0.2">
      <c r="A14" s="19">
        <v>45669</v>
      </c>
      <c r="B14" s="20" t="s">
        <v>32</v>
      </c>
      <c r="C14" s="20" t="s">
        <v>33</v>
      </c>
      <c r="D14" s="20" t="s">
        <v>38</v>
      </c>
      <c r="E14" s="20">
        <v>174471</v>
      </c>
      <c r="F14" s="20" t="s">
        <v>39</v>
      </c>
      <c r="G14" s="21"/>
      <c r="H14" s="21">
        <v>3600</v>
      </c>
      <c r="I14" s="21">
        <f t="shared" si="0"/>
        <v>900</v>
      </c>
      <c r="J14" s="20" t="s">
        <v>29</v>
      </c>
    </row>
    <row r="15" spans="1:10" x14ac:dyDescent="0.2">
      <c r="A15" s="19">
        <v>45671</v>
      </c>
      <c r="B15" s="20" t="s">
        <v>30</v>
      </c>
      <c r="C15" s="20">
        <v>50571</v>
      </c>
      <c r="D15" s="20" t="s">
        <v>31</v>
      </c>
      <c r="E15" s="20"/>
      <c r="F15" s="20">
        <v>80166</v>
      </c>
      <c r="G15" s="21">
        <v>900</v>
      </c>
      <c r="H15" s="21"/>
      <c r="I15" s="21">
        <f t="shared" si="0"/>
        <v>1800</v>
      </c>
      <c r="J15" s="20" t="s">
        <v>25</v>
      </c>
    </row>
    <row r="16" spans="1:10" x14ac:dyDescent="0.2">
      <c r="A16" s="19">
        <v>45679</v>
      </c>
      <c r="B16" s="20" t="s">
        <v>30</v>
      </c>
      <c r="C16" s="20">
        <v>50574</v>
      </c>
      <c r="D16" s="20" t="s">
        <v>31</v>
      </c>
      <c r="E16" s="20"/>
      <c r="F16" s="20">
        <v>80166</v>
      </c>
      <c r="G16" s="21">
        <v>1195</v>
      </c>
      <c r="H16" s="21"/>
      <c r="I16" s="21">
        <f t="shared" si="0"/>
        <v>2995</v>
      </c>
      <c r="J16" s="20" t="s">
        <v>25</v>
      </c>
    </row>
    <row r="17" spans="1:10" x14ac:dyDescent="0.2">
      <c r="A17" s="19">
        <v>45680</v>
      </c>
      <c r="B17" s="20" t="s">
        <v>30</v>
      </c>
      <c r="C17" s="20">
        <v>50576</v>
      </c>
      <c r="D17" s="20" t="s">
        <v>40</v>
      </c>
      <c r="E17" s="20"/>
      <c r="F17" s="20">
        <v>80151</v>
      </c>
      <c r="G17" s="21">
        <v>900</v>
      </c>
      <c r="H17" s="21"/>
      <c r="I17" s="21">
        <f t="shared" si="0"/>
        <v>3895</v>
      </c>
      <c r="J17" s="20" t="s">
        <v>25</v>
      </c>
    </row>
    <row r="18" spans="1:10" x14ac:dyDescent="0.2">
      <c r="A18" s="19">
        <v>45687</v>
      </c>
      <c r="B18" s="20" t="s">
        <v>30</v>
      </c>
      <c r="C18" s="20">
        <v>50579</v>
      </c>
      <c r="D18" s="20" t="s">
        <v>41</v>
      </c>
      <c r="E18" s="20"/>
      <c r="F18" s="20">
        <v>80151</v>
      </c>
      <c r="G18" s="21">
        <v>900</v>
      </c>
      <c r="H18" s="21"/>
      <c r="I18" s="21">
        <f t="shared" si="0"/>
        <v>4795</v>
      </c>
      <c r="J18" s="20" t="s">
        <v>25</v>
      </c>
    </row>
    <row r="19" spans="1:10" x14ac:dyDescent="0.2">
      <c r="A19" s="19">
        <v>45694</v>
      </c>
      <c r="B19" s="20" t="s">
        <v>30</v>
      </c>
      <c r="C19" s="20">
        <v>50592</v>
      </c>
      <c r="D19" s="20" t="s">
        <v>42</v>
      </c>
      <c r="E19" s="20"/>
      <c r="F19" s="20">
        <v>80151</v>
      </c>
      <c r="G19" s="21">
        <v>450</v>
      </c>
      <c r="H19" s="21"/>
      <c r="I19" s="21">
        <f t="shared" si="0"/>
        <v>5245</v>
      </c>
      <c r="J19" s="20" t="s">
        <v>25</v>
      </c>
    </row>
    <row r="20" spans="1:10" x14ac:dyDescent="0.2">
      <c r="A20" s="19">
        <v>45701</v>
      </c>
      <c r="B20" s="20" t="s">
        <v>32</v>
      </c>
      <c r="C20" s="20" t="s">
        <v>33</v>
      </c>
      <c r="D20" s="20" t="s">
        <v>43</v>
      </c>
      <c r="E20" s="20">
        <v>26329</v>
      </c>
      <c r="F20" s="20">
        <v>80151</v>
      </c>
      <c r="G20" s="21"/>
      <c r="H20" s="21">
        <v>2250</v>
      </c>
      <c r="I20" s="21">
        <f t="shared" si="0"/>
        <v>2995</v>
      </c>
      <c r="J20" s="20" t="s">
        <v>29</v>
      </c>
    </row>
    <row r="21" spans="1:10" x14ac:dyDescent="0.2">
      <c r="A21" s="19">
        <v>45701</v>
      </c>
      <c r="B21" s="20" t="s">
        <v>30</v>
      </c>
      <c r="C21" s="20">
        <v>50596</v>
      </c>
      <c r="D21" s="20" t="s">
        <v>44</v>
      </c>
      <c r="E21" s="20"/>
      <c r="F21" s="20">
        <v>80167</v>
      </c>
      <c r="G21" s="21">
        <v>900</v>
      </c>
      <c r="H21" s="21"/>
      <c r="I21" s="21">
        <f t="shared" si="0"/>
        <v>3895</v>
      </c>
      <c r="J21" s="20" t="s">
        <v>25</v>
      </c>
    </row>
    <row r="22" spans="1:10" x14ac:dyDescent="0.2">
      <c r="A22" s="19">
        <v>45701</v>
      </c>
      <c r="B22" s="20" t="s">
        <v>30</v>
      </c>
      <c r="C22" s="20">
        <v>50597</v>
      </c>
      <c r="D22" s="20" t="s">
        <v>45</v>
      </c>
      <c r="E22" s="20"/>
      <c r="F22" s="20">
        <v>80167</v>
      </c>
      <c r="G22" s="21">
        <v>1150</v>
      </c>
      <c r="H22" s="21"/>
      <c r="I22" s="21">
        <f t="shared" si="0"/>
        <v>5045</v>
      </c>
      <c r="J22" s="20" t="s">
        <v>25</v>
      </c>
    </row>
    <row r="23" spans="1:10" x14ac:dyDescent="0.2">
      <c r="A23" s="19">
        <v>45722</v>
      </c>
      <c r="B23" s="20" t="s">
        <v>30</v>
      </c>
      <c r="C23" s="20">
        <v>50613</v>
      </c>
      <c r="D23" s="20" t="s">
        <v>41</v>
      </c>
      <c r="E23" s="20"/>
      <c r="F23" s="20">
        <v>80167</v>
      </c>
      <c r="G23" s="21">
        <v>900</v>
      </c>
      <c r="H23" s="21"/>
      <c r="I23" s="21">
        <f t="shared" si="0"/>
        <v>5945</v>
      </c>
      <c r="J23" s="20" t="s">
        <v>25</v>
      </c>
    </row>
    <row r="24" spans="1:10" x14ac:dyDescent="0.2">
      <c r="A24" s="19">
        <v>45722</v>
      </c>
      <c r="B24" s="20" t="s">
        <v>30</v>
      </c>
      <c r="C24" s="20">
        <v>50614</v>
      </c>
      <c r="D24" s="20" t="s">
        <v>46</v>
      </c>
      <c r="E24" s="20"/>
      <c r="F24" s="20">
        <v>80167</v>
      </c>
      <c r="G24" s="21">
        <v>900</v>
      </c>
      <c r="H24" s="21"/>
      <c r="I24" s="21">
        <f t="shared" si="0"/>
        <v>6845</v>
      </c>
      <c r="J24" s="20" t="s">
        <v>25</v>
      </c>
    </row>
    <row r="25" spans="1:10" x14ac:dyDescent="0.2">
      <c r="A25" s="19">
        <v>45722</v>
      </c>
      <c r="B25" s="20" t="s">
        <v>30</v>
      </c>
      <c r="C25" s="20">
        <v>50615</v>
      </c>
      <c r="D25" s="20" t="s">
        <v>47</v>
      </c>
      <c r="E25" s="20"/>
      <c r="F25" s="20">
        <v>80167</v>
      </c>
      <c r="G25" s="21">
        <v>900</v>
      </c>
      <c r="H25" s="21"/>
      <c r="I25" s="21">
        <f t="shared" si="0"/>
        <v>7745</v>
      </c>
      <c r="J25" s="20" t="s">
        <v>25</v>
      </c>
    </row>
    <row r="26" spans="1:10" x14ac:dyDescent="0.2">
      <c r="A26" s="19">
        <v>45733</v>
      </c>
      <c r="B26" s="20" t="s">
        <v>32</v>
      </c>
      <c r="C26" s="20" t="s">
        <v>33</v>
      </c>
      <c r="D26" s="20" t="s">
        <v>48</v>
      </c>
      <c r="E26" s="20">
        <v>103426</v>
      </c>
      <c r="F26" s="20">
        <v>80167</v>
      </c>
      <c r="G26" s="21"/>
      <c r="H26" s="21">
        <v>4750</v>
      </c>
      <c r="I26" s="21">
        <f t="shared" si="0"/>
        <v>2995</v>
      </c>
      <c r="J26" s="20" t="s">
        <v>29</v>
      </c>
    </row>
    <row r="27" spans="1:10" x14ac:dyDescent="0.2">
      <c r="A27" s="19">
        <v>45733</v>
      </c>
      <c r="B27" s="20" t="s">
        <v>32</v>
      </c>
      <c r="C27" s="20" t="s">
        <v>33</v>
      </c>
      <c r="D27" s="20" t="s">
        <v>49</v>
      </c>
      <c r="E27" s="20">
        <v>103427</v>
      </c>
      <c r="F27" s="20">
        <v>80166</v>
      </c>
      <c r="G27" s="21"/>
      <c r="H27" s="21">
        <v>2095</v>
      </c>
      <c r="I27" s="21">
        <f t="shared" si="0"/>
        <v>900</v>
      </c>
      <c r="J27" s="20" t="s">
        <v>29</v>
      </c>
    </row>
    <row r="28" spans="1:10" x14ac:dyDescent="0.2">
      <c r="A28" s="19">
        <v>45739</v>
      </c>
      <c r="B28" s="20" t="s">
        <v>30</v>
      </c>
      <c r="C28" s="20">
        <v>50633</v>
      </c>
      <c r="D28" s="20" t="s">
        <v>42</v>
      </c>
      <c r="E28" s="20"/>
      <c r="F28" s="20">
        <v>80175</v>
      </c>
      <c r="G28" s="21">
        <v>1350</v>
      </c>
      <c r="H28" s="21"/>
      <c r="I28" s="21">
        <f t="shared" si="0"/>
        <v>2250</v>
      </c>
      <c r="J28" s="20" t="s">
        <v>25</v>
      </c>
    </row>
    <row r="29" spans="1:10" x14ac:dyDescent="0.2">
      <c r="A29" s="19">
        <v>45754</v>
      </c>
      <c r="B29" s="20" t="s">
        <v>30</v>
      </c>
      <c r="C29" s="20">
        <v>50641</v>
      </c>
      <c r="D29" s="20" t="s">
        <v>50</v>
      </c>
      <c r="E29" s="20"/>
      <c r="F29" s="20"/>
      <c r="G29" s="21">
        <v>1800</v>
      </c>
      <c r="H29" s="21"/>
      <c r="I29" s="21">
        <f t="shared" si="0"/>
        <v>4050</v>
      </c>
      <c r="J29" s="20" t="s">
        <v>36</v>
      </c>
    </row>
    <row r="30" spans="1:10" x14ac:dyDescent="0.2">
      <c r="A30" s="19">
        <v>45754</v>
      </c>
      <c r="B30" s="20" t="s">
        <v>30</v>
      </c>
      <c r="C30" s="20">
        <v>50642</v>
      </c>
      <c r="D30" s="20" t="s">
        <v>51</v>
      </c>
      <c r="E30" s="20"/>
      <c r="F30" s="20">
        <v>80175</v>
      </c>
      <c r="G30" s="21">
        <v>1800</v>
      </c>
      <c r="H30" s="21"/>
      <c r="I30" s="21">
        <f t="shared" si="0"/>
        <v>5850</v>
      </c>
      <c r="J30" s="20" t="s">
        <v>25</v>
      </c>
    </row>
    <row r="31" spans="1:10" x14ac:dyDescent="0.2">
      <c r="A31" s="19">
        <v>45774</v>
      </c>
      <c r="B31" s="20" t="s">
        <v>30</v>
      </c>
      <c r="C31" s="20">
        <v>50655</v>
      </c>
      <c r="D31" s="20" t="s">
        <v>51</v>
      </c>
      <c r="E31" s="20"/>
      <c r="F31" s="20">
        <v>80175</v>
      </c>
      <c r="G31" s="21">
        <v>450</v>
      </c>
      <c r="H31" s="21"/>
      <c r="I31" s="21">
        <f t="shared" si="0"/>
        <v>6300</v>
      </c>
      <c r="J31" s="20" t="s">
        <v>25</v>
      </c>
    </row>
    <row r="32" spans="1:10" x14ac:dyDescent="0.2">
      <c r="A32" s="19">
        <v>45782</v>
      </c>
      <c r="B32" s="20" t="s">
        <v>32</v>
      </c>
      <c r="C32" s="20" t="s">
        <v>33</v>
      </c>
      <c r="D32" s="20" t="s">
        <v>52</v>
      </c>
      <c r="E32" s="20">
        <v>21894</v>
      </c>
      <c r="F32" s="20">
        <v>80175</v>
      </c>
      <c r="G32" s="21"/>
      <c r="H32" s="21">
        <v>3600</v>
      </c>
      <c r="I32" s="21">
        <f t="shared" si="0"/>
        <v>2700</v>
      </c>
      <c r="J32" s="20" t="s">
        <v>29</v>
      </c>
    </row>
    <row r="33" spans="1:10" x14ac:dyDescent="0.2">
      <c r="A33" s="19">
        <v>45799</v>
      </c>
      <c r="B33" s="20" t="s">
        <v>30</v>
      </c>
      <c r="C33" s="20">
        <v>50674</v>
      </c>
      <c r="D33" s="20" t="s">
        <v>31</v>
      </c>
      <c r="E33" s="20"/>
      <c r="F33" s="20">
        <v>80215</v>
      </c>
      <c r="G33" s="21">
        <v>590</v>
      </c>
      <c r="H33" s="21"/>
      <c r="I33" s="21">
        <f t="shared" si="0"/>
        <v>3290</v>
      </c>
      <c r="J33" s="20" t="s">
        <v>25</v>
      </c>
    </row>
    <row r="34" spans="1:10" x14ac:dyDescent="0.2">
      <c r="A34" s="19">
        <v>45818</v>
      </c>
      <c r="B34" s="20" t="s">
        <v>30</v>
      </c>
      <c r="C34" s="20">
        <v>50692</v>
      </c>
      <c r="D34" s="20" t="s">
        <v>31</v>
      </c>
      <c r="E34" s="20"/>
      <c r="F34" s="20">
        <v>80215</v>
      </c>
      <c r="G34" s="21">
        <v>2124</v>
      </c>
      <c r="H34" s="21"/>
      <c r="I34" s="21">
        <f t="shared" si="0"/>
        <v>5414</v>
      </c>
      <c r="J34" s="20" t="s">
        <v>25</v>
      </c>
    </row>
    <row r="35" spans="1:10" x14ac:dyDescent="0.2">
      <c r="A35" s="19">
        <v>45844</v>
      </c>
      <c r="B35" s="20" t="s">
        <v>30</v>
      </c>
      <c r="C35" s="20">
        <v>50708</v>
      </c>
      <c r="D35" s="20" t="s">
        <v>53</v>
      </c>
      <c r="E35" s="20"/>
      <c r="F35" s="20">
        <v>80215</v>
      </c>
      <c r="G35" s="21">
        <v>354</v>
      </c>
      <c r="H35" s="21"/>
      <c r="I35" s="21">
        <f t="shared" si="0"/>
        <v>5768</v>
      </c>
      <c r="J35" s="20" t="s">
        <v>25</v>
      </c>
    </row>
    <row r="36" spans="1:10" x14ac:dyDescent="0.2">
      <c r="A36" s="19">
        <v>45849</v>
      </c>
      <c r="B36" s="20" t="s">
        <v>30</v>
      </c>
      <c r="C36" s="20">
        <v>50715</v>
      </c>
      <c r="D36" s="20" t="s">
        <v>41</v>
      </c>
      <c r="E36" s="20"/>
      <c r="F36" s="20">
        <v>80215</v>
      </c>
      <c r="G36" s="21">
        <v>177</v>
      </c>
      <c r="H36" s="21"/>
      <c r="I36" s="21">
        <f t="shared" si="0"/>
        <v>5945</v>
      </c>
      <c r="J36" s="20" t="s">
        <v>25</v>
      </c>
    </row>
    <row r="37" spans="1:10" x14ac:dyDescent="0.2">
      <c r="A37" s="19">
        <v>45852</v>
      </c>
      <c r="B37" s="20" t="s">
        <v>30</v>
      </c>
      <c r="C37" s="20">
        <v>50716</v>
      </c>
      <c r="D37" s="20" t="s">
        <v>41</v>
      </c>
      <c r="E37" s="20"/>
      <c r="F37" s="20">
        <v>80214</v>
      </c>
      <c r="G37" s="21">
        <v>1062</v>
      </c>
      <c r="H37" s="21"/>
      <c r="I37" s="21">
        <f t="shared" si="0"/>
        <v>7007</v>
      </c>
      <c r="J37" s="20" t="s">
        <v>25</v>
      </c>
    </row>
    <row r="38" spans="1:10" x14ac:dyDescent="0.2">
      <c r="A38" s="19">
        <v>45852</v>
      </c>
      <c r="B38" s="20" t="s">
        <v>30</v>
      </c>
      <c r="C38" s="20">
        <v>50717</v>
      </c>
      <c r="D38" s="20" t="s">
        <v>54</v>
      </c>
      <c r="E38" s="20"/>
      <c r="F38" s="20">
        <v>80214</v>
      </c>
      <c r="G38" s="21">
        <v>1062</v>
      </c>
      <c r="H38" s="21"/>
      <c r="I38" s="21">
        <f t="shared" si="0"/>
        <v>8069</v>
      </c>
      <c r="J38" s="20" t="s">
        <v>25</v>
      </c>
    </row>
    <row r="39" spans="1:10" x14ac:dyDescent="0.2">
      <c r="A39" s="19">
        <v>45910</v>
      </c>
      <c r="B39" s="20" t="s">
        <v>32</v>
      </c>
      <c r="C39" s="20" t="s">
        <v>33</v>
      </c>
      <c r="D39" s="20" t="s">
        <v>55</v>
      </c>
      <c r="E39" s="20">
        <v>130243</v>
      </c>
      <c r="F39" s="20">
        <v>80215</v>
      </c>
      <c r="G39" s="21"/>
      <c r="H39" s="21">
        <v>3245</v>
      </c>
      <c r="I39" s="21">
        <f t="shared" si="0"/>
        <v>4824</v>
      </c>
      <c r="J39" s="20" t="s">
        <v>29</v>
      </c>
    </row>
    <row r="40" spans="1:10" x14ac:dyDescent="0.2">
      <c r="A40" s="19">
        <v>45910</v>
      </c>
      <c r="B40" s="20" t="s">
        <v>32</v>
      </c>
      <c r="C40" s="20" t="s">
        <v>33</v>
      </c>
      <c r="D40" s="20" t="s">
        <v>56</v>
      </c>
      <c r="E40" s="20">
        <v>130244</v>
      </c>
      <c r="F40" s="20">
        <v>80214</v>
      </c>
      <c r="G40" s="21"/>
      <c r="H40" s="21">
        <v>2124</v>
      </c>
      <c r="I40" s="21">
        <f t="shared" si="0"/>
        <v>2700</v>
      </c>
      <c r="J40" s="20" t="s">
        <v>29</v>
      </c>
    </row>
    <row r="41" spans="1:10" x14ac:dyDescent="0.2">
      <c r="A41" s="19">
        <v>45924</v>
      </c>
      <c r="B41" s="20" t="s">
        <v>30</v>
      </c>
      <c r="C41" s="20">
        <v>50769</v>
      </c>
      <c r="D41" s="20" t="s">
        <v>57</v>
      </c>
      <c r="E41" s="20"/>
      <c r="F41" s="20" t="s">
        <v>58</v>
      </c>
      <c r="G41" s="21">
        <v>531</v>
      </c>
      <c r="H41" s="21"/>
      <c r="I41" s="21">
        <f t="shared" si="0"/>
        <v>3231</v>
      </c>
      <c r="J41" s="20" t="s">
        <v>59</v>
      </c>
    </row>
    <row r="42" spans="1:10" x14ac:dyDescent="0.2">
      <c r="A42" s="19">
        <v>45924</v>
      </c>
      <c r="B42" s="20" t="s">
        <v>30</v>
      </c>
      <c r="C42" s="20">
        <v>50770</v>
      </c>
      <c r="D42" s="20" t="s">
        <v>60</v>
      </c>
      <c r="E42" s="20"/>
      <c r="F42" s="20" t="s">
        <v>58</v>
      </c>
      <c r="G42" s="21">
        <v>531</v>
      </c>
      <c r="H42" s="21"/>
      <c r="I42" s="21">
        <f t="shared" si="0"/>
        <v>3762</v>
      </c>
      <c r="J42" s="20" t="s">
        <v>59</v>
      </c>
    </row>
    <row r="43" spans="1:10" x14ac:dyDescent="0.2">
      <c r="A43" s="19">
        <v>45988</v>
      </c>
      <c r="B43" s="20" t="s">
        <v>30</v>
      </c>
      <c r="C43" s="20">
        <v>50811</v>
      </c>
      <c r="D43" s="20" t="s">
        <v>61</v>
      </c>
      <c r="E43" s="20"/>
      <c r="F43" s="20" t="s">
        <v>58</v>
      </c>
      <c r="G43" s="21">
        <v>531</v>
      </c>
      <c r="H43" s="21"/>
      <c r="I43" s="21">
        <f t="shared" si="0"/>
        <v>4293</v>
      </c>
      <c r="J43" s="20" t="s">
        <v>59</v>
      </c>
    </row>
    <row r="44" spans="1:10" x14ac:dyDescent="0.2">
      <c r="A44" s="19">
        <v>46002</v>
      </c>
      <c r="B44" s="20" t="s">
        <v>32</v>
      </c>
      <c r="C44" s="20" t="s">
        <v>33</v>
      </c>
      <c r="D44" s="20" t="s">
        <v>62</v>
      </c>
      <c r="E44" s="20">
        <v>99210</v>
      </c>
      <c r="F44" s="20" t="s">
        <v>63</v>
      </c>
      <c r="G44" s="21"/>
      <c r="H44" s="21">
        <v>1593</v>
      </c>
      <c r="I44" s="21">
        <f t="shared" si="0"/>
        <v>2700</v>
      </c>
      <c r="J44" s="20" t="s">
        <v>29</v>
      </c>
    </row>
    <row r="45" spans="1:10" x14ac:dyDescent="0.2">
      <c r="A45" s="19">
        <v>46016</v>
      </c>
      <c r="B45" s="20" t="s">
        <v>30</v>
      </c>
      <c r="C45" s="20">
        <v>50835</v>
      </c>
      <c r="D45" s="20" t="s">
        <v>61</v>
      </c>
      <c r="E45" s="20"/>
      <c r="F45" s="20"/>
      <c r="G45" s="21">
        <v>531</v>
      </c>
      <c r="H45" s="21"/>
      <c r="I45" s="21">
        <f t="shared" si="0"/>
        <v>3231</v>
      </c>
      <c r="J45" s="20" t="s">
        <v>36</v>
      </c>
    </row>
    <row r="46" spans="1:10" x14ac:dyDescent="0.2">
      <c r="A46" s="19">
        <v>46016</v>
      </c>
      <c r="B46" s="20" t="s">
        <v>30</v>
      </c>
      <c r="C46" s="20">
        <v>50836</v>
      </c>
      <c r="D46" s="20" t="s">
        <v>64</v>
      </c>
      <c r="E46" s="20"/>
      <c r="F46" s="20"/>
      <c r="G46" s="21">
        <v>1062</v>
      </c>
      <c r="H46" s="21"/>
      <c r="I46" s="21">
        <f t="shared" si="0"/>
        <v>4293</v>
      </c>
      <c r="J46" s="20" t="s">
        <v>36</v>
      </c>
    </row>
    <row r="47" spans="1:10" x14ac:dyDescent="0.2">
      <c r="A47" s="19">
        <v>46077</v>
      </c>
      <c r="B47" s="20" t="s">
        <v>30</v>
      </c>
      <c r="C47" s="20">
        <v>50870</v>
      </c>
      <c r="D47" s="20" t="s">
        <v>65</v>
      </c>
      <c r="E47" s="20"/>
      <c r="F47" s="20"/>
      <c r="G47" s="21">
        <v>1062</v>
      </c>
      <c r="H47" s="21"/>
      <c r="I47" s="21">
        <f t="shared" si="0"/>
        <v>5355</v>
      </c>
      <c r="J47" s="20" t="s">
        <v>36</v>
      </c>
    </row>
    <row r="48" spans="1:10" x14ac:dyDescent="0.2">
      <c r="A48" s="19">
        <v>46172</v>
      </c>
      <c r="B48" s="20" t="s">
        <v>30</v>
      </c>
      <c r="C48" s="20">
        <v>50931</v>
      </c>
      <c r="D48" s="20" t="s">
        <v>66</v>
      </c>
      <c r="E48" s="20"/>
      <c r="F48" s="20"/>
      <c r="G48" s="21">
        <v>1947</v>
      </c>
      <c r="H48" s="21"/>
      <c r="I48" s="21">
        <f t="shared" si="0"/>
        <v>7302</v>
      </c>
      <c r="J48" s="20" t="s">
        <v>36</v>
      </c>
    </row>
    <row r="49" spans="1:10" x14ac:dyDescent="0.2">
      <c r="A49" s="19">
        <v>46202</v>
      </c>
      <c r="B49" s="20" t="s">
        <v>30</v>
      </c>
      <c r="C49" s="20">
        <v>50948</v>
      </c>
      <c r="D49" s="20" t="s">
        <v>67</v>
      </c>
      <c r="E49" s="20"/>
      <c r="F49" s="20"/>
      <c r="G49" s="21">
        <v>649</v>
      </c>
      <c r="H49" s="21"/>
      <c r="I49" s="21">
        <f t="shared" si="0"/>
        <v>7951</v>
      </c>
      <c r="J49" s="20" t="s">
        <v>36</v>
      </c>
    </row>
    <row r="50" spans="1:10" ht="15" x14ac:dyDescent="0.25">
      <c r="A50" s="22"/>
      <c r="B50" s="23"/>
      <c r="C50" s="23"/>
      <c r="D50" s="23" t="s">
        <v>68</v>
      </c>
      <c r="E50" s="23"/>
      <c r="F50" s="23"/>
      <c r="G50" s="24">
        <f>SUM(G2:G49)</f>
        <v>41248</v>
      </c>
      <c r="H50" s="24">
        <f>SUM(H2:H49)</f>
        <v>33297</v>
      </c>
      <c r="I50" s="24">
        <f>G50-H50</f>
        <v>7951</v>
      </c>
      <c r="J50" s="23" t="s">
        <v>69</v>
      </c>
    </row>
    <row r="51" spans="1:10" x14ac:dyDescent="0.2">
      <c r="A51" s="19"/>
      <c r="B51" s="20"/>
      <c r="C51" s="20"/>
      <c r="D51" s="20"/>
      <c r="E51" s="20"/>
      <c r="F51" s="20"/>
      <c r="G51" s="21"/>
      <c r="H51" s="21"/>
      <c r="I51" s="21"/>
      <c r="J51" s="20"/>
    </row>
    <row r="52" spans="1:10" ht="15" x14ac:dyDescent="0.25">
      <c r="A52" s="34" t="s">
        <v>70</v>
      </c>
      <c r="B52" s="35"/>
      <c r="C52" s="35"/>
      <c r="D52" s="35"/>
      <c r="E52" s="35"/>
      <c r="F52" s="35"/>
      <c r="G52" s="36"/>
      <c r="H52" s="36"/>
      <c r="I52" s="36"/>
      <c r="J52" s="35"/>
    </row>
    <row r="53" spans="1:10" x14ac:dyDescent="0.2">
      <c r="A53" s="19">
        <v>45559</v>
      </c>
      <c r="B53" s="20" t="s">
        <v>30</v>
      </c>
      <c r="C53" s="20">
        <v>60494</v>
      </c>
      <c r="D53" s="20" t="s">
        <v>71</v>
      </c>
      <c r="E53" s="20"/>
      <c r="F53" s="20"/>
      <c r="G53" s="21">
        <v>2246.4</v>
      </c>
      <c r="H53" s="21"/>
      <c r="I53" s="21"/>
      <c r="J53" s="20" t="s">
        <v>72</v>
      </c>
    </row>
    <row r="54" spans="1:10" x14ac:dyDescent="0.2">
      <c r="A54" s="19">
        <v>45560</v>
      </c>
      <c r="B54" s="20" t="s">
        <v>26</v>
      </c>
      <c r="C54" s="20" t="s">
        <v>73</v>
      </c>
      <c r="D54" s="20" t="s">
        <v>74</v>
      </c>
      <c r="E54" s="20"/>
      <c r="F54" s="20"/>
      <c r="G54" s="21"/>
      <c r="H54" s="21">
        <v>2246</v>
      </c>
      <c r="I54" s="21"/>
      <c r="J54" s="20" t="s">
        <v>72</v>
      </c>
    </row>
    <row r="55" spans="1:10" x14ac:dyDescent="0.2">
      <c r="A55" s="19">
        <v>45586</v>
      </c>
      <c r="B55" s="20" t="s">
        <v>32</v>
      </c>
      <c r="C55" s="20" t="s">
        <v>33</v>
      </c>
      <c r="D55" s="20" t="s">
        <v>75</v>
      </c>
      <c r="E55" s="20">
        <v>95987</v>
      </c>
      <c r="F55" s="20"/>
      <c r="G55" s="21"/>
      <c r="H55" s="21">
        <v>900</v>
      </c>
      <c r="I55" s="21"/>
      <c r="J55" s="20" t="s">
        <v>72</v>
      </c>
    </row>
    <row r="56" spans="1:10" x14ac:dyDescent="0.2">
      <c r="A56" s="19">
        <v>45596</v>
      </c>
      <c r="B56" s="20" t="s">
        <v>30</v>
      </c>
      <c r="C56" s="20">
        <v>50513</v>
      </c>
      <c r="D56" s="20" t="s">
        <v>71</v>
      </c>
      <c r="E56" s="20"/>
      <c r="F56" s="20"/>
      <c r="G56" s="21">
        <v>900</v>
      </c>
      <c r="H56" s="21"/>
      <c r="I56" s="21"/>
      <c r="J56" s="20" t="s">
        <v>72</v>
      </c>
    </row>
    <row r="57" spans="1:10" ht="15" x14ac:dyDescent="0.25">
      <c r="A57" s="25"/>
      <c r="B57" s="25"/>
      <c r="C57" s="25"/>
      <c r="D57" s="25" t="s">
        <v>76</v>
      </c>
      <c r="E57" s="25"/>
      <c r="F57" s="25"/>
      <c r="G57" s="26">
        <f>SUM(G53:G56)</f>
        <v>3146.4</v>
      </c>
      <c r="H57" s="26">
        <f>SUM(H53:H56)</f>
        <v>3146</v>
      </c>
      <c r="I57" s="26">
        <f>G57-H57</f>
        <v>0.40000000000009095</v>
      </c>
      <c r="J57" s="25" t="s">
        <v>77</v>
      </c>
    </row>
  </sheetData>
  <autoFilter ref="A1:J1" xr:uid="{5B5BBC41-DE8B-4C9C-A825-17B211EAC1A3}"/>
  <mergeCells count="1">
    <mergeCell ref="A52:J52"/>
  </mergeCells>
  <conditionalFormatting sqref="J2:J49">
    <cfRule type="cellIs" dxfId="2" priority="1" stopIfTrue="1" operator="equal">
      <formula>"לא שולם"</formula>
    </cfRule>
    <cfRule type="cellIs" dxfId="1" priority="2" stopIfTrue="1" operator="equal">
      <formula>"שולם"</formula>
    </cfRule>
    <cfRule type="cellIs" dxfId="0" priority="3" stopIfTrue="1" operator="equal">
      <formula>"שולם - חסרה קבלה"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3748-03B1-4638-9438-64AAACDB12A9}">
  <dimension ref="A1:H17"/>
  <sheetViews>
    <sheetView rightToLeft="1" workbookViewId="0"/>
  </sheetViews>
  <sheetFormatPr defaultRowHeight="14.25" x14ac:dyDescent="0.2"/>
  <cols>
    <col min="1" max="2" width="14.625" customWidth="1"/>
    <col min="3" max="3" width="38.625" customWidth="1"/>
    <col min="4" max="4" width="18.625" customWidth="1"/>
    <col min="5" max="5" width="12.625" customWidth="1"/>
    <col min="6" max="6" width="14.625" customWidth="1"/>
    <col min="7" max="7" width="12.625" customWidth="1"/>
    <col min="8" max="8" width="52.625" customWidth="1"/>
  </cols>
  <sheetData>
    <row r="1" spans="1:8" ht="30" customHeight="1" x14ac:dyDescent="0.2">
      <c r="A1" s="10">
        <v>1514</v>
      </c>
      <c r="B1" s="10"/>
      <c r="C1" s="10"/>
      <c r="D1" s="10"/>
      <c r="E1" s="10"/>
      <c r="F1" s="10"/>
      <c r="G1" s="10"/>
      <c r="H1" s="10"/>
    </row>
    <row r="2" spans="1:8" x14ac:dyDescent="0.2">
      <c r="A2" s="11">
        <v>45640</v>
      </c>
      <c r="B2" s="12">
        <v>50551</v>
      </c>
      <c r="C2" s="12" t="s">
        <v>31</v>
      </c>
      <c r="D2" s="13">
        <v>900</v>
      </c>
      <c r="E2" s="13">
        <v>130.77000000000001</v>
      </c>
      <c r="F2" s="13">
        <v>769.23</v>
      </c>
      <c r="G2" s="27">
        <f t="shared" ref="G2:G8" ca="1" si="0">TODAY()-A2</f>
        <v>631</v>
      </c>
      <c r="H2" s="12" t="s">
        <v>78</v>
      </c>
    </row>
    <row r="3" spans="1:8" x14ac:dyDescent="0.2">
      <c r="A3" s="11">
        <v>45754</v>
      </c>
      <c r="B3" s="12">
        <v>50641</v>
      </c>
      <c r="C3" s="12" t="s">
        <v>50</v>
      </c>
      <c r="D3" s="13">
        <v>1800</v>
      </c>
      <c r="E3" s="13">
        <v>274.58</v>
      </c>
      <c r="F3" s="13">
        <v>1525.42</v>
      </c>
      <c r="G3" s="27">
        <f t="shared" ca="1" si="0"/>
        <v>517</v>
      </c>
      <c r="H3" s="12" t="s">
        <v>79</v>
      </c>
    </row>
    <row r="4" spans="1:8" x14ac:dyDescent="0.2">
      <c r="A4" s="11">
        <v>46016</v>
      </c>
      <c r="B4" s="12">
        <v>50835</v>
      </c>
      <c r="C4" s="12" t="s">
        <v>61</v>
      </c>
      <c r="D4" s="13">
        <v>531</v>
      </c>
      <c r="E4" s="13">
        <v>81</v>
      </c>
      <c r="F4" s="13">
        <v>450</v>
      </c>
      <c r="G4" s="27">
        <f t="shared" ca="1" si="0"/>
        <v>255</v>
      </c>
      <c r="H4" s="12"/>
    </row>
    <row r="5" spans="1:8" x14ac:dyDescent="0.2">
      <c r="A5" s="11">
        <v>46016</v>
      </c>
      <c r="B5" s="12">
        <v>50836</v>
      </c>
      <c r="C5" s="12" t="s">
        <v>64</v>
      </c>
      <c r="D5" s="13">
        <v>1062</v>
      </c>
      <c r="E5" s="13">
        <v>162</v>
      </c>
      <c r="F5" s="13">
        <v>900</v>
      </c>
      <c r="G5" s="27">
        <f t="shared" ca="1" si="0"/>
        <v>255</v>
      </c>
      <c r="H5" s="12"/>
    </row>
    <row r="6" spans="1:8" x14ac:dyDescent="0.2">
      <c r="A6" s="11">
        <v>46077</v>
      </c>
      <c r="B6" s="12">
        <v>50870</v>
      </c>
      <c r="C6" s="12" t="s">
        <v>65</v>
      </c>
      <c r="D6" s="13">
        <v>1062</v>
      </c>
      <c r="E6" s="13">
        <v>162</v>
      </c>
      <c r="F6" s="13">
        <v>900</v>
      </c>
      <c r="G6" s="27">
        <f t="shared" ca="1" si="0"/>
        <v>194</v>
      </c>
      <c r="H6" s="12"/>
    </row>
    <row r="7" spans="1:8" x14ac:dyDescent="0.2">
      <c r="A7" s="11">
        <v>46172</v>
      </c>
      <c r="B7" s="12">
        <v>50931</v>
      </c>
      <c r="C7" s="12" t="s">
        <v>66</v>
      </c>
      <c r="D7" s="13">
        <v>1947</v>
      </c>
      <c r="E7" s="13">
        <v>297</v>
      </c>
      <c r="F7" s="13">
        <v>1650</v>
      </c>
      <c r="G7" s="27">
        <f t="shared" ca="1" si="0"/>
        <v>99</v>
      </c>
      <c r="H7" s="12"/>
    </row>
    <row r="8" spans="1:8" x14ac:dyDescent="0.2">
      <c r="A8" s="11">
        <v>46202</v>
      </c>
      <c r="B8" s="12">
        <v>50948</v>
      </c>
      <c r="C8" s="12" t="s">
        <v>67</v>
      </c>
      <c r="D8" s="13">
        <v>649</v>
      </c>
      <c r="E8" s="13">
        <v>99</v>
      </c>
      <c r="F8" s="13">
        <v>550</v>
      </c>
      <c r="G8" s="27">
        <f t="shared" ca="1" si="0"/>
        <v>69</v>
      </c>
      <c r="H8" s="12"/>
    </row>
    <row r="9" spans="1:8" ht="15" x14ac:dyDescent="0.25">
      <c r="A9" s="28"/>
      <c r="B9" s="29"/>
      <c r="C9" s="29" t="s">
        <v>80</v>
      </c>
      <c r="D9" s="30">
        <f>SUM(D2:D8)</f>
        <v>7951</v>
      </c>
      <c r="E9" s="30">
        <f>SUM(E2:E8)</f>
        <v>1206.3499999999999</v>
      </c>
      <c r="F9" s="30">
        <f>SUM(F2:F8)</f>
        <v>6744.65</v>
      </c>
      <c r="G9" s="29"/>
      <c r="H9" s="29"/>
    </row>
    <row r="10" spans="1:8" x14ac:dyDescent="0.2">
      <c r="A10" s="9"/>
      <c r="D10" s="5"/>
      <c r="E10" s="5"/>
      <c r="F10" s="5"/>
    </row>
    <row r="11" spans="1:8" ht="15" x14ac:dyDescent="0.25">
      <c r="A11" s="37" t="s">
        <v>81</v>
      </c>
      <c r="B11" s="38"/>
      <c r="C11" s="38"/>
      <c r="D11" s="39"/>
      <c r="E11" s="39"/>
      <c r="F11" s="39"/>
      <c r="G11" s="38"/>
      <c r="H11" s="38"/>
    </row>
    <row r="12" spans="1:8" x14ac:dyDescent="0.2">
      <c r="A12" s="11">
        <v>45924</v>
      </c>
      <c r="B12" s="12">
        <v>50769</v>
      </c>
      <c r="C12" s="12" t="s">
        <v>57</v>
      </c>
      <c r="D12" s="13">
        <v>531</v>
      </c>
      <c r="E12" s="13">
        <v>81</v>
      </c>
      <c r="F12" s="13">
        <v>450</v>
      </c>
      <c r="G12" s="12"/>
      <c r="H12" s="12" t="s">
        <v>82</v>
      </c>
    </row>
    <row r="13" spans="1:8" x14ac:dyDescent="0.2">
      <c r="A13" s="11">
        <v>45924</v>
      </c>
      <c r="B13" s="12">
        <v>50770</v>
      </c>
      <c r="C13" s="12" t="s">
        <v>60</v>
      </c>
      <c r="D13" s="13">
        <v>531</v>
      </c>
      <c r="E13" s="13">
        <v>81</v>
      </c>
      <c r="F13" s="13">
        <v>450</v>
      </c>
      <c r="G13" s="12"/>
      <c r="H13" s="12" t="s">
        <v>82</v>
      </c>
    </row>
    <row r="14" spans="1:8" x14ac:dyDescent="0.2">
      <c r="A14" s="11">
        <v>45988</v>
      </c>
      <c r="B14" s="12">
        <v>50811</v>
      </c>
      <c r="C14" s="12" t="s">
        <v>61</v>
      </c>
      <c r="D14" s="13">
        <v>531</v>
      </c>
      <c r="E14" s="13">
        <v>81</v>
      </c>
      <c r="F14" s="13">
        <v>450</v>
      </c>
      <c r="G14" s="12"/>
      <c r="H14" s="12" t="s">
        <v>82</v>
      </c>
    </row>
    <row r="15" spans="1:8" ht="15" x14ac:dyDescent="0.25">
      <c r="A15" s="16"/>
      <c r="B15" s="16"/>
      <c r="C15" s="16" t="s">
        <v>83</v>
      </c>
      <c r="D15" s="17">
        <f>SUM(D12:D14)</f>
        <v>1593</v>
      </c>
      <c r="E15" s="17"/>
      <c r="F15" s="17"/>
      <c r="G15" s="16"/>
      <c r="H15" s="16"/>
    </row>
    <row r="16" spans="1:8" ht="15" x14ac:dyDescent="0.25">
      <c r="A16" s="16"/>
      <c r="B16" s="16"/>
      <c r="C16" s="16" t="s">
        <v>84</v>
      </c>
      <c r="D16" s="17">
        <v>95.58</v>
      </c>
      <c r="E16" s="17"/>
      <c r="F16" s="17"/>
      <c r="G16" s="16"/>
      <c r="H16" s="16"/>
    </row>
    <row r="17" spans="1:8" ht="15" x14ac:dyDescent="0.25">
      <c r="A17" s="16"/>
      <c r="B17" s="16"/>
      <c r="C17" s="16" t="s">
        <v>85</v>
      </c>
      <c r="D17" s="17">
        <f>D15-D16</f>
        <v>1497.42</v>
      </c>
      <c r="E17" s="17"/>
      <c r="F17" s="17"/>
      <c r="G17" s="16"/>
      <c r="H17" s="16"/>
    </row>
  </sheetData>
  <mergeCells count="1">
    <mergeCell ref="A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6243-3198-4B64-AD70-F34F18145843}">
  <dimension ref="A1:J15"/>
  <sheetViews>
    <sheetView rightToLeft="1" workbookViewId="0"/>
  </sheetViews>
  <sheetFormatPr defaultRowHeight="14.25" x14ac:dyDescent="0.2"/>
  <cols>
    <col min="1" max="1" width="6.625" customWidth="1"/>
    <col min="2" max="2" width="14.625" customWidth="1"/>
    <col min="3" max="3" width="16.625" customWidth="1"/>
    <col min="4" max="4" width="18.625" customWidth="1"/>
    <col min="5" max="5" width="14.625" customWidth="1"/>
    <col min="6" max="6" width="24.625" customWidth="1"/>
    <col min="7" max="8" width="14.625" customWidth="1"/>
    <col min="9" max="9" width="40.625" customWidth="1"/>
    <col min="10" max="10" width="16.625" customWidth="1"/>
  </cols>
  <sheetData>
    <row r="1" spans="1:10" ht="30" customHeight="1" x14ac:dyDescent="0.2">
      <c r="A1" s="10">
        <v>35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">
      <c r="A2" s="12">
        <v>1</v>
      </c>
      <c r="B2" s="11">
        <v>45607</v>
      </c>
      <c r="C2" s="12" t="s">
        <v>27</v>
      </c>
      <c r="D2" s="13">
        <v>5940</v>
      </c>
      <c r="E2" s="13">
        <v>5940</v>
      </c>
      <c r="F2" s="12" t="s">
        <v>86</v>
      </c>
      <c r="G2" s="11">
        <v>45607</v>
      </c>
      <c r="H2" s="13">
        <v>5940</v>
      </c>
      <c r="I2" s="12">
        <v>60501</v>
      </c>
      <c r="J2" s="12" t="s">
        <v>87</v>
      </c>
    </row>
    <row r="3" spans="1:10" x14ac:dyDescent="0.2">
      <c r="A3" s="12">
        <v>2</v>
      </c>
      <c r="B3" s="11">
        <v>45621</v>
      </c>
      <c r="C3" s="12">
        <v>78562</v>
      </c>
      <c r="D3" s="13">
        <v>900</v>
      </c>
      <c r="E3" s="13">
        <v>900</v>
      </c>
      <c r="F3" s="12">
        <v>80133</v>
      </c>
      <c r="G3" s="11">
        <v>45640</v>
      </c>
      <c r="H3" s="13">
        <v>900</v>
      </c>
      <c r="I3" s="12">
        <v>50534</v>
      </c>
      <c r="J3" s="12" t="s">
        <v>87</v>
      </c>
    </row>
    <row r="4" spans="1:10" x14ac:dyDescent="0.2">
      <c r="A4" s="12">
        <v>3</v>
      </c>
      <c r="B4" s="11">
        <v>45648</v>
      </c>
      <c r="C4" s="12">
        <v>125087</v>
      </c>
      <c r="D4" s="13">
        <v>3200</v>
      </c>
      <c r="E4" s="13">
        <v>3200</v>
      </c>
      <c r="F4" s="12">
        <v>80144</v>
      </c>
      <c r="G4" s="11">
        <v>45648</v>
      </c>
      <c r="H4" s="13">
        <v>3200</v>
      </c>
      <c r="I4" s="12" t="s">
        <v>88</v>
      </c>
      <c r="J4" s="12" t="s">
        <v>87</v>
      </c>
    </row>
    <row r="5" spans="1:10" x14ac:dyDescent="0.2">
      <c r="A5" s="12">
        <v>4</v>
      </c>
      <c r="B5" s="11">
        <v>45669</v>
      </c>
      <c r="C5" s="12">
        <v>174471</v>
      </c>
      <c r="D5" s="13">
        <v>3600</v>
      </c>
      <c r="E5" s="13">
        <v>3600</v>
      </c>
      <c r="F5" s="12" t="s">
        <v>39</v>
      </c>
      <c r="G5" s="11">
        <v>45669</v>
      </c>
      <c r="H5" s="13">
        <v>3600</v>
      </c>
      <c r="I5" s="12" t="s">
        <v>89</v>
      </c>
      <c r="J5" s="12" t="s">
        <v>87</v>
      </c>
    </row>
    <row r="6" spans="1:10" x14ac:dyDescent="0.2">
      <c r="A6" s="12">
        <v>5</v>
      </c>
      <c r="B6" s="11">
        <v>45701</v>
      </c>
      <c r="C6" s="12">
        <v>26329</v>
      </c>
      <c r="D6" s="13">
        <v>2250</v>
      </c>
      <c r="E6" s="13">
        <v>2250</v>
      </c>
      <c r="F6" s="12">
        <v>80151</v>
      </c>
      <c r="G6" s="11">
        <v>45700</v>
      </c>
      <c r="H6" s="13">
        <v>2250</v>
      </c>
      <c r="I6" s="12" t="s">
        <v>90</v>
      </c>
      <c r="J6" s="12" t="s">
        <v>87</v>
      </c>
    </row>
    <row r="7" spans="1:10" x14ac:dyDescent="0.2">
      <c r="A7" s="12">
        <v>6</v>
      </c>
      <c r="B7" s="11">
        <v>45733</v>
      </c>
      <c r="C7" s="12">
        <v>103426</v>
      </c>
      <c r="D7" s="13">
        <v>4750</v>
      </c>
      <c r="E7" s="13">
        <v>4750</v>
      </c>
      <c r="F7" s="12">
        <v>80167</v>
      </c>
      <c r="G7" s="11">
        <v>45737</v>
      </c>
      <c r="H7" s="13">
        <v>4750</v>
      </c>
      <c r="I7" s="12" t="s">
        <v>91</v>
      </c>
      <c r="J7" s="12" t="s">
        <v>87</v>
      </c>
    </row>
    <row r="8" spans="1:10" x14ac:dyDescent="0.2">
      <c r="A8" s="12">
        <v>7</v>
      </c>
      <c r="B8" s="11">
        <v>45733</v>
      </c>
      <c r="C8" s="12">
        <v>103427</v>
      </c>
      <c r="D8" s="13">
        <v>2095</v>
      </c>
      <c r="E8" s="13">
        <v>2095</v>
      </c>
      <c r="F8" s="12">
        <v>80166</v>
      </c>
      <c r="G8" s="11">
        <v>45737</v>
      </c>
      <c r="H8" s="13">
        <v>2095</v>
      </c>
      <c r="I8" s="12" t="s">
        <v>92</v>
      </c>
      <c r="J8" s="12" t="s">
        <v>87</v>
      </c>
    </row>
    <row r="9" spans="1:10" x14ac:dyDescent="0.2">
      <c r="A9" s="12">
        <v>8</v>
      </c>
      <c r="B9" s="11">
        <v>45782</v>
      </c>
      <c r="C9" s="12">
        <v>21894</v>
      </c>
      <c r="D9" s="13">
        <v>3600</v>
      </c>
      <c r="E9" s="13">
        <v>3600</v>
      </c>
      <c r="F9" s="12">
        <v>80175</v>
      </c>
      <c r="G9" s="11">
        <v>45786</v>
      </c>
      <c r="H9" s="13">
        <v>3600</v>
      </c>
      <c r="I9" s="12" t="s">
        <v>93</v>
      </c>
      <c r="J9" s="12" t="s">
        <v>87</v>
      </c>
    </row>
    <row r="10" spans="1:10" x14ac:dyDescent="0.2">
      <c r="A10" s="12">
        <v>9</v>
      </c>
      <c r="B10" s="11">
        <v>45910</v>
      </c>
      <c r="C10" s="12">
        <v>130243</v>
      </c>
      <c r="D10" s="13">
        <v>3245</v>
      </c>
      <c r="E10" s="13">
        <v>3245</v>
      </c>
      <c r="F10" s="12">
        <v>80215</v>
      </c>
      <c r="G10" s="11">
        <v>45989</v>
      </c>
      <c r="H10" s="13">
        <v>3245</v>
      </c>
      <c r="I10" s="12" t="s">
        <v>94</v>
      </c>
      <c r="J10" s="12" t="s">
        <v>87</v>
      </c>
    </row>
    <row r="11" spans="1:10" x14ac:dyDescent="0.2">
      <c r="A11" s="12">
        <v>10</v>
      </c>
      <c r="B11" s="11">
        <v>45910</v>
      </c>
      <c r="C11" s="12">
        <v>130244</v>
      </c>
      <c r="D11" s="13">
        <v>2124</v>
      </c>
      <c r="E11" s="13">
        <v>2124</v>
      </c>
      <c r="F11" s="12">
        <v>80214</v>
      </c>
      <c r="G11" s="11">
        <v>45989</v>
      </c>
      <c r="H11" s="13">
        <v>2124</v>
      </c>
      <c r="I11" s="12" t="s">
        <v>95</v>
      </c>
      <c r="J11" s="12" t="s">
        <v>87</v>
      </c>
    </row>
    <row r="12" spans="1:10" x14ac:dyDescent="0.2">
      <c r="A12" s="31">
        <v>11</v>
      </c>
      <c r="B12" s="32">
        <v>46002</v>
      </c>
      <c r="C12" s="31">
        <v>99210</v>
      </c>
      <c r="D12" s="33">
        <v>1497.42</v>
      </c>
      <c r="E12" s="33">
        <v>1593</v>
      </c>
      <c r="F12" s="31" t="s">
        <v>96</v>
      </c>
      <c r="G12" s="32"/>
      <c r="H12" s="33">
        <v>0</v>
      </c>
      <c r="I12" s="31" t="s">
        <v>97</v>
      </c>
      <c r="J12" s="31" t="s">
        <v>98</v>
      </c>
    </row>
    <row r="13" spans="1:10" ht="15" x14ac:dyDescent="0.25">
      <c r="A13" s="14"/>
      <c r="B13" s="14"/>
      <c r="C13" s="14" t="s">
        <v>68</v>
      </c>
      <c r="D13" s="15">
        <f>SUM(D2:D12)</f>
        <v>33201.42</v>
      </c>
      <c r="E13" s="15">
        <f>SUM(E2:E12)</f>
        <v>33297</v>
      </c>
      <c r="F13" s="14"/>
      <c r="G13" s="14"/>
      <c r="H13" s="15">
        <f>SUM(H2:H12)</f>
        <v>31704</v>
      </c>
      <c r="I13" s="14"/>
      <c r="J13" s="14"/>
    </row>
    <row r="14" spans="1:10" x14ac:dyDescent="0.2">
      <c r="H14" s="5"/>
    </row>
    <row r="15" spans="1:10" ht="15" x14ac:dyDescent="0.25">
      <c r="A15" s="2"/>
      <c r="B15" s="2"/>
      <c r="C15" s="2" t="s">
        <v>99</v>
      </c>
      <c r="D15" s="2"/>
      <c r="E15" s="2"/>
      <c r="F15" s="2"/>
      <c r="G15" s="2"/>
      <c r="H15" s="7">
        <f>E13-H13</f>
        <v>1593</v>
      </c>
      <c r="I15" s="2"/>
      <c r="J1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8009-A10D-4C0A-91D5-0BD962D303A3}">
  <dimension ref="A1:F33"/>
  <sheetViews>
    <sheetView rightToLeft="1" workbookViewId="0"/>
  </sheetViews>
  <sheetFormatPr defaultRowHeight="14.25" x14ac:dyDescent="0.2"/>
  <cols>
    <col min="1" max="1" width="14.625" customWidth="1"/>
    <col min="2" max="2" width="16.625" customWidth="1"/>
    <col min="3" max="3" width="30.625" customWidth="1"/>
    <col min="4" max="4" width="20.625" customWidth="1"/>
    <col min="5" max="5" width="26.625" customWidth="1"/>
    <col min="6" max="6" width="30.625" customWidth="1"/>
  </cols>
  <sheetData>
    <row r="1" spans="1:6" ht="16.5" x14ac:dyDescent="0.25">
      <c r="A1" s="41" t="s">
        <v>100</v>
      </c>
      <c r="B1" s="41"/>
      <c r="C1" s="41"/>
      <c r="D1" s="41"/>
      <c r="E1" s="41"/>
      <c r="F1" s="41"/>
    </row>
    <row r="2" spans="1:6" x14ac:dyDescent="0.2">
      <c r="A2" s="42" t="s">
        <v>101</v>
      </c>
      <c r="B2" s="42"/>
      <c r="C2" s="42"/>
      <c r="D2" s="42"/>
      <c r="E2" s="42"/>
      <c r="F2" s="42"/>
    </row>
    <row r="4" spans="1:6" ht="30" customHeight="1" x14ac:dyDescent="0.2">
      <c r="A4" s="10">
        <v>1514</v>
      </c>
      <c r="B4" s="10"/>
      <c r="C4" s="10"/>
      <c r="D4" s="10"/>
      <c r="E4" s="10"/>
      <c r="F4" s="10"/>
    </row>
    <row r="5" spans="1:6" x14ac:dyDescent="0.2">
      <c r="A5" s="11">
        <v>45616</v>
      </c>
      <c r="B5" s="12">
        <v>50534</v>
      </c>
      <c r="C5" s="12" t="s">
        <v>31</v>
      </c>
      <c r="D5" s="13">
        <v>900</v>
      </c>
      <c r="E5" s="13">
        <v>130.77000000000001</v>
      </c>
      <c r="F5" s="13">
        <v>769.23</v>
      </c>
    </row>
    <row r="6" spans="1:6" x14ac:dyDescent="0.2">
      <c r="A6" s="11">
        <v>45657</v>
      </c>
      <c r="B6" s="12">
        <v>50561</v>
      </c>
      <c r="C6" s="12" t="s">
        <v>31</v>
      </c>
      <c r="D6" s="13">
        <v>900</v>
      </c>
      <c r="E6" s="13">
        <v>130.77000000000001</v>
      </c>
      <c r="F6" s="13">
        <v>769.23</v>
      </c>
    </row>
    <row r="7" spans="1:6" x14ac:dyDescent="0.2">
      <c r="A7" s="11">
        <v>45679</v>
      </c>
      <c r="B7" s="12">
        <v>50574</v>
      </c>
      <c r="C7" s="12" t="s">
        <v>31</v>
      </c>
      <c r="D7" s="13">
        <v>1195</v>
      </c>
      <c r="E7" s="13">
        <v>182.29</v>
      </c>
      <c r="F7" s="13">
        <v>1012.71</v>
      </c>
    </row>
    <row r="8" spans="1:6" x14ac:dyDescent="0.2">
      <c r="A8" s="11">
        <v>45680</v>
      </c>
      <c r="B8" s="12">
        <v>50576</v>
      </c>
      <c r="C8" s="12" t="s">
        <v>40</v>
      </c>
      <c r="D8" s="13">
        <v>900</v>
      </c>
      <c r="E8" s="13">
        <v>137.29</v>
      </c>
      <c r="F8" s="13">
        <v>762.71</v>
      </c>
    </row>
    <row r="9" spans="1:6" x14ac:dyDescent="0.2">
      <c r="A9" s="11">
        <v>45701</v>
      </c>
      <c r="B9" s="12">
        <v>50596</v>
      </c>
      <c r="C9" s="12" t="s">
        <v>102</v>
      </c>
      <c r="D9" s="13">
        <v>900</v>
      </c>
      <c r="E9" s="13">
        <v>137.29</v>
      </c>
      <c r="F9" s="13">
        <v>762.71</v>
      </c>
    </row>
    <row r="10" spans="1:6" x14ac:dyDescent="0.2">
      <c r="A10" s="11">
        <v>45701</v>
      </c>
      <c r="B10" s="12">
        <v>50597</v>
      </c>
      <c r="C10" s="12" t="s">
        <v>51</v>
      </c>
      <c r="D10" s="13">
        <v>1150</v>
      </c>
      <c r="E10" s="13">
        <v>175.43</v>
      </c>
      <c r="F10" s="13">
        <v>974.57</v>
      </c>
    </row>
    <row r="11" spans="1:6" x14ac:dyDescent="0.2">
      <c r="A11" s="11">
        <v>45722</v>
      </c>
      <c r="B11" s="12">
        <v>50613</v>
      </c>
      <c r="C11" s="12" t="s">
        <v>41</v>
      </c>
      <c r="D11" s="13">
        <v>900</v>
      </c>
      <c r="E11" s="13">
        <v>137.29</v>
      </c>
      <c r="F11" s="13">
        <v>762.71</v>
      </c>
    </row>
    <row r="12" spans="1:6" x14ac:dyDescent="0.2">
      <c r="A12" s="11">
        <v>45722</v>
      </c>
      <c r="B12" s="12">
        <v>50614</v>
      </c>
      <c r="C12" s="12" t="s">
        <v>46</v>
      </c>
      <c r="D12" s="13">
        <v>900</v>
      </c>
      <c r="E12" s="13">
        <v>137.29</v>
      </c>
      <c r="F12" s="13">
        <v>762.71</v>
      </c>
    </row>
    <row r="13" spans="1:6" x14ac:dyDescent="0.2">
      <c r="A13" s="11">
        <v>45722</v>
      </c>
      <c r="B13" s="12">
        <v>50615</v>
      </c>
      <c r="C13" s="12" t="s">
        <v>47</v>
      </c>
      <c r="D13" s="13">
        <v>900</v>
      </c>
      <c r="E13" s="13">
        <v>137.29</v>
      </c>
      <c r="F13" s="13">
        <v>762.71</v>
      </c>
    </row>
    <row r="14" spans="1:6" x14ac:dyDescent="0.2">
      <c r="A14" s="11">
        <v>45739</v>
      </c>
      <c r="B14" s="12">
        <v>50633</v>
      </c>
      <c r="C14" s="12" t="s">
        <v>42</v>
      </c>
      <c r="D14" s="13">
        <v>1350</v>
      </c>
      <c r="E14" s="13">
        <v>205.93</v>
      </c>
      <c r="F14" s="13">
        <v>1144.07</v>
      </c>
    </row>
    <row r="15" spans="1:6" x14ac:dyDescent="0.2">
      <c r="A15" s="11">
        <v>45754</v>
      </c>
      <c r="B15" s="12">
        <v>50641</v>
      </c>
      <c r="C15" s="12" t="s">
        <v>103</v>
      </c>
      <c r="D15" s="13">
        <v>1800</v>
      </c>
      <c r="E15" s="13">
        <v>274.58</v>
      </c>
      <c r="F15" s="13">
        <v>1525.42</v>
      </c>
    </row>
    <row r="16" spans="1:6" x14ac:dyDescent="0.2">
      <c r="A16" s="11">
        <v>45754</v>
      </c>
      <c r="B16" s="12">
        <v>50642</v>
      </c>
      <c r="C16" s="12" t="s">
        <v>51</v>
      </c>
      <c r="D16" s="13">
        <v>1800</v>
      </c>
      <c r="E16" s="13">
        <v>274.58</v>
      </c>
      <c r="F16" s="13">
        <v>1525.42</v>
      </c>
    </row>
    <row r="17" spans="1:6" x14ac:dyDescent="0.2">
      <c r="A17" s="11">
        <v>45774</v>
      </c>
      <c r="B17" s="12">
        <v>50655</v>
      </c>
      <c r="C17" s="12" t="s">
        <v>51</v>
      </c>
      <c r="D17" s="13">
        <v>450</v>
      </c>
      <c r="E17" s="13">
        <v>68.64</v>
      </c>
      <c r="F17" s="13">
        <v>381.36</v>
      </c>
    </row>
    <row r="18" spans="1:6" x14ac:dyDescent="0.2">
      <c r="A18" s="11">
        <v>45818</v>
      </c>
      <c r="B18" s="12">
        <v>50692</v>
      </c>
      <c r="C18" s="12" t="s">
        <v>31</v>
      </c>
      <c r="D18" s="13">
        <v>2124</v>
      </c>
      <c r="E18" s="13">
        <v>324</v>
      </c>
      <c r="F18" s="13">
        <v>1800</v>
      </c>
    </row>
    <row r="19" spans="1:6" x14ac:dyDescent="0.2">
      <c r="A19" s="11">
        <v>45924</v>
      </c>
      <c r="B19" s="12">
        <v>50769</v>
      </c>
      <c r="C19" s="12" t="s">
        <v>57</v>
      </c>
      <c r="D19" s="13">
        <v>531</v>
      </c>
      <c r="E19" s="13">
        <v>81</v>
      </c>
      <c r="F19" s="13">
        <v>450</v>
      </c>
    </row>
    <row r="20" spans="1:6" x14ac:dyDescent="0.2">
      <c r="A20" s="11">
        <v>45924</v>
      </c>
      <c r="B20" s="12">
        <v>50770</v>
      </c>
      <c r="C20" s="12" t="s">
        <v>60</v>
      </c>
      <c r="D20" s="13">
        <v>531</v>
      </c>
      <c r="E20" s="13">
        <v>81</v>
      </c>
      <c r="F20" s="13">
        <v>450</v>
      </c>
    </row>
    <row r="21" spans="1:6" x14ac:dyDescent="0.2">
      <c r="A21" s="11">
        <v>45988</v>
      </c>
      <c r="B21" s="12">
        <v>50811</v>
      </c>
      <c r="C21" s="12" t="s">
        <v>61</v>
      </c>
      <c r="D21" s="13">
        <v>531</v>
      </c>
      <c r="E21" s="13">
        <v>81</v>
      </c>
      <c r="F21" s="13">
        <v>450</v>
      </c>
    </row>
    <row r="22" spans="1:6" x14ac:dyDescent="0.2">
      <c r="A22" s="11">
        <v>46016</v>
      </c>
      <c r="B22" s="12">
        <v>50835</v>
      </c>
      <c r="C22" s="12" t="s">
        <v>61</v>
      </c>
      <c r="D22" s="13">
        <v>531</v>
      </c>
      <c r="E22" s="13">
        <v>81</v>
      </c>
      <c r="F22" s="13">
        <v>450</v>
      </c>
    </row>
    <row r="23" spans="1:6" x14ac:dyDescent="0.2">
      <c r="A23" s="11">
        <v>46016</v>
      </c>
      <c r="B23" s="12">
        <v>50836</v>
      </c>
      <c r="C23" s="12" t="s">
        <v>64</v>
      </c>
      <c r="D23" s="13">
        <v>1062</v>
      </c>
      <c r="E23" s="13">
        <v>162</v>
      </c>
      <c r="F23" s="13">
        <v>900</v>
      </c>
    </row>
    <row r="24" spans="1:6" x14ac:dyDescent="0.2">
      <c r="A24" s="11">
        <v>46077</v>
      </c>
      <c r="B24" s="12">
        <v>50870</v>
      </c>
      <c r="C24" s="12" t="s">
        <v>65</v>
      </c>
      <c r="D24" s="13">
        <v>1062</v>
      </c>
      <c r="E24" s="13">
        <v>162</v>
      </c>
      <c r="F24" s="13">
        <v>900</v>
      </c>
    </row>
    <row r="25" spans="1:6" x14ac:dyDescent="0.2">
      <c r="A25" s="11">
        <v>46172</v>
      </c>
      <c r="B25" s="12">
        <v>50931</v>
      </c>
      <c r="C25" s="12" t="s">
        <v>104</v>
      </c>
      <c r="D25" s="13">
        <v>1947</v>
      </c>
      <c r="E25" s="13">
        <v>297</v>
      </c>
      <c r="F25" s="13">
        <v>1650</v>
      </c>
    </row>
    <row r="26" spans="1:6" x14ac:dyDescent="0.2">
      <c r="A26" s="11">
        <v>46202</v>
      </c>
      <c r="B26" s="12">
        <v>50948</v>
      </c>
      <c r="C26" s="12" t="s">
        <v>41</v>
      </c>
      <c r="D26" s="13">
        <v>649</v>
      </c>
      <c r="E26" s="13">
        <v>99</v>
      </c>
      <c r="F26" s="13">
        <v>550</v>
      </c>
    </row>
    <row r="27" spans="1:6" ht="15" x14ac:dyDescent="0.25">
      <c r="A27" s="29"/>
      <c r="B27" s="29"/>
      <c r="C27" s="29" t="s">
        <v>68</v>
      </c>
      <c r="D27" s="30">
        <f>SUM(D5:D26)</f>
        <v>23013</v>
      </c>
      <c r="E27" s="30">
        <f>SUM(E5:E26)</f>
        <v>3497.4399999999996</v>
      </c>
      <c r="F27" s="30">
        <f>SUM(F5:F26)</f>
        <v>19515.560000000001</v>
      </c>
    </row>
    <row r="29" spans="1:6" ht="15" x14ac:dyDescent="0.25">
      <c r="A29" s="38" t="s">
        <v>105</v>
      </c>
      <c r="B29" s="38"/>
      <c r="C29" s="38"/>
      <c r="D29" s="38"/>
      <c r="E29" s="38"/>
      <c r="F29" s="38"/>
    </row>
    <row r="30" spans="1:6" ht="33.950000000000003" customHeight="1" x14ac:dyDescent="0.2">
      <c r="A30" s="40" t="s">
        <v>106</v>
      </c>
      <c r="B30" s="40"/>
      <c r="C30" s="40"/>
      <c r="D30" s="13">
        <v>450</v>
      </c>
      <c r="E30" s="13">
        <v>68.64</v>
      </c>
      <c r="F30" s="13">
        <v>381.36</v>
      </c>
    </row>
    <row r="31" spans="1:6" ht="33.950000000000003" customHeight="1" x14ac:dyDescent="0.2">
      <c r="A31" s="40" t="s">
        <v>107</v>
      </c>
      <c r="B31" s="40"/>
      <c r="C31" s="40"/>
      <c r="D31" s="13">
        <v>1593</v>
      </c>
      <c r="E31" s="13"/>
      <c r="F31" s="13"/>
    </row>
    <row r="32" spans="1:6" ht="33.950000000000003" customHeight="1" x14ac:dyDescent="0.2">
      <c r="A32" s="40" t="s">
        <v>108</v>
      </c>
      <c r="B32" s="40"/>
      <c r="C32" s="40"/>
      <c r="D32" s="13">
        <v>3146.4</v>
      </c>
      <c r="E32" s="13"/>
      <c r="F32" s="13"/>
    </row>
    <row r="33" spans="1:6" ht="33.950000000000003" customHeight="1" x14ac:dyDescent="0.2">
      <c r="A33" s="40" t="s">
        <v>109</v>
      </c>
      <c r="B33" s="40"/>
      <c r="C33" s="40"/>
      <c r="D33" s="13"/>
      <c r="E33" s="13"/>
      <c r="F33" s="13"/>
    </row>
  </sheetData>
  <mergeCells count="7">
    <mergeCell ref="A33:C33"/>
    <mergeCell ref="A1:F1"/>
    <mergeCell ref="A2:F2"/>
    <mergeCell ref="A29:F29"/>
    <mergeCell ref="A30:C30"/>
    <mergeCell ref="A31:C31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סיכום</vt:lpstr>
      <vt:lpstr>כרטסת</vt:lpstr>
      <vt:lpstr>לא שולם</vt:lpstr>
      <vt:lpstr>התאמת תשלומים</vt:lpstr>
      <vt:lpstr>פערים בהנהחש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2026-09-06T10:08:23Z</dcterms:created>
  <dcterms:modified xsi:type="dcterms:W3CDTF">2026-09-06T10:09:51Z</dcterms:modified>
</cp:coreProperties>
</file>