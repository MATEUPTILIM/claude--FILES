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ocuments\CLUDE FILES\"/>
    </mc:Choice>
  </mc:AlternateContent>
  <xr:revisionPtr revIDLastSave="0" documentId="13_ncr:1_{71184A52-A624-46EE-9154-027145E1EEF7}" xr6:coauthVersionLast="47" xr6:coauthVersionMax="47" xr10:uidLastSave="{00000000-0000-0000-0000-000000000000}"/>
  <bookViews>
    <workbookView xWindow="1950" yWindow="1950" windowWidth="21600" windowHeight="11295" firstSheet="2" activeTab="5" xr2:uid="{00000000-000D-0000-FFFF-FFFF00000000}"/>
  </bookViews>
  <sheets>
    <sheet name="דשבורד" sheetId="11" r:id="rId1"/>
    <sheet name="עובדים זרים - ספטמבר" sheetId="12" r:id="rId2"/>
    <sheet name="עובדים זרים - אוגוסט" sheetId="9" r:id="rId3"/>
    <sheet name="עובדים זרים - יולי" sheetId="1" r:id="rId4"/>
    <sheet name="עובדים זרים - יוני" sheetId="2" r:id="rId5"/>
    <sheet name="דירות - ספטמבר" sheetId="13" r:id="rId6"/>
    <sheet name="דירות - אוגוסט" sheetId="10" r:id="rId7"/>
    <sheet name="דירות - שירותי קרקע" sheetId="3" r:id="rId8"/>
    <sheet name="דירות - יוני" sheetId="4" r:id="rId9"/>
    <sheet name="סיכום מאוחד" sheetId="5" r:id="rId10"/>
    <sheet name="הוצאות תפעוליות" sheetId="6" r:id="rId11"/>
    <sheet name="מעקב תשלומים" sheetId="7" r:id="rId12"/>
    <sheet name="השוואה חודשית" sheetId="8"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8flfb0Z3CWrRYjWUccSt/oMpZ76CyHAcwuJPg1ty8Js="/>
    </ext>
  </extLst>
</workbook>
</file>

<file path=xl/calcChain.xml><?xml version="1.0" encoding="utf-8"?>
<calcChain xmlns="http://schemas.openxmlformats.org/spreadsheetml/2006/main">
  <c r="D27" i="11" l="1"/>
  <c r="C27" i="11"/>
  <c r="B27" i="11"/>
  <c r="D26" i="11"/>
  <c r="C26" i="11"/>
  <c r="B26" i="11"/>
  <c r="D25" i="11"/>
  <c r="C25" i="11"/>
  <c r="B25" i="11"/>
  <c r="D24" i="11"/>
  <c r="C24" i="11"/>
  <c r="B24" i="11"/>
  <c r="D23" i="11"/>
  <c r="C23" i="11"/>
  <c r="B23" i="11"/>
  <c r="D22" i="11"/>
  <c r="C22" i="11"/>
  <c r="B22" i="11"/>
  <c r="D21" i="11"/>
  <c r="C21" i="11"/>
  <c r="B21" i="11"/>
  <c r="D20" i="11"/>
  <c r="C20" i="11"/>
  <c r="B20" i="11"/>
  <c r="D19" i="11"/>
  <c r="C19" i="11"/>
  <c r="B19" i="11"/>
  <c r="D18" i="11"/>
  <c r="C18" i="11"/>
  <c r="B18" i="11"/>
  <c r="D17" i="11"/>
  <c r="C17" i="11"/>
  <c r="B17" i="11"/>
  <c r="D16" i="11"/>
  <c r="C16" i="11"/>
  <c r="B16" i="11"/>
  <c r="E12" i="11"/>
  <c r="E11" i="11"/>
  <c r="E10" i="11"/>
  <c r="E9" i="11"/>
  <c r="E8" i="11"/>
  <c r="E7" i="11"/>
  <c r="E6" i="11"/>
  <c r="E5" i="11"/>
  <c r="E4" i="11"/>
  <c r="G38" i="8"/>
  <c r="F38" i="8"/>
  <c r="G37" i="8"/>
  <c r="F37" i="8"/>
  <c r="E38" i="8"/>
  <c r="E37" i="8"/>
  <c r="G32" i="8"/>
  <c r="F32" i="8"/>
  <c r="G31" i="8"/>
  <c r="F31" i="8"/>
  <c r="E33" i="8"/>
  <c r="E32" i="8"/>
  <c r="E31" i="8"/>
  <c r="F28" i="8"/>
  <c r="E28" i="8"/>
  <c r="F27" i="8"/>
  <c r="E27" i="8"/>
  <c r="F26" i="8"/>
  <c r="E26" i="8"/>
  <c r="F25" i="8"/>
  <c r="E25" i="8"/>
  <c r="F24" i="8"/>
  <c r="E24" i="8"/>
  <c r="F23" i="8"/>
  <c r="E23" i="8"/>
  <c r="F22" i="8"/>
  <c r="E22" i="8"/>
  <c r="F21" i="8"/>
  <c r="E21" i="8"/>
  <c r="F20" i="8"/>
  <c r="E20" i="8"/>
  <c r="F19" i="8"/>
  <c r="E19" i="8"/>
  <c r="F18" i="8"/>
  <c r="E18" i="8"/>
  <c r="F17" i="8"/>
  <c r="E17" i="8"/>
  <c r="F16" i="8"/>
  <c r="E16" i="8"/>
  <c r="F15" i="8"/>
  <c r="E15" i="8"/>
  <c r="F14" i="8"/>
  <c r="E14" i="8"/>
  <c r="F13" i="8"/>
  <c r="E13" i="8"/>
  <c r="F12" i="8"/>
  <c r="E12" i="8"/>
  <c r="F9" i="8"/>
  <c r="G8" i="8"/>
  <c r="F8" i="8"/>
  <c r="G7" i="8"/>
  <c r="F7" i="8"/>
  <c r="G6" i="8"/>
  <c r="F6" i="8"/>
  <c r="G5" i="8"/>
  <c r="F5" i="8"/>
  <c r="E9" i="8"/>
  <c r="E8" i="8"/>
  <c r="E7" i="8"/>
  <c r="E6" i="8"/>
  <c r="E5" i="8"/>
  <c r="D62" i="6"/>
  <c r="D61" i="6"/>
  <c r="D60" i="6"/>
  <c r="D59" i="6"/>
  <c r="D58" i="6"/>
  <c r="D57" i="6"/>
  <c r="D56" i="6"/>
  <c r="D55" i="6"/>
  <c r="D54" i="6"/>
  <c r="D53" i="6"/>
  <c r="D63" i="6" s="1"/>
  <c r="E97" i="5"/>
  <c r="D97" i="5"/>
  <c r="C97" i="5"/>
  <c r="B97" i="5"/>
  <c r="E96" i="5"/>
  <c r="E94" i="5"/>
  <c r="E86" i="5"/>
  <c r="D85" i="5"/>
  <c r="C85" i="5"/>
  <c r="F85" i="5" s="1"/>
  <c r="G85" i="5" s="1"/>
  <c r="B85" i="5"/>
  <c r="D84" i="5"/>
  <c r="C84" i="5"/>
  <c r="F84" i="5" s="1"/>
  <c r="G84" i="5" s="1"/>
  <c r="B84" i="5"/>
  <c r="D83" i="5"/>
  <c r="C83" i="5"/>
  <c r="F83" i="5" s="1"/>
  <c r="G83" i="5" s="1"/>
  <c r="B83" i="5"/>
  <c r="D82" i="5"/>
  <c r="C82" i="5"/>
  <c r="F82" i="5" s="1"/>
  <c r="G82" i="5" s="1"/>
  <c r="B82" i="5"/>
  <c r="D81" i="5"/>
  <c r="C81" i="5"/>
  <c r="B81" i="5"/>
  <c r="D80" i="5"/>
  <c r="C80" i="5"/>
  <c r="F80" i="5" s="1"/>
  <c r="G80" i="5" s="1"/>
  <c r="B80" i="5"/>
  <c r="D79" i="5"/>
  <c r="C79" i="5"/>
  <c r="F79" i="5" s="1"/>
  <c r="G79" i="5" s="1"/>
  <c r="B79" i="5"/>
  <c r="D78" i="5"/>
  <c r="C78" i="5"/>
  <c r="F78" i="5" s="1"/>
  <c r="G78" i="5" s="1"/>
  <c r="B78" i="5"/>
  <c r="D77" i="5"/>
  <c r="C77" i="5"/>
  <c r="F77" i="5" s="1"/>
  <c r="G77" i="5" s="1"/>
  <c r="B77" i="5"/>
  <c r="D76" i="5"/>
  <c r="C76" i="5"/>
  <c r="F76" i="5" s="1"/>
  <c r="G76" i="5" s="1"/>
  <c r="B76" i="5"/>
  <c r="D75" i="5"/>
  <c r="C75" i="5"/>
  <c r="B75" i="5"/>
  <c r="D74" i="5"/>
  <c r="C74" i="5"/>
  <c r="B74" i="5"/>
  <c r="B86" i="5" s="1"/>
  <c r="F8" i="13"/>
  <c r="F7" i="13"/>
  <c r="E5" i="13"/>
  <c r="H15" i="13"/>
  <c r="G15" i="13"/>
  <c r="I14" i="13"/>
  <c r="E14" i="13"/>
  <c r="J14" i="13" s="1"/>
  <c r="I13" i="13"/>
  <c r="J13" i="13" s="1"/>
  <c r="I12" i="13"/>
  <c r="E12" i="13"/>
  <c r="J12" i="13" s="1"/>
  <c r="I11" i="13"/>
  <c r="J11" i="13" s="1"/>
  <c r="I10" i="13"/>
  <c r="J10" i="13" s="1"/>
  <c r="I9" i="13"/>
  <c r="E9" i="13"/>
  <c r="I8" i="13"/>
  <c r="E8" i="13"/>
  <c r="E7" i="13"/>
  <c r="I6" i="13"/>
  <c r="E6" i="13"/>
  <c r="J6" i="13" s="1"/>
  <c r="I5" i="13"/>
  <c r="I4" i="13"/>
  <c r="E4" i="13"/>
  <c r="M59" i="12"/>
  <c r="J58" i="12"/>
  <c r="I58" i="12"/>
  <c r="H58" i="12"/>
  <c r="J57" i="12"/>
  <c r="I57" i="12"/>
  <c r="H57" i="12"/>
  <c r="J56" i="12"/>
  <c r="I56" i="12"/>
  <c r="H56" i="12"/>
  <c r="O55" i="12"/>
  <c r="J55" i="12"/>
  <c r="I55" i="12"/>
  <c r="H55" i="12"/>
  <c r="J54" i="12"/>
  <c r="I54" i="12"/>
  <c r="H54" i="12"/>
  <c r="M53" i="12"/>
  <c r="J53" i="12"/>
  <c r="I53" i="12"/>
  <c r="H53" i="12"/>
  <c r="M52" i="12"/>
  <c r="J52" i="12"/>
  <c r="I52" i="12"/>
  <c r="H52" i="12"/>
  <c r="J51" i="12"/>
  <c r="I51" i="12"/>
  <c r="H51" i="12"/>
  <c r="J50" i="12"/>
  <c r="I50" i="12"/>
  <c r="H50" i="12"/>
  <c r="J49" i="12"/>
  <c r="I49" i="12"/>
  <c r="H49" i="12"/>
  <c r="J48" i="12"/>
  <c r="I48" i="12"/>
  <c r="H48" i="12"/>
  <c r="O47" i="12"/>
  <c r="J47" i="12"/>
  <c r="I47" i="12"/>
  <c r="H47" i="12"/>
  <c r="O46" i="12"/>
  <c r="J46" i="12"/>
  <c r="I46" i="12"/>
  <c r="H46" i="12"/>
  <c r="O45" i="12"/>
  <c r="J45" i="12"/>
  <c r="I45" i="12"/>
  <c r="H45" i="12"/>
  <c r="M44" i="12"/>
  <c r="J44" i="12"/>
  <c r="I44" i="12"/>
  <c r="H44" i="12"/>
  <c r="M43" i="12"/>
  <c r="J43" i="12"/>
  <c r="I43" i="12"/>
  <c r="H43" i="12"/>
  <c r="M42" i="12"/>
  <c r="J42" i="12"/>
  <c r="I42" i="12"/>
  <c r="H42" i="12"/>
  <c r="M41" i="12"/>
  <c r="J41" i="12"/>
  <c r="I41" i="12"/>
  <c r="H41" i="12"/>
  <c r="J40" i="12"/>
  <c r="I40" i="12"/>
  <c r="H40" i="12"/>
  <c r="J39" i="12"/>
  <c r="I39" i="12"/>
  <c r="H39" i="12"/>
  <c r="J38" i="12"/>
  <c r="I38" i="12"/>
  <c r="H38" i="12"/>
  <c r="J37" i="12"/>
  <c r="I37" i="12"/>
  <c r="H37" i="12"/>
  <c r="J36" i="12"/>
  <c r="I36" i="12"/>
  <c r="H36" i="12"/>
  <c r="O35" i="12"/>
  <c r="J35" i="12"/>
  <c r="I35" i="12"/>
  <c r="H35" i="12"/>
  <c r="O34" i="12"/>
  <c r="J34" i="12"/>
  <c r="I34" i="12"/>
  <c r="H34" i="12"/>
  <c r="O33" i="12"/>
  <c r="J33" i="12"/>
  <c r="I33" i="12"/>
  <c r="H33" i="12"/>
  <c r="O32" i="12"/>
  <c r="J32" i="12"/>
  <c r="I32" i="12"/>
  <c r="H32" i="12"/>
  <c r="J31" i="12"/>
  <c r="I31" i="12"/>
  <c r="H31" i="12"/>
  <c r="J30" i="12"/>
  <c r="I30" i="12"/>
  <c r="H30" i="12"/>
  <c r="J29" i="12"/>
  <c r="I29" i="12"/>
  <c r="H29" i="12"/>
  <c r="J28" i="12"/>
  <c r="I28" i="12"/>
  <c r="H28" i="12"/>
  <c r="J27" i="12"/>
  <c r="I27" i="12"/>
  <c r="H27" i="12"/>
  <c r="O26" i="12"/>
  <c r="J26" i="12"/>
  <c r="I26" i="12"/>
  <c r="H26" i="12"/>
  <c r="O25" i="12"/>
  <c r="J25" i="12"/>
  <c r="I25" i="12"/>
  <c r="H25" i="12"/>
  <c r="O24" i="12"/>
  <c r="J24" i="12"/>
  <c r="I24" i="12"/>
  <c r="H24" i="12"/>
  <c r="O23" i="12"/>
  <c r="J23" i="12"/>
  <c r="I23" i="12"/>
  <c r="H23" i="12"/>
  <c r="O22" i="12"/>
  <c r="J22" i="12"/>
  <c r="I22" i="12"/>
  <c r="H22" i="12"/>
  <c r="O21" i="12"/>
  <c r="O59" i="12" s="1"/>
  <c r="J21" i="12"/>
  <c r="I21" i="12"/>
  <c r="H21" i="12"/>
  <c r="J20" i="12"/>
  <c r="I20" i="12"/>
  <c r="H20" i="12"/>
  <c r="J19" i="12"/>
  <c r="I19" i="12"/>
  <c r="H19" i="12"/>
  <c r="J18" i="12"/>
  <c r="I18" i="12"/>
  <c r="H18" i="12"/>
  <c r="J17" i="12"/>
  <c r="I17" i="12"/>
  <c r="H17" i="12"/>
  <c r="J16" i="12"/>
  <c r="I16" i="12"/>
  <c r="H16" i="12"/>
  <c r="J15" i="12"/>
  <c r="I15" i="12"/>
  <c r="H15" i="12"/>
  <c r="J14" i="12"/>
  <c r="I14" i="12"/>
  <c r="H14" i="12"/>
  <c r="J13" i="12"/>
  <c r="I13" i="12"/>
  <c r="H13" i="12"/>
  <c r="J12" i="12"/>
  <c r="I12" i="12"/>
  <c r="H12" i="12"/>
  <c r="J11" i="12"/>
  <c r="I11" i="12"/>
  <c r="H11" i="12"/>
  <c r="J10" i="12"/>
  <c r="I10" i="12"/>
  <c r="H10" i="12"/>
  <c r="J9" i="12"/>
  <c r="I9" i="12"/>
  <c r="H9" i="12"/>
  <c r="G59" i="12"/>
  <c r="D38" i="8"/>
  <c r="D43" i="6"/>
  <c r="D42" i="6"/>
  <c r="D41" i="6"/>
  <c r="D40" i="6"/>
  <c r="D39" i="6"/>
  <c r="D38" i="6"/>
  <c r="D37" i="6"/>
  <c r="D36" i="6"/>
  <c r="D35" i="6"/>
  <c r="D34" i="6"/>
  <c r="G33" i="8" l="1"/>
  <c r="F33" i="8"/>
  <c r="E36" i="8"/>
  <c r="F81" i="5"/>
  <c r="G81" i="5" s="1"/>
  <c r="F75" i="5"/>
  <c r="G75" i="5" s="1"/>
  <c r="D86" i="5"/>
  <c r="C86" i="5"/>
  <c r="F74" i="5"/>
  <c r="J9" i="13"/>
  <c r="J8" i="13"/>
  <c r="J5" i="13"/>
  <c r="F15" i="13"/>
  <c r="I7" i="13"/>
  <c r="E15" i="13"/>
  <c r="J4" i="13"/>
  <c r="B4" i="12"/>
  <c r="I59" i="12"/>
  <c r="B3" i="12"/>
  <c r="H59" i="12"/>
  <c r="D44" i="6"/>
  <c r="E39" i="8" l="1"/>
  <c r="F36" i="8"/>
  <c r="G36" i="8"/>
  <c r="G74" i="5"/>
  <c r="F86" i="5"/>
  <c r="G86" i="5" s="1"/>
  <c r="I15" i="13"/>
  <c r="J7" i="13"/>
  <c r="J15" i="13" s="1"/>
  <c r="B5" i="12"/>
  <c r="B6" i="12" s="1"/>
  <c r="J59" i="12"/>
  <c r="B37" i="8"/>
  <c r="F39" i="8" l="1"/>
  <c r="G39" i="8"/>
  <c r="J15" i="10"/>
  <c r="I15" i="10"/>
  <c r="H15" i="10"/>
  <c r="G15" i="10"/>
  <c r="F15" i="10"/>
  <c r="E15" i="10"/>
  <c r="D19" i="7"/>
  <c r="C19" i="7"/>
  <c r="B19" i="7"/>
  <c r="D18" i="7"/>
  <c r="D17" i="7"/>
  <c r="D16" i="7"/>
  <c r="D15" i="7"/>
  <c r="D14" i="7"/>
  <c r="D13" i="7"/>
  <c r="D12" i="7"/>
  <c r="D11" i="7"/>
  <c r="D10" i="7"/>
  <c r="D9" i="7"/>
  <c r="D8" i="7"/>
  <c r="D14" i="6"/>
  <c r="D15" i="6" s="1"/>
  <c r="E55" i="5"/>
  <c r="F54" i="5"/>
  <c r="G54" i="5" s="1"/>
  <c r="F53" i="5"/>
  <c r="G53" i="5" s="1"/>
  <c r="F52" i="5"/>
  <c r="G52" i="5" s="1"/>
  <c r="F51" i="5"/>
  <c r="G51" i="5" s="1"/>
  <c r="F50" i="5"/>
  <c r="G50" i="5" s="1"/>
  <c r="F49" i="5"/>
  <c r="G49" i="5" s="1"/>
  <c r="F48" i="5"/>
  <c r="G48" i="5" s="1"/>
  <c r="F47" i="5"/>
  <c r="G47" i="5" s="1"/>
  <c r="F46" i="5"/>
  <c r="G46" i="5" s="1"/>
  <c r="F45" i="5"/>
  <c r="G45" i="5" s="1"/>
  <c r="F44" i="5"/>
  <c r="G44" i="5" s="1"/>
  <c r="F43" i="5"/>
  <c r="M68" i="9"/>
  <c r="J68" i="9"/>
  <c r="I68" i="9"/>
  <c r="H68" i="9"/>
  <c r="G68" i="9"/>
  <c r="B4" i="9"/>
  <c r="B3" i="9"/>
  <c r="J54" i="9"/>
  <c r="I54" i="9"/>
  <c r="H54" i="9"/>
  <c r="D11" i="11"/>
  <c r="B11" i="11"/>
  <c r="B10" i="11"/>
  <c r="C9" i="11"/>
  <c r="B9" i="11"/>
  <c r="C8" i="11"/>
  <c r="B8" i="11"/>
  <c r="C7" i="11"/>
  <c r="B7" i="11"/>
  <c r="C6" i="11"/>
  <c r="B6" i="11"/>
  <c r="C5" i="11"/>
  <c r="B5" i="11"/>
  <c r="C4" i="11"/>
  <c r="B4" i="11"/>
  <c r="B16" i="5"/>
  <c r="C37" i="8"/>
  <c r="C10" i="11" s="1"/>
  <c r="E71" i="5"/>
  <c r="D71" i="5"/>
  <c r="C71" i="5"/>
  <c r="B71" i="5"/>
  <c r="F70" i="5"/>
  <c r="F69" i="5"/>
  <c r="F68" i="5"/>
  <c r="F67" i="5"/>
  <c r="F66" i="5"/>
  <c r="F65" i="5"/>
  <c r="F64" i="5"/>
  <c r="F63" i="5"/>
  <c r="F62" i="5"/>
  <c r="F61" i="5"/>
  <c r="F60" i="5"/>
  <c r="F59" i="5"/>
  <c r="F58" i="5"/>
  <c r="F8" i="10"/>
  <c r="I8" i="10" s="1"/>
  <c r="J8" i="10" s="1"/>
  <c r="F7" i="10"/>
  <c r="I14" i="10"/>
  <c r="E14" i="10"/>
  <c r="J14" i="10" s="1"/>
  <c r="I13" i="10"/>
  <c r="J13" i="10" s="1"/>
  <c r="I12" i="10"/>
  <c r="E12" i="10"/>
  <c r="J12" i="10" s="1"/>
  <c r="I11" i="10"/>
  <c r="J11" i="10" s="1"/>
  <c r="I10" i="10"/>
  <c r="J10" i="10" s="1"/>
  <c r="I9" i="10"/>
  <c r="E9" i="10"/>
  <c r="E8" i="10"/>
  <c r="I7" i="10"/>
  <c r="E7" i="10"/>
  <c r="I6" i="10"/>
  <c r="E6" i="10"/>
  <c r="D31" i="8" s="1"/>
  <c r="I5" i="10"/>
  <c r="D32" i="8" s="1"/>
  <c r="J5" i="10"/>
  <c r="I4" i="10"/>
  <c r="E4" i="10"/>
  <c r="J4" i="10" s="1"/>
  <c r="D7" i="7"/>
  <c r="D6" i="7"/>
  <c r="D5" i="7"/>
  <c r="D7" i="8"/>
  <c r="I67" i="9"/>
  <c r="H67" i="9"/>
  <c r="J67" i="9" s="1"/>
  <c r="I66" i="9"/>
  <c r="H66" i="9"/>
  <c r="I65" i="9"/>
  <c r="H65" i="9"/>
  <c r="I64" i="9"/>
  <c r="H64" i="9"/>
  <c r="J64" i="9" s="1"/>
  <c r="I63" i="9"/>
  <c r="H63" i="9"/>
  <c r="J63" i="9" s="1"/>
  <c r="I62" i="9"/>
  <c r="H62" i="9"/>
  <c r="I61" i="9"/>
  <c r="H61" i="9"/>
  <c r="M60" i="9"/>
  <c r="I60" i="9"/>
  <c r="H60" i="9"/>
  <c r="M59" i="9"/>
  <c r="I59" i="9"/>
  <c r="H59" i="9"/>
  <c r="J59" i="9" s="1"/>
  <c r="I58" i="9"/>
  <c r="H58" i="9"/>
  <c r="J58" i="9" s="1"/>
  <c r="I57" i="9"/>
  <c r="H57" i="9"/>
  <c r="I56" i="9"/>
  <c r="H56" i="9"/>
  <c r="I55" i="9"/>
  <c r="H55" i="9"/>
  <c r="J55" i="9" s="1"/>
  <c r="I53" i="9"/>
  <c r="H53" i="9"/>
  <c r="I52" i="9"/>
  <c r="H52" i="9"/>
  <c r="I51" i="9"/>
  <c r="H51" i="9"/>
  <c r="J51" i="9" s="1"/>
  <c r="I50" i="9"/>
  <c r="H50" i="9"/>
  <c r="J50" i="9" s="1"/>
  <c r="M49" i="9"/>
  <c r="I49" i="9"/>
  <c r="H49" i="9"/>
  <c r="M48" i="9"/>
  <c r="I48" i="9"/>
  <c r="H48" i="9"/>
  <c r="M47" i="9"/>
  <c r="I47" i="9"/>
  <c r="H47" i="9"/>
  <c r="M46" i="9"/>
  <c r="I46" i="9"/>
  <c r="H46" i="9"/>
  <c r="J46" i="9" s="1"/>
  <c r="I45" i="9"/>
  <c r="J45" i="9" s="1"/>
  <c r="H45" i="9"/>
  <c r="I44" i="9"/>
  <c r="H44" i="9"/>
  <c r="I43" i="9"/>
  <c r="H43" i="9"/>
  <c r="I42" i="9"/>
  <c r="H42" i="9"/>
  <c r="I41" i="9"/>
  <c r="H41" i="9"/>
  <c r="I40" i="9"/>
  <c r="H40" i="9"/>
  <c r="J40" i="9" s="1"/>
  <c r="I39" i="9"/>
  <c r="H39" i="9"/>
  <c r="I38" i="9"/>
  <c r="J38" i="9" s="1"/>
  <c r="H38" i="9"/>
  <c r="I37" i="9"/>
  <c r="H37" i="9"/>
  <c r="J37" i="9" s="1"/>
  <c r="I36" i="9"/>
  <c r="H36" i="9"/>
  <c r="J36" i="9" s="1"/>
  <c r="I35" i="9"/>
  <c r="H35" i="9"/>
  <c r="J35" i="9" s="1"/>
  <c r="I34" i="9"/>
  <c r="J34" i="9" s="1"/>
  <c r="H34" i="9"/>
  <c r="I33" i="9"/>
  <c r="H33" i="9"/>
  <c r="J33" i="9" s="1"/>
  <c r="I32" i="9"/>
  <c r="H32" i="9"/>
  <c r="J32" i="9" s="1"/>
  <c r="I31" i="9"/>
  <c r="H31" i="9"/>
  <c r="I30" i="9"/>
  <c r="J30" i="9" s="1"/>
  <c r="H30" i="9"/>
  <c r="I29" i="9"/>
  <c r="H29" i="9"/>
  <c r="J29" i="9" s="1"/>
  <c r="I28" i="9"/>
  <c r="J28" i="9" s="1"/>
  <c r="H28" i="9"/>
  <c r="I27" i="9"/>
  <c r="H27" i="9"/>
  <c r="I26" i="9"/>
  <c r="H26" i="9"/>
  <c r="J26" i="9" s="1"/>
  <c r="I25" i="9"/>
  <c r="H25" i="9"/>
  <c r="J25" i="9" s="1"/>
  <c r="I24" i="9"/>
  <c r="H24" i="9"/>
  <c r="J24" i="9" s="1"/>
  <c r="I23" i="9"/>
  <c r="H23" i="9"/>
  <c r="J23" i="9" s="1"/>
  <c r="I22" i="9"/>
  <c r="H22" i="9"/>
  <c r="J22" i="9" s="1"/>
  <c r="I21" i="9"/>
  <c r="H21" i="9"/>
  <c r="J21" i="9" s="1"/>
  <c r="I20" i="9"/>
  <c r="H20" i="9"/>
  <c r="I19" i="9"/>
  <c r="H19" i="9"/>
  <c r="I18" i="9"/>
  <c r="H18" i="9"/>
  <c r="J18" i="9" s="1"/>
  <c r="I17" i="9"/>
  <c r="H17" i="9"/>
  <c r="J17" i="9" s="1"/>
  <c r="I16" i="9"/>
  <c r="H16" i="9"/>
  <c r="J16" i="9" s="1"/>
  <c r="I15" i="9"/>
  <c r="H15" i="9"/>
  <c r="J15" i="9" s="1"/>
  <c r="I14" i="9"/>
  <c r="H14" i="9"/>
  <c r="J14" i="9" s="1"/>
  <c r="I13" i="9"/>
  <c r="H13" i="9"/>
  <c r="J13" i="9" s="1"/>
  <c r="I12" i="9"/>
  <c r="H12" i="9"/>
  <c r="I11" i="9"/>
  <c r="H11" i="9"/>
  <c r="I10" i="9"/>
  <c r="H10" i="9"/>
  <c r="J10" i="9" s="1"/>
  <c r="I9" i="9"/>
  <c r="H9" i="9"/>
  <c r="J9" i="9" s="1"/>
  <c r="D28" i="8"/>
  <c r="C28" i="8"/>
  <c r="B28" i="8"/>
  <c r="B31" i="8"/>
  <c r="B7" i="8"/>
  <c r="D13" i="6"/>
  <c r="D12" i="6"/>
  <c r="D11" i="6"/>
  <c r="D10" i="6"/>
  <c r="D9" i="6"/>
  <c r="D8" i="6"/>
  <c r="D7" i="6"/>
  <c r="D6" i="6"/>
  <c r="D5" i="6"/>
  <c r="D55" i="5"/>
  <c r="C55" i="5"/>
  <c r="B55" i="5"/>
  <c r="E37" i="5"/>
  <c r="B15" i="5" s="1"/>
  <c r="D37" i="5"/>
  <c r="C37" i="5"/>
  <c r="B37" i="5"/>
  <c r="F36" i="5"/>
  <c r="G36" i="5" s="1"/>
  <c r="F35" i="5"/>
  <c r="G35" i="5" s="1"/>
  <c r="F34" i="5"/>
  <c r="G34" i="5" s="1"/>
  <c r="F33" i="5"/>
  <c r="G33" i="5" s="1"/>
  <c r="F32" i="5"/>
  <c r="G32" i="5" s="1"/>
  <c r="F31" i="5"/>
  <c r="G31" i="5" s="1"/>
  <c r="F30" i="5"/>
  <c r="G30" i="5" s="1"/>
  <c r="F29" i="5"/>
  <c r="G29" i="5" s="1"/>
  <c r="F28" i="5"/>
  <c r="G28" i="5" s="1"/>
  <c r="F27" i="5"/>
  <c r="G27" i="5" s="1"/>
  <c r="F26" i="5"/>
  <c r="G26" i="5" s="1"/>
  <c r="F25" i="5"/>
  <c r="G25" i="5" s="1"/>
  <c r="F24" i="5"/>
  <c r="G24" i="5" s="1"/>
  <c r="F23" i="5"/>
  <c r="H14" i="4"/>
  <c r="G14" i="4"/>
  <c r="E14" i="4"/>
  <c r="I13" i="4"/>
  <c r="J13" i="4" s="1"/>
  <c r="I12" i="4"/>
  <c r="J12" i="4" s="1"/>
  <c r="J11" i="4"/>
  <c r="I11" i="4"/>
  <c r="J10" i="4"/>
  <c r="I10" i="4"/>
  <c r="I9" i="4"/>
  <c r="J9" i="4" s="1"/>
  <c r="J8" i="4"/>
  <c r="I8" i="4"/>
  <c r="F7" i="4"/>
  <c r="I7" i="4" s="1"/>
  <c r="J7" i="4" s="1"/>
  <c r="J6" i="4"/>
  <c r="I6" i="4"/>
  <c r="F6" i="4"/>
  <c r="F14" i="4" s="1"/>
  <c r="J5" i="4"/>
  <c r="I5" i="4"/>
  <c r="I4" i="4"/>
  <c r="I14" i="4" s="1"/>
  <c r="B32" i="8" s="1"/>
  <c r="H15" i="3"/>
  <c r="G15" i="3"/>
  <c r="E15" i="3"/>
  <c r="C31" i="8" s="1"/>
  <c r="I14" i="3"/>
  <c r="E14" i="3"/>
  <c r="J14" i="3" s="1"/>
  <c r="J13" i="3"/>
  <c r="I13" i="3"/>
  <c r="J12" i="3"/>
  <c r="I12" i="3"/>
  <c r="E12" i="3"/>
  <c r="I11" i="3"/>
  <c r="J11" i="3" s="1"/>
  <c r="I10" i="3"/>
  <c r="J10" i="3" s="1"/>
  <c r="I9" i="3"/>
  <c r="E9" i="3"/>
  <c r="J9" i="3" s="1"/>
  <c r="F8" i="3"/>
  <c r="I8" i="3" s="1"/>
  <c r="E8" i="3"/>
  <c r="J8" i="3" s="1"/>
  <c r="F7" i="3"/>
  <c r="I7" i="3" s="1"/>
  <c r="E7" i="3"/>
  <c r="J6" i="3"/>
  <c r="I6" i="3"/>
  <c r="E6" i="3"/>
  <c r="F5" i="3"/>
  <c r="I5" i="3" s="1"/>
  <c r="J5" i="3" s="1"/>
  <c r="E5" i="3"/>
  <c r="J4" i="3"/>
  <c r="I4" i="3"/>
  <c r="E4" i="3"/>
  <c r="E73" i="2"/>
  <c r="C73" i="2"/>
  <c r="B73" i="2"/>
  <c r="C72" i="2"/>
  <c r="B72" i="2"/>
  <c r="E71" i="2"/>
  <c r="C71" i="2"/>
  <c r="B71" i="2"/>
  <c r="C70" i="2"/>
  <c r="B70" i="2"/>
  <c r="E69" i="2"/>
  <c r="C69" i="2"/>
  <c r="B69" i="2"/>
  <c r="C68" i="2"/>
  <c r="B68" i="2"/>
  <c r="E67" i="2"/>
  <c r="D67" i="2"/>
  <c r="C67" i="2"/>
  <c r="B67" i="2"/>
  <c r="C66" i="2"/>
  <c r="B66" i="2"/>
  <c r="E65" i="2"/>
  <c r="C65" i="2"/>
  <c r="B65" i="2"/>
  <c r="C64" i="2"/>
  <c r="B64" i="2"/>
  <c r="E63" i="2"/>
  <c r="C63" i="2"/>
  <c r="B63" i="2"/>
  <c r="C62" i="2"/>
  <c r="C74" i="2" s="1"/>
  <c r="B62" i="2"/>
  <c r="B74" i="2" s="1"/>
  <c r="G54" i="2"/>
  <c r="I53" i="2"/>
  <c r="J53" i="2" s="1"/>
  <c r="H53" i="2"/>
  <c r="I52" i="2"/>
  <c r="H52" i="2"/>
  <c r="J52" i="2" s="1"/>
  <c r="I51" i="2"/>
  <c r="J51" i="2" s="1"/>
  <c r="H51" i="2"/>
  <c r="I50" i="2"/>
  <c r="H50" i="2"/>
  <c r="J50" i="2" s="1"/>
  <c r="I49" i="2"/>
  <c r="J49" i="2" s="1"/>
  <c r="H49" i="2"/>
  <c r="J48" i="2"/>
  <c r="I47" i="2"/>
  <c r="H47" i="2"/>
  <c r="J47" i="2" s="1"/>
  <c r="J46" i="2"/>
  <c r="I46" i="2"/>
  <c r="H46" i="2"/>
  <c r="I45" i="2"/>
  <c r="E72" i="2" s="1"/>
  <c r="H45" i="2"/>
  <c r="D72" i="2" s="1"/>
  <c r="J44" i="2"/>
  <c r="I44" i="2"/>
  <c r="H44" i="2"/>
  <c r="I43" i="2"/>
  <c r="H43" i="2"/>
  <c r="J43" i="2" s="1"/>
  <c r="J42" i="2"/>
  <c r="I42" i="2"/>
  <c r="H42" i="2"/>
  <c r="I41" i="2"/>
  <c r="H41" i="2"/>
  <c r="J41" i="2" s="1"/>
  <c r="J40" i="2"/>
  <c r="I40" i="2"/>
  <c r="H40" i="2"/>
  <c r="I39" i="2"/>
  <c r="H39" i="2"/>
  <c r="D71" i="2" s="1"/>
  <c r="J38" i="2"/>
  <c r="I38" i="2"/>
  <c r="H38" i="2"/>
  <c r="I37" i="2"/>
  <c r="E70" i="2" s="1"/>
  <c r="H37" i="2"/>
  <c r="D70" i="2" s="1"/>
  <c r="J36" i="2"/>
  <c r="I36" i="2"/>
  <c r="H36" i="2"/>
  <c r="I35" i="2"/>
  <c r="H35" i="2"/>
  <c r="D69" i="2" s="1"/>
  <c r="J34" i="2"/>
  <c r="I34" i="2"/>
  <c r="H34" i="2"/>
  <c r="I33" i="2"/>
  <c r="H33" i="2"/>
  <c r="J33" i="2" s="1"/>
  <c r="J32" i="2"/>
  <c r="I32" i="2"/>
  <c r="H32" i="2"/>
  <c r="I31" i="2"/>
  <c r="E68" i="2" s="1"/>
  <c r="H31" i="2"/>
  <c r="D68" i="2" s="1"/>
  <c r="J30" i="2"/>
  <c r="I30" i="2"/>
  <c r="H30" i="2"/>
  <c r="I29" i="2"/>
  <c r="H29" i="2"/>
  <c r="J29" i="2" s="1"/>
  <c r="J28" i="2"/>
  <c r="I28" i="2"/>
  <c r="H28" i="2"/>
  <c r="I27" i="2"/>
  <c r="H27" i="2"/>
  <c r="J27" i="2" s="1"/>
  <c r="J26" i="2"/>
  <c r="I26" i="2"/>
  <c r="H26" i="2"/>
  <c r="I25" i="2"/>
  <c r="E66" i="2" s="1"/>
  <c r="H25" i="2"/>
  <c r="D66" i="2" s="1"/>
  <c r="J24" i="2"/>
  <c r="I24" i="2"/>
  <c r="H24" i="2"/>
  <c r="I23" i="2"/>
  <c r="H23" i="2"/>
  <c r="D65" i="2" s="1"/>
  <c r="J22" i="2"/>
  <c r="I22" i="2"/>
  <c r="H22" i="2"/>
  <c r="I21" i="2"/>
  <c r="H21" i="2"/>
  <c r="J21" i="2" s="1"/>
  <c r="J20" i="2"/>
  <c r="I20" i="2"/>
  <c r="H20" i="2"/>
  <c r="I19" i="2"/>
  <c r="E64" i="2" s="1"/>
  <c r="H19" i="2"/>
  <c r="D64" i="2" s="1"/>
  <c r="J18" i="2"/>
  <c r="I18" i="2"/>
  <c r="H18" i="2"/>
  <c r="I17" i="2"/>
  <c r="H17" i="2"/>
  <c r="J17" i="2" s="1"/>
  <c r="J16" i="2"/>
  <c r="I16" i="2"/>
  <c r="H16" i="2"/>
  <c r="I15" i="2"/>
  <c r="H15" i="2"/>
  <c r="J15" i="2" s="1"/>
  <c r="J14" i="2"/>
  <c r="I14" i="2"/>
  <c r="H14" i="2"/>
  <c r="I13" i="2"/>
  <c r="H13" i="2"/>
  <c r="J13" i="2" s="1"/>
  <c r="J12" i="2"/>
  <c r="I12" i="2"/>
  <c r="H12" i="2"/>
  <c r="I11" i="2"/>
  <c r="H11" i="2"/>
  <c r="J11" i="2" s="1"/>
  <c r="J10" i="2"/>
  <c r="I10" i="2"/>
  <c r="H10" i="2"/>
  <c r="I9" i="2"/>
  <c r="I54" i="2" s="1"/>
  <c r="H9" i="2"/>
  <c r="D62" i="2" s="1"/>
  <c r="E95" i="1"/>
  <c r="C95" i="1"/>
  <c r="B95" i="1"/>
  <c r="C94" i="1"/>
  <c r="B94" i="1"/>
  <c r="D93" i="1"/>
  <c r="C93" i="1"/>
  <c r="B93" i="1"/>
  <c r="D92" i="1"/>
  <c r="C92" i="1"/>
  <c r="B92" i="1"/>
  <c r="C91" i="1"/>
  <c r="B91" i="1"/>
  <c r="C90" i="1"/>
  <c r="B90" i="1"/>
  <c r="C89" i="1"/>
  <c r="B89" i="1"/>
  <c r="D88" i="1"/>
  <c r="C88" i="1"/>
  <c r="B88" i="1"/>
  <c r="D87" i="1"/>
  <c r="C87" i="1"/>
  <c r="B87" i="1"/>
  <c r="D86" i="1"/>
  <c r="C86" i="1"/>
  <c r="B86" i="1"/>
  <c r="E85" i="1"/>
  <c r="C85" i="1"/>
  <c r="B85" i="1"/>
  <c r="C84" i="1"/>
  <c r="B84" i="1"/>
  <c r="C83" i="1"/>
  <c r="B83" i="1"/>
  <c r="C82" i="1"/>
  <c r="C96" i="1" s="1"/>
  <c r="B82" i="1"/>
  <c r="B96" i="1" s="1"/>
  <c r="G75" i="1"/>
  <c r="C7" i="8" s="1"/>
  <c r="I74" i="1"/>
  <c r="J74" i="1" s="1"/>
  <c r="H74" i="1"/>
  <c r="I73" i="1"/>
  <c r="H73" i="1"/>
  <c r="J73" i="1" s="1"/>
  <c r="I72" i="1"/>
  <c r="J72" i="1" s="1"/>
  <c r="H72" i="1"/>
  <c r="I71" i="1"/>
  <c r="H71" i="1"/>
  <c r="J71" i="1" s="1"/>
  <c r="I70" i="1"/>
  <c r="J70" i="1" s="1"/>
  <c r="H70" i="1"/>
  <c r="I69" i="1"/>
  <c r="H69" i="1"/>
  <c r="J69" i="1" s="1"/>
  <c r="I68" i="1"/>
  <c r="J68" i="1" s="1"/>
  <c r="H68" i="1"/>
  <c r="I67" i="1"/>
  <c r="H67" i="1"/>
  <c r="J67" i="1" s="1"/>
  <c r="I66" i="1"/>
  <c r="J66" i="1" s="1"/>
  <c r="H66" i="1"/>
  <c r="I65" i="1"/>
  <c r="H65" i="1"/>
  <c r="J65" i="1" s="1"/>
  <c r="I64" i="1"/>
  <c r="J64" i="1" s="1"/>
  <c r="H64" i="1"/>
  <c r="I63" i="1"/>
  <c r="H63" i="1"/>
  <c r="J63" i="1" s="1"/>
  <c r="I62" i="1"/>
  <c r="J62" i="1" s="1"/>
  <c r="H62" i="1"/>
  <c r="I61" i="1"/>
  <c r="H61" i="1"/>
  <c r="J61" i="1" s="1"/>
  <c r="I60" i="1"/>
  <c r="J60" i="1" s="1"/>
  <c r="H60" i="1"/>
  <c r="I59" i="1"/>
  <c r="H59" i="1"/>
  <c r="J59" i="1" s="1"/>
  <c r="I58" i="1"/>
  <c r="J58" i="1" s="1"/>
  <c r="H58" i="1"/>
  <c r="I57" i="1"/>
  <c r="H57" i="1"/>
  <c r="J57" i="1" s="1"/>
  <c r="I56" i="1"/>
  <c r="J56" i="1" s="1"/>
  <c r="H56" i="1"/>
  <c r="I55" i="1"/>
  <c r="E94" i="1" s="1"/>
  <c r="H55" i="1"/>
  <c r="D94" i="1" s="1"/>
  <c r="I54" i="1"/>
  <c r="J54" i="1" s="1"/>
  <c r="H54" i="1"/>
  <c r="I53" i="1"/>
  <c r="H53" i="1"/>
  <c r="J53" i="1" s="1"/>
  <c r="I52" i="1"/>
  <c r="J52" i="1" s="1"/>
  <c r="H52" i="1"/>
  <c r="I51" i="1"/>
  <c r="H51" i="1"/>
  <c r="J51" i="1" s="1"/>
  <c r="I50" i="1"/>
  <c r="E93" i="1" s="1"/>
  <c r="H50" i="1"/>
  <c r="I49" i="1"/>
  <c r="H49" i="1"/>
  <c r="J49" i="1" s="1"/>
  <c r="I48" i="1"/>
  <c r="J48" i="1" s="1"/>
  <c r="H48" i="1"/>
  <c r="I47" i="1"/>
  <c r="H47" i="1"/>
  <c r="J47" i="1" s="1"/>
  <c r="I46" i="1"/>
  <c r="J46" i="1" s="1"/>
  <c r="H46" i="1"/>
  <c r="I45" i="1"/>
  <c r="H45" i="1"/>
  <c r="J45" i="1" s="1"/>
  <c r="I44" i="1"/>
  <c r="J44" i="1" s="1"/>
  <c r="H44" i="1"/>
  <c r="I43" i="1"/>
  <c r="H43" i="1"/>
  <c r="J43" i="1" s="1"/>
  <c r="I42" i="1"/>
  <c r="J42" i="1" s="1"/>
  <c r="H42" i="1"/>
  <c r="D91" i="1" s="1"/>
  <c r="I41" i="1"/>
  <c r="H41" i="1"/>
  <c r="J41" i="1" s="1"/>
  <c r="I40" i="1"/>
  <c r="J40" i="1" s="1"/>
  <c r="H40" i="1"/>
  <c r="I39" i="1"/>
  <c r="H39" i="1"/>
  <c r="J39" i="1" s="1"/>
  <c r="I38" i="1"/>
  <c r="J38" i="1" s="1"/>
  <c r="H38" i="1"/>
  <c r="I37" i="1"/>
  <c r="E89" i="1" s="1"/>
  <c r="H37" i="1"/>
  <c r="J37" i="1" s="1"/>
  <c r="I36" i="1"/>
  <c r="J36" i="1" s="1"/>
  <c r="H36" i="1"/>
  <c r="I35" i="1"/>
  <c r="H35" i="1"/>
  <c r="J35" i="1" s="1"/>
  <c r="I34" i="1"/>
  <c r="J34" i="1" s="1"/>
  <c r="H34" i="1"/>
  <c r="I33" i="1"/>
  <c r="H33" i="1"/>
  <c r="J33" i="1" s="1"/>
  <c r="I32" i="1"/>
  <c r="J32" i="1" s="1"/>
  <c r="H32" i="1"/>
  <c r="I31" i="1"/>
  <c r="H31" i="1"/>
  <c r="J31" i="1" s="1"/>
  <c r="I30" i="1"/>
  <c r="J30" i="1" s="1"/>
  <c r="H30" i="1"/>
  <c r="I29" i="1"/>
  <c r="H29" i="1"/>
  <c r="J29" i="1" s="1"/>
  <c r="I28" i="1"/>
  <c r="J28" i="1" s="1"/>
  <c r="H28" i="1"/>
  <c r="I27" i="1"/>
  <c r="H27" i="1"/>
  <c r="J27" i="1" s="1"/>
  <c r="I26" i="1"/>
  <c r="E86" i="1" s="1"/>
  <c r="H26" i="1"/>
  <c r="I25" i="1"/>
  <c r="H25" i="1"/>
  <c r="J25" i="1" s="1"/>
  <c r="I24" i="1"/>
  <c r="J24" i="1" s="1"/>
  <c r="H24" i="1"/>
  <c r="D85" i="1" s="1"/>
  <c r="I23" i="1"/>
  <c r="H23" i="1"/>
  <c r="J23" i="1" s="1"/>
  <c r="I22" i="1"/>
  <c r="J22" i="1" s="1"/>
  <c r="H22" i="1"/>
  <c r="I21" i="1"/>
  <c r="E84" i="1" s="1"/>
  <c r="H21" i="1"/>
  <c r="J21" i="1" s="1"/>
  <c r="I20" i="1"/>
  <c r="J20" i="1" s="1"/>
  <c r="H20" i="1"/>
  <c r="I19" i="1"/>
  <c r="H19" i="1"/>
  <c r="J19" i="1" s="1"/>
  <c r="I18" i="1"/>
  <c r="J18" i="1" s="1"/>
  <c r="H18" i="1"/>
  <c r="I17" i="1"/>
  <c r="H17" i="1"/>
  <c r="J17" i="1" s="1"/>
  <c r="I16" i="1"/>
  <c r="J16" i="1" s="1"/>
  <c r="H16" i="1"/>
  <c r="I15" i="1"/>
  <c r="H15" i="1"/>
  <c r="J15" i="1" s="1"/>
  <c r="I14" i="1"/>
  <c r="J14" i="1" s="1"/>
  <c r="H14" i="1"/>
  <c r="I13" i="1"/>
  <c r="H13" i="1"/>
  <c r="J13" i="1" s="1"/>
  <c r="I12" i="1"/>
  <c r="J12" i="1" s="1"/>
  <c r="H12" i="1"/>
  <c r="I11" i="1"/>
  <c r="H11" i="1"/>
  <c r="J11" i="1" s="1"/>
  <c r="I10" i="1"/>
  <c r="J10" i="1" s="1"/>
  <c r="H10" i="1"/>
  <c r="I9" i="1"/>
  <c r="E82" i="1" s="1"/>
  <c r="H9" i="1"/>
  <c r="J9" i="1" s="1"/>
  <c r="G60" i="5" l="1"/>
  <c r="G59" i="5"/>
  <c r="G58" i="5"/>
  <c r="F55" i="5"/>
  <c r="G55" i="5" s="1"/>
  <c r="G43" i="5"/>
  <c r="G70" i="5"/>
  <c r="G69" i="5"/>
  <c r="G68" i="5"/>
  <c r="G67" i="5"/>
  <c r="G66" i="5"/>
  <c r="G65" i="5"/>
  <c r="G64" i="5"/>
  <c r="G63" i="5"/>
  <c r="G62" i="5"/>
  <c r="G61" i="5"/>
  <c r="D33" i="8"/>
  <c r="J9" i="10"/>
  <c r="J7" i="10"/>
  <c r="J12" i="9"/>
  <c r="J39" i="9"/>
  <c r="J49" i="9"/>
  <c r="J56" i="9"/>
  <c r="J61" i="9"/>
  <c r="J19" i="9"/>
  <c r="J41" i="9"/>
  <c r="J57" i="9"/>
  <c r="J62" i="9"/>
  <c r="J20" i="9"/>
  <c r="J31" i="9"/>
  <c r="J42" i="9"/>
  <c r="J47" i="9"/>
  <c r="D37" i="8"/>
  <c r="J52" i="9"/>
  <c r="J48" i="9"/>
  <c r="J53" i="9"/>
  <c r="J11" i="9"/>
  <c r="J44" i="9"/>
  <c r="J60" i="9"/>
  <c r="J65" i="9"/>
  <c r="J27" i="9"/>
  <c r="J43" i="9"/>
  <c r="J66" i="9"/>
  <c r="F71" i="5"/>
  <c r="G71" i="5" s="1"/>
  <c r="F37" i="5"/>
  <c r="G37" i="5" s="1"/>
  <c r="G23" i="5"/>
  <c r="F86" i="1"/>
  <c r="J6" i="10"/>
  <c r="F72" i="2"/>
  <c r="G72" i="2" s="1"/>
  <c r="G68" i="2"/>
  <c r="F68" i="2"/>
  <c r="B11" i="5"/>
  <c r="F69" i="2"/>
  <c r="G69" i="2" s="1"/>
  <c r="I15" i="3"/>
  <c r="F94" i="1"/>
  <c r="G94" i="1" s="1"/>
  <c r="F70" i="2"/>
  <c r="G70" i="2" s="1"/>
  <c r="J15" i="3"/>
  <c r="F65" i="2"/>
  <c r="G65" i="2" s="1"/>
  <c r="F64" i="2"/>
  <c r="G64" i="2" s="1"/>
  <c r="B17" i="5"/>
  <c r="C38" i="8"/>
  <c r="F71" i="2"/>
  <c r="G71" i="2" s="1"/>
  <c r="G67" i="2"/>
  <c r="F85" i="1"/>
  <c r="G85" i="1" s="1"/>
  <c r="F66" i="2"/>
  <c r="G66" i="2" s="1"/>
  <c r="J7" i="3"/>
  <c r="B33" i="8"/>
  <c r="D83" i="1"/>
  <c r="G86" i="1"/>
  <c r="E88" i="1"/>
  <c r="F88" i="1" s="1"/>
  <c r="G88" i="1" s="1"/>
  <c r="F93" i="1"/>
  <c r="G93" i="1" s="1"/>
  <c r="D95" i="1"/>
  <c r="B3" i="2"/>
  <c r="J19" i="2"/>
  <c r="J23" i="2"/>
  <c r="J31" i="2"/>
  <c r="J35" i="2"/>
  <c r="J39" i="2"/>
  <c r="E62" i="2"/>
  <c r="E74" i="2" s="1"/>
  <c r="B4" i="2"/>
  <c r="B6" i="8" s="1"/>
  <c r="F15" i="3"/>
  <c r="B8" i="5"/>
  <c r="H75" i="1"/>
  <c r="B3" i="1" s="1"/>
  <c r="J55" i="1"/>
  <c r="I75" i="1"/>
  <c r="B4" i="1" s="1"/>
  <c r="E83" i="1"/>
  <c r="D90" i="1"/>
  <c r="E90" i="1"/>
  <c r="E92" i="1"/>
  <c r="F92" i="1" s="1"/>
  <c r="G92" i="1" s="1"/>
  <c r="E87" i="1"/>
  <c r="F87" i="1" s="1"/>
  <c r="G87" i="1" s="1"/>
  <c r="D63" i="2"/>
  <c r="D73" i="2"/>
  <c r="D84" i="1"/>
  <c r="F67" i="2"/>
  <c r="J4" i="4"/>
  <c r="J14" i="4" s="1"/>
  <c r="D82" i="1"/>
  <c r="D89" i="1"/>
  <c r="J9" i="2"/>
  <c r="J25" i="2"/>
  <c r="J37" i="2"/>
  <c r="J45" i="2"/>
  <c r="H54" i="2"/>
  <c r="E91" i="1"/>
  <c r="F91" i="1" s="1"/>
  <c r="G91" i="1" s="1"/>
  <c r="J26" i="1"/>
  <c r="J75" i="1" s="1"/>
  <c r="J50" i="1"/>
  <c r="C11" i="11" l="1"/>
  <c r="D10" i="11"/>
  <c r="D8" i="11"/>
  <c r="D6" i="8"/>
  <c r="D5" i="11"/>
  <c r="D5" i="8"/>
  <c r="D4" i="11"/>
  <c r="E96" i="1"/>
  <c r="B5" i="9"/>
  <c r="D6" i="11" s="1"/>
  <c r="F84" i="1"/>
  <c r="G84" i="1" s="1"/>
  <c r="C32" i="8"/>
  <c r="B9" i="5"/>
  <c r="B10" i="5" s="1"/>
  <c r="B12" i="5" s="1"/>
  <c r="G63" i="2"/>
  <c r="F63" i="2"/>
  <c r="F83" i="1"/>
  <c r="G83" i="1" s="1"/>
  <c r="B3" i="5"/>
  <c r="B5" i="1"/>
  <c r="C5" i="8"/>
  <c r="F89" i="1"/>
  <c r="G89" i="1"/>
  <c r="F82" i="1"/>
  <c r="D96" i="1"/>
  <c r="F62" i="2"/>
  <c r="J54" i="2"/>
  <c r="B4" i="5"/>
  <c r="C6" i="8"/>
  <c r="B5" i="2"/>
  <c r="B5" i="8"/>
  <c r="D74" i="2"/>
  <c r="F73" i="2"/>
  <c r="G73" i="2" s="1"/>
  <c r="F90" i="1"/>
  <c r="G90" i="1" s="1"/>
  <c r="F95" i="1"/>
  <c r="G95" i="1" s="1"/>
  <c r="D9" i="11" l="1"/>
  <c r="D7" i="11"/>
  <c r="B6" i="9"/>
  <c r="D8" i="8"/>
  <c r="D9" i="8" s="1"/>
  <c r="F96" i="1"/>
  <c r="G96" i="1" s="1"/>
  <c r="G82" i="1"/>
  <c r="B6" i="2"/>
  <c r="B8" i="8"/>
  <c r="B6" i="1"/>
  <c r="C8" i="8"/>
  <c r="B5" i="5"/>
  <c r="B14" i="5" s="1"/>
  <c r="B19" i="5" s="1"/>
  <c r="F74" i="2"/>
  <c r="G74" i="2" s="1"/>
  <c r="G62" i="2"/>
  <c r="C33" i="8"/>
  <c r="D36" i="8" l="1"/>
  <c r="D39" i="8" s="1"/>
  <c r="D12" i="11" s="1"/>
  <c r="C9" i="8"/>
  <c r="C36" i="8"/>
  <c r="B9" i="8"/>
  <c r="B36" i="8"/>
  <c r="B39" i="8" s="1"/>
  <c r="B12" i="11" s="1"/>
  <c r="C39" i="8" l="1"/>
  <c r="C12" i="11" l="1"/>
</calcChain>
</file>

<file path=xl/sharedStrings.xml><?xml version="1.0" encoding="utf-8"?>
<sst xmlns="http://schemas.openxmlformats.org/spreadsheetml/2006/main" count="1271" uniqueCount="379">
  <si>
    <t>עלות ורווח - דירות ושירותי קרקע - יולי</t>
  </si>
  <si>
    <t>עלות מכר ורווח גולמי - עובדים זרים - יוני</t>
  </si>
  <si>
    <t>עלות ורווח - דירות ושירותי קרקע - יוני</t>
  </si>
  <si>
    <t>עלות מכר ורווח גולמי - עובדים זרים - יולי</t>
  </si>
  <si>
    <t>נכס</t>
  </si>
  <si>
    <t>לקוח</t>
  </si>
  <si>
    <t>יחידות</t>
  </si>
  <si>
    <t>תעריף ליחידה</t>
  </si>
  <si>
    <t>הכנסה (₪)</t>
  </si>
  <si>
    <t>שכירות (₪)</t>
  </si>
  <si>
    <t>שוטפות (₪)</t>
  </si>
  <si>
    <t>עמלת רועי (₪)</t>
  </si>
  <si>
    <t>סה"כ עלות (₪)</t>
  </si>
  <si>
    <t>רווח (₪)</t>
  </si>
  <si>
    <t>הערות</t>
  </si>
  <si>
    <t>סה"כ מכר (₪)</t>
  </si>
  <si>
    <t>קארו 11</t>
  </si>
  <si>
    <t>עובדים זרים (פנימי)</t>
  </si>
  <si>
    <t>קריית גת</t>
  </si>
  <si>
    <t>4 עובדים x 200 ₪ (מצודת השלום)</t>
  </si>
  <si>
    <t>קארו 3</t>
  </si>
  <si>
    <t>סה"כ עלות מכר (₪)</t>
  </si>
  <si>
    <t>3 עובדי רמא; לא משלמים חשמל</t>
  </si>
  <si>
    <t>בית חנינה (מלון)</t>
  </si>
  <si>
    <t>5 עובדים x 200 ₪ (ברגשטיין + דוד קבלן)</t>
  </si>
  <si>
    <t>רווח גולמי (₪)</t>
  </si>
  <si>
    <t>קארו 7 - עובדים שלנו</t>
  </si>
  <si>
    <t>שכירות 9,600 ₪ עד 12 עובדים, +800 ₪ לכל עובד נוסף; לא משלמים חשמל</t>
  </si>
  <si>
    <t>שבט בנימין 2 + מצודת השלום 2; 200 ₪ לעובד; שכירות לפי 4/6 מיטות</t>
  </si>
  <si>
    <t>קארו 7 - מיטות איבריקה</t>
  </si>
  <si>
    <t>שיעור רווח גולמי (%)</t>
  </si>
  <si>
    <t>איבריקה</t>
  </si>
  <si>
    <t>6 עובדים x 200 ₪</t>
  </si>
  <si>
    <t>2 מיטות איבריקה; 200 ₪ למיטה; שכירות לפי 2/6 מיטות</t>
  </si>
  <si>
    <t>אשקלון (בן גוריון)</t>
  </si>
  <si>
    <t>אסירי ציון</t>
  </si>
  <si>
    <t>מעסיק</t>
  </si>
  <si>
    <t>עובד</t>
  </si>
  <si>
    <t>שעות בפועל</t>
  </si>
  <si>
    <t>10 עובדים x 170 ₪ + עמלת רועי</t>
  </si>
  <si>
    <t>עלות מול תאגיד (₪/שעה)</t>
  </si>
  <si>
    <t>בית צפאפא</t>
  </si>
  <si>
    <t>עלות גבייה שלנו (₪/שעה)</t>
  </si>
  <si>
    <t>אחים לימור</t>
  </si>
  <si>
    <t>דירת לינה</t>
  </si>
  <si>
    <t>ניכוי לינה (₪)</t>
  </si>
  <si>
    <t>עלות מכר (₪)</t>
  </si>
  <si>
    <t>3 מיטות איבריקה x 200 ₪ + עמלת רועי; שכירות לפי 3/13 מיטות</t>
  </si>
  <si>
    <t>אופיר קבלן</t>
  </si>
  <si>
    <t>akmal</t>
  </si>
  <si>
    <t>השכרה לגורם חיצוני - לא לפי מיטות</t>
  </si>
  <si>
    <t>קורצאק</t>
  </si>
  <si>
    <t>4 עובדים x 200 ₪</t>
  </si>
  <si>
    <t>ברוריה (רבי חייא)</t>
  </si>
  <si>
    <t>אלגרסי</t>
  </si>
  <si>
    <t>Farkhod</t>
  </si>
  <si>
    <t>ארנונה משולמת ע"י אחים לימור</t>
  </si>
  <si>
    <t>רמא - SHUHROK, azamat</t>
  </si>
  <si>
    <t>Rustam</t>
  </si>
  <si>
    <t>סה"כ</t>
  </si>
  <si>
    <t>אשקלון</t>
  </si>
  <si>
    <t>samandar</t>
  </si>
  <si>
    <t>עמלת רועי 100x6; לא משלמים חשמל</t>
  </si>
  <si>
    <t>רבי חייא</t>
  </si>
  <si>
    <t>אחמד מצודת השלום</t>
  </si>
  <si>
    <t>מקור: דוח_רווח_והפסד_יוני_2026 (20).xlsx, גיליון "דירות". דמי השכירות זהים לחודש יולי בכל הנכסים; ההפרש בסה"כ (59,200 מול 67,200) נובע מכך שבית חנינה (8,000 ₪) נוסף רק ביולי.</t>
  </si>
  <si>
    <t>Avanish</t>
  </si>
  <si>
    <t>לא משלמים חשמל</t>
  </si>
  <si>
    <t>harikesh</t>
  </si>
  <si>
    <t>קארו 7</t>
  </si>
  <si>
    <t>6 עובדים x 170 ₪ + עמלת רועי</t>
  </si>
  <si>
    <t>kumar</t>
  </si>
  <si>
    <t>parimol</t>
  </si>
  <si>
    <t>ramishwar</t>
  </si>
  <si>
    <t>sanjay</t>
  </si>
  <si>
    <t>sri ram</t>
  </si>
  <si>
    <t>Roshan</t>
  </si>
  <si>
    <t>אלי אביאלי</t>
  </si>
  <si>
    <t>Asatillo</t>
  </si>
  <si>
    <t>sanjar</t>
  </si>
  <si>
    <t>Vasile</t>
  </si>
  <si>
    <t>אסף תאגיד השידור</t>
  </si>
  <si>
    <t>nagendra</t>
  </si>
  <si>
    <t>Praveen</t>
  </si>
  <si>
    <t>גרייטדור</t>
  </si>
  <si>
    <t>dinoka</t>
  </si>
  <si>
    <t>אליעזר הקר אלומיניום</t>
  </si>
  <si>
    <t>murod</t>
  </si>
  <si>
    <t>Kamal</t>
  </si>
  <si>
    <t>בית חנינה</t>
  </si>
  <si>
    <t>Liyana</t>
  </si>
  <si>
    <t>odil</t>
  </si>
  <si>
    <t>ranjith</t>
  </si>
  <si>
    <t>Suresh</t>
  </si>
  <si>
    <t>susitha</t>
  </si>
  <si>
    <t>סיכום מאוחד - ישר שירותי קרקע - יולי</t>
  </si>
  <si>
    <t>גרשון</t>
  </si>
  <si>
    <t>עובדים זרים - מכר</t>
  </si>
  <si>
    <t>walikala</t>
  </si>
  <si>
    <t>דוד בן חמו קבלן</t>
  </si>
  <si>
    <t>עובדים זרים - עלות מכר</t>
  </si>
  <si>
    <t>עובדים זרים - רווח גולמי</t>
  </si>
  <si>
    <t>bogir</t>
  </si>
  <si>
    <t>Ergash</t>
  </si>
  <si>
    <t>דירות - הכנסה כוללת</t>
  </si>
  <si>
    <t xml:space="preserve">הוצאות תפעוליות יולי  </t>
  </si>
  <si>
    <t>דירות - עלות כוללת</t>
  </si>
  <si>
    <t>נריה קידוח הצפון</t>
  </si>
  <si>
    <t>Kumar</t>
  </si>
  <si>
    <t>דירות - רווח</t>
  </si>
  <si>
    <t>משותפות לשתי החברות (מטה ופתילים + ישר שירותי קרקע)</t>
  </si>
  <si>
    <t xml:space="preserve">   מתוכו: רווח מלינת עובדים</t>
  </si>
  <si>
    <t>Nilanth</t>
  </si>
  <si>
    <t>Narendra</t>
  </si>
  <si>
    <t>סעיף</t>
  </si>
  <si>
    <t>סכום מלא (₪)</t>
  </si>
  <si>
    <t xml:space="preserve">   מתוכו: רווח מהשכרה חיצונית</t>
  </si>
  <si>
    <t>% לישר שירותי קרקע</t>
  </si>
  <si>
    <t>חלק ישר שירותי קרקע (₪)</t>
  </si>
  <si>
    <t>משרד (שכירות+ניהול+מיזוג+ארנונה) *</t>
  </si>
  <si>
    <t>רוטנברג</t>
  </si>
  <si>
    <t>biswas</t>
  </si>
  <si>
    <t>רווח גולמי מאוחד</t>
  </si>
  <si>
    <t>עמלת שלמה מינסקי</t>
  </si>
  <si>
    <t>הוצאות תפעוליות (חלק ישר שירותי קרקע)</t>
  </si>
  <si>
    <t>meena</t>
  </si>
  <si>
    <t>רווח נקי סופי - ישר שירותי קרקע - יולי</t>
  </si>
  <si>
    <t>רואה חשבון</t>
  </si>
  <si>
    <t>rishan</t>
  </si>
  <si>
    <t>פירוט לפי לקוח - יולי</t>
  </si>
  <si>
    <t>עורך דין</t>
  </si>
  <si>
    <t>עובדים</t>
  </si>
  <si>
    <t>מכר (₪)</t>
  </si>
  <si>
    <t>שכר נחשון (ברוטו)</t>
  </si>
  <si>
    <t>רמא</t>
  </si>
  <si>
    <t>עמלת שלמה (₪)</t>
  </si>
  <si>
    <t>azamat</t>
  </si>
  <si>
    <t>שיעור</t>
  </si>
  <si>
    <t>שלום ברגשטיין</t>
  </si>
  <si>
    <t>שכר עדינה (ברוטו)</t>
  </si>
  <si>
    <t>קרית גת</t>
  </si>
  <si>
    <t>שכר שלמה מינסקי (ברוטו) **</t>
  </si>
  <si>
    <t>daler</t>
  </si>
  <si>
    <t>שכר רז עדן חנה (ברוטו) - תלוש דרך שלמה מינסקי</t>
  </si>
  <si>
    <t>ש. מינסקי יזמות - חשבונית *</t>
  </si>
  <si>
    <t>ג.ד קלאמרה - ג'מלים לבנייה (חשבונית 20005)</t>
  </si>
  <si>
    <t>dmitri</t>
  </si>
  <si>
    <t>erkin</t>
  </si>
  <si>
    <t>welikala</t>
  </si>
  <si>
    <t>ש.ח.נ כרמלי</t>
  </si>
  <si>
    <t>* ללא מע"מ. חשבונית ש. מינסקי יזמות: 14,000 + מע"מ = 16,520 ₪, כפי ששולם בתזרים ב-13/07/2026.</t>
  </si>
  <si>
    <t>** כולל תשלום מילואים שאמור לחזור מביטוח לאומי - כשיתקבל סכום ההחזר יש לקזז אותו כאן</t>
  </si>
  <si>
    <t>nodir</t>
  </si>
  <si>
    <t>SHUHROK</t>
  </si>
  <si>
    <t>Akmal</t>
  </si>
  <si>
    <t>abdurauf</t>
  </si>
  <si>
    <t>alexandr</t>
  </si>
  <si>
    <t>שי רם חברה לבנייה</t>
  </si>
  <si>
    <t>andrei</t>
  </si>
  <si>
    <t>kamoliddin</t>
  </si>
  <si>
    <t>עמלת שלמה מינסקי: 2 ₪ לשעה על עובד הודי ו-3 ₪ לשעה על עובד אוזבקי, לפי 200 שעות לעובד. הפירוט לפי עובד נמצא בעמודה K בגיליון "עובדים זרים - יולי".</t>
  </si>
  <si>
    <t>פירוט לפי לקוח - יוני</t>
  </si>
  <si>
    <t>השלמה לחשבונית 60041</t>
  </si>
  <si>
    <t>damir</t>
  </si>
  <si>
    <t>djamol</t>
  </si>
  <si>
    <t>heera</t>
  </si>
  <si>
    <t>sanat</t>
  </si>
  <si>
    <t>shuhrok</t>
  </si>
  <si>
    <t>מקור: דוח_רווח_והפסד_יוני_2026 (20).xlsx, גיליון "כל הקבלנים". מבנה זהה לגיליון יולי - עלות המכר לא כוללת לינה, הלינה מנוכה בנפרד, והוצאות נסיעה לא נכללות.</t>
  </si>
  <si>
    <t>הערה: בקובץ "שעות עובדים כל החודשים" העובדים andrei/alexandr/abdurauf/kamoliddin רשומים תחת "שרון מבשרת" ולא תחת ש.ח.נ כרמלי, ולשבט בנימין רשומות 218 ו-152 שעות במקום 201.375.</t>
  </si>
  <si>
    <t>סיכום לפי לקוח - יוני</t>
  </si>
  <si>
    <t>שעות</t>
  </si>
  <si>
    <t>narendra</t>
  </si>
  <si>
    <t>santal</t>
  </si>
  <si>
    <t>עובדים זרים</t>
  </si>
  <si>
    <t>יוני 2026</t>
  </si>
  <si>
    <t>יולי 2026</t>
  </si>
  <si>
    <t>שינוי (₪)</t>
  </si>
  <si>
    <t>שינוי (%)</t>
  </si>
  <si>
    <t>הכנסה</t>
  </si>
  <si>
    <t>jasur</t>
  </si>
  <si>
    <t>עלות מכר לתאגידים</t>
  </si>
  <si>
    <t>khasanjon</t>
  </si>
  <si>
    <t>חיוב לינה (נכלל ברווח הדירות)</t>
  </si>
  <si>
    <t>khurshed</t>
  </si>
  <si>
    <t>רווח גולמי</t>
  </si>
  <si>
    <t>שיעור רווח גולמי</t>
  </si>
  <si>
    <t>maruf</t>
  </si>
  <si>
    <t>הכנסה לפי לקוח</t>
  </si>
  <si>
    <t>סיבת השינוי</t>
  </si>
  <si>
    <t>orzu</t>
  </si>
  <si>
    <t>מצודת השלום (אחמד)</t>
  </si>
  <si>
    <t>אופיר חנון / אופיר קבלן</t>
  </si>
  <si>
    <t>אביאלי / אלי אביאלי</t>
  </si>
  <si>
    <t>מ. רוטנברג</t>
  </si>
  <si>
    <t>shakhzod</t>
  </si>
  <si>
    <t>שבט בנימין / אסף תאגיד השידור</t>
  </si>
  <si>
    <t>דוד קבלן / NH Clinics</t>
  </si>
  <si>
    <t>tukhtamurod</t>
  </si>
  <si>
    <t>דירות ושירותי קרקע</t>
  </si>
  <si>
    <t>הכנסה (פנימי + חיצוני)</t>
  </si>
  <si>
    <t>ללא שם</t>
  </si>
  <si>
    <t>עלות (שכירות + שוטפות + עמלות)</t>
  </si>
  <si>
    <t>רווח</t>
  </si>
  <si>
    <t>שורה תחתונה</t>
  </si>
  <si>
    <t>הוצאות תפעוליות - חלק ישר</t>
  </si>
  <si>
    <t>רווח נקי</t>
  </si>
  <si>
    <t>סיכום לפי לקוח - יולי</t>
  </si>
  <si>
    <t>מקרא:</t>
  </si>
  <si>
    <t>עובד שעבד פחות מ-230 שעות בחודש (חודש חלקי)</t>
  </si>
  <si>
    <t>עלות מכר ורווח גולמי - עובדים זרים - אוגוסט</t>
  </si>
  <si>
    <t>יושן בדירה שלנו בק.ג</t>
  </si>
  <si>
    <t>יושנים באתר של החברה</t>
  </si>
  <si>
    <t>שער בנימין</t>
  </si>
  <si>
    <t>lalith</t>
  </si>
  <si>
    <t>בני ברק</t>
  </si>
  <si>
    <t>priyantha</t>
  </si>
  <si>
    <t>thusitha</t>
  </si>
  <si>
    <t>Chamila</t>
  </si>
  <si>
    <t>Randika</t>
  </si>
  <si>
    <t>Vidura</t>
  </si>
  <si>
    <t>רחביה</t>
  </si>
  <si>
    <t>יוסף</t>
  </si>
  <si>
    <t>דירה של התאגיד</t>
  </si>
  <si>
    <t>קארו</t>
  </si>
  <si>
    <t>רועי: 2 ₪ נוספים לכל שעת עבודה + 100 ₪ למיטה</t>
  </si>
  <si>
    <t>רועי: 2 ₪ נוספים לכל שעת עבודה + 100 ₪ למיטה (יתרה לתשלום 13.575)</t>
  </si>
  <si>
    <t>2 נוסף מאיתנו (להשלים 12 שעות)</t>
  </si>
  <si>
    <t>2 נוסף מאיתנו ( להשלים 11 שעות)</t>
  </si>
  <si>
    <t>2 נוסף מאיתנו</t>
  </si>
  <si>
    <t>מאי מערכות חשמל</t>
  </si>
  <si>
    <t>אצל התאגיד</t>
  </si>
  <si>
    <t>temurbek</t>
  </si>
  <si>
    <t>ארי שבט בנימין</t>
  </si>
  <si>
    <t>בת ים</t>
  </si>
  <si>
    <t>תוספת 10 ₪ מאיתנו</t>
  </si>
  <si>
    <t>תוספת 5 ₪ מאיתנו (זיכוי נעה 17,739)</t>
  </si>
  <si>
    <t>פתח תקווה</t>
  </si>
  <si>
    <t>להתקזז על דלק בחשבונית 1611 שח</t>
  </si>
  <si>
    <t>Kamoliddin</t>
  </si>
  <si>
    <t>שרון חייב על חודש שעבר. לעובד שולם מהתאגיד</t>
  </si>
  <si>
    <t>עמלה לעובד (₪/שעה)</t>
  </si>
  <si>
    <t>סה"כ עמלה לעובד (₪)</t>
  </si>
  <si>
    <t>השוואה חודשית 2026 - ישר שירותי קרקע לקבלן ולפועל בע"מ</t>
  </si>
  <si>
    <t>אוגוסט 2026</t>
  </si>
  <si>
    <t>חובות פתוחים - ישר שירותי קרקע</t>
  </si>
  <si>
    <t>חיוב כולל מע"מ (₪)</t>
  </si>
  <si>
    <t>שולם (₪)</t>
  </si>
  <si>
    <t>יתרה לגבייה (₪)</t>
  </si>
  <si>
    <t>צ'ק 110,000 בניכיון - 50,000 התקבלו, יתרה 60,000 בחודש הבא</t>
  </si>
  <si>
    <t>חוב מיוני: מע"מ NH Clinics / דוד בן חמו</t>
  </si>
  <si>
    <t>סה"כ לגבייה</t>
  </si>
  <si>
    <t>עלות ורווח - דירות ושירותי קרקע - אוגוסט</t>
  </si>
  <si>
    <t>הנחות שדורשות אישור: (1) חלוקת 10 המיטות ב"קארו" - הנחתי 6 בקארו 7 (אחמד + אסף) ו-4 בקארו 11 (ארי שבט בנימין + כרמלי), כי בקובץ השעות רשום "קארו" בלי מספר. (2) ההשכרות החיצוניות (אחים לימור, אלגרסי, איבריקה) הועתקו מיולי באותם סכומים.</t>
  </si>
  <si>
    <t>3 של ברגשטיין (רשום "יוסף") + שי רם; 4 מתוך 5 מקומות; 200 ₪ לעובד</t>
  </si>
  <si>
    <t>3 מיטות איבריקה; שכירות לפי 3/9 מיטות מאוישות; 200 ₪ למיטה + עמלת רועי</t>
  </si>
  <si>
    <t>ארי שבט בנימין 2 + ש.ח.נ כרמלי 2; 4 מתוך 4 מקומות; 200 ₪ לעובד</t>
  </si>
  <si>
    <t>אחמד 4 + אסף תאגיד השידור 2; שכירות לפי 6/9 מיטות מאוישות (15 מקומות, 6 ריקים); 200 ₪ לעובד; עמלת רועי 100 ₪ למיטה על parimol ו-kumar</t>
  </si>
  <si>
    <t>10 עובדים x 200 ₪; שכירות לפי 10/13 מיטות; עמלת רועי 100 ₪ למיטה על parimol ו-kumar</t>
  </si>
  <si>
    <t>עמלת רועי (2 ₪ לשעה - parimol, kumar)</t>
  </si>
  <si>
    <t>פירוט לפי לקוח - אוגוסט</t>
  </si>
  <si>
    <t>להוסיף לו 10 שעות</t>
  </si>
  <si>
    <t>עמלות סוכנים לפי חודש</t>
  </si>
  <si>
    <t>עמלה</t>
  </si>
  <si>
    <t>פירוט</t>
  </si>
  <si>
    <t>שלמה מינסקי</t>
  </si>
  <si>
    <t>2 ₪/שעה לעובד הודי, 3 ₪ לאוזבקי, לפי 200 שעות</t>
  </si>
  <si>
    <t>רועי - שעות</t>
  </si>
  <si>
    <t>רועי - מיטות</t>
  </si>
  <si>
    <t>100 ₪ למיטת איבריקה + 100 ₪ למיטה של parimol/kumar; מופיע בגיליון הדירות</t>
  </si>
  <si>
    <t>סה"כ עמלות סוכנים</t>
  </si>
  <si>
    <t>עמלות (שלמה + רועי + לעובדים)</t>
  </si>
  <si>
    <t>מדד</t>
  </si>
  <si>
    <t>יוני</t>
  </si>
  <si>
    <t>יולי</t>
  </si>
  <si>
    <t>אוגוסט</t>
  </si>
  <si>
    <t>מכר - עובדים זרים</t>
  </si>
  <si>
    <t>עלות מכר</t>
  </si>
  <si>
    <t>רווח גולמי - עובדים זרים</t>
  </si>
  <si>
    <t>רווח - דירות</t>
  </si>
  <si>
    <t>עמלות סוכנים ולעובדים</t>
  </si>
  <si>
    <t>הוצאות תפעוליות</t>
  </si>
  <si>
    <t>מכר</t>
  </si>
  <si>
    <t>מקרא: שיעור רווח מתחת ל-10% מסומן באדום. הדשבורד מתעדכן אוטומטית מהגיליונות - אין צורך לעדכן אותו ידנית.</t>
  </si>
  <si>
    <t>שולם 4,000 ₪ במזומן (לא דרך הבנק). הסכם: 4,000 ₪ כל יום רביעי דרך נחשון</t>
  </si>
  <si>
    <t>SAMANDAR</t>
  </si>
  <si>
    <t>עובד בניסיון</t>
  </si>
  <si>
    <t>רכב סיטרואן - עובדי ש.ח.נ כרמלי</t>
  </si>
  <si>
    <t>עלות הרכב עצמו (ליסינג/רכישה) - טרם התקבלה.</t>
  </si>
  <si>
    <t>ביטוח רכב סיטרואן (עובדי כרמלי)</t>
  </si>
  <si>
    <t>תקופת הביטוח 06/07/2026 - 30/06/2027</t>
  </si>
  <si>
    <t>ביטוח הרכב 1,827 ₪ (06/07/2026-30/06/2027) נרשם במלואו ביולי כהוצאה תפעולית כללית, 100% ישר.</t>
  </si>
  <si>
    <t>ברגשטיין מקבוצת בי אנד גי</t>
  </si>
  <si>
    <t>גרייטדור - חשבון עסקה אוגוסט</t>
  </si>
  <si>
    <t>רמא - ר.מ. טכנולוגיות</t>
  </si>
  <si>
    <t>אופיר חנון בניה ופיקוח</t>
  </si>
  <si>
    <t>ש.ח.ן כרמלי עבודות קבלנויות</t>
  </si>
  <si>
    <t>מצודת השלום</t>
  </si>
  <si>
    <t>שבט בנימין</t>
  </si>
  <si>
    <t>אביאלי אלומיניום</t>
  </si>
  <si>
    <t>איבריקה אינטרנשיונל</t>
  </si>
  <si>
    <t>שי- רם חברה לבניה</t>
  </si>
  <si>
    <t>מאי חברה למערכות חשמל</t>
  </si>
  <si>
    <t>מציג רק לקוחות עם יתרה פתוחה. מי ששילם במלואו הוסר. מסונכרן מול התזרים עד 07.09.2026.</t>
  </si>
  <si>
    <t>עובדים זרים (פנימי) + ד.י שרף</t>
  </si>
  <si>
    <t>9 עובדים שלנו (6 ברגשטיין + 3 אליעזר הקר) = 10,620 ₪, ועוד ד.י שרף השקעות = 4,267.80 ₪ (3 מיטות 5/8-28/8, 2 הלנות 6 ימים, מצעים). שכירות 9,600 מכסה עד 12 עובדים - הדירה מלאה</t>
  </si>
  <si>
    <t>רכב סיטרואן - פירוט תשלומים</t>
  </si>
  <si>
    <t>03/06/2026 - 21,375 ₪  |  07/06/2026 - 2,357 ₪  |  סה"כ 23,732 ₪ - נזקף לחודש יוני</t>
  </si>
  <si>
    <t>ביטוח 1,827 ₪ (06/07/2026-30/06/2027) - נזקף לחודש יולי</t>
  </si>
  <si>
    <t>הוצאות תפעוליות אוגוסט</t>
  </si>
  <si>
    <t>תלוש 8/26. ביולי 6,811</t>
  </si>
  <si>
    <t>תלוש 8/26: 133.41 שעות x 105 ₪ = 14,008 + נסיעות 315. ביולי 11,850</t>
  </si>
  <si>
    <t>ג.ד קלאמרה - ייעוץ הנדסי ופיקוח (חשבונית 20019)</t>
  </si>
  <si>
    <t>ללא מע"מ (4,085 כולל מע"מ). חודש ביצוע 08/26</t>
  </si>
  <si>
    <t>נזקף במלואו ביולי</t>
  </si>
  <si>
    <t>סה"כ (חלקי - חסרים 6 סעיפים)</t>
  </si>
  <si>
    <t>* ללא מע"מ. אוגוסט כרגע כולל רק שכר נחשון, שכר עדינה וקלמרה - יתר הסעיפים יתווספו כשיתקבלו.</t>
  </si>
  <si>
    <t>עלות מכר ורווח גולמי - עובדים זרים - ספטמבר</t>
  </si>
  <si>
    <t>עמלת גבריאל לניאדו (₪/שעה)</t>
  </si>
  <si>
    <t>סה"כ עמלת גבריאל (₪)</t>
  </si>
  <si>
    <t>פסגת ליאם. בוטל במהלך החודש</t>
  </si>
  <si>
    <t>שרף</t>
  </si>
  <si>
    <t>ד.יוחאי</t>
  </si>
  <si>
    <t>עבר ב-3 לחודש לאליעזר הקר - הלינה מחויבת שם</t>
  </si>
  <si>
    <t>פניני התכלת. בוטל</t>
  </si>
  <si>
    <t>שי-לי</t>
  </si>
  <si>
    <t>שי-לי. בוטל</t>
  </si>
  <si>
    <t>פניני התכלת</t>
  </si>
  <si>
    <t>עבר מברגשטיין ב-3 לחודש (פאנג)</t>
  </si>
  <si>
    <t>בוטל במהלך החודש</t>
  </si>
  <si>
    <t>בוטל במהלך החודש. רועי: 2 ₪ נוספים לכל שעה (64.5₪+2₪)</t>
  </si>
  <si>
    <t>מבשרת</t>
  </si>
  <si>
    <t>תוספת 5 ₪ מאיתנו</t>
  </si>
  <si>
    <t>amirbek</t>
  </si>
  <si>
    <t>יואל (קארו 3)</t>
  </si>
  <si>
    <t>הערות ספטמבר: (1) "עלות מול תאגיד" רשומה לפי התעריף שהתאגיד מחייב בפועל (בלי ה-1.5 ₪). ה-1.5 ₪ לשעה הם תשלום לגבריאל לניאדו, ומופיעים בעמודות N-O כעמלה - מנוכים רק בשורה התחתונה, כמו עמלת רועי. (2) ארבעת העובדים של ליב לא נכללו - התאגיד מקזז, לא בטיפולנו. (3) עובדים בניסיון בלי שעות (Shakhboz, Farrukh אצל ברגשטיין; ogabek, otabek אצל ג׳נאר מיזוג אוויר) לא נכללו.</t>
  </si>
  <si>
    <t>עלות ורווח - דירות ושירותי קרקע - ספטמבר</t>
  </si>
  <si>
    <t>2 עובדי רמא (shuhrok, azamat); לא משלמים חשמל. חודש אחרון - עזבנו את הדירה, השכירות האחרונה 2,500 שולמה 07/09</t>
  </si>
  <si>
    <t>7 עובדים שלנו: 4 ברגשטיין (khasanjon, maruf, tukhtamurod, khurshed) + 3 אליעזר הקר (murod, odil, temurbek). שכירות 9,600 מכסה עד 12 - 5 מיטות פנויות. לא ידוע על הלנות של ד.י שרף בספטמבר</t>
  </si>
  <si>
    <t>3 של ברגשטיין/הקר (damir, djamol, sanat - רשום "יוסף") + שי רם (narendra); 4 מתוך 5 מקומות; 200 ₪ לעובד</t>
  </si>
  <si>
    <t>אחמד 4 + אסף תאגיד השידור 1 (nagendra); שכירות לפי 5/8 מיטות מאוישות (15 מקומות, 7 ריקים); 200 ₪ לעובד; עמלת רועי 100 ₪ למיטה על parimol ו-kumar</t>
  </si>
  <si>
    <t>3 מיטות איבריקה (כמו אוגוסט); שכירות לפי 3/8 מיטות מאוישות; 200 ₪ למיטה + עמלת רועי</t>
  </si>
  <si>
    <t>ארי שבט בנימין 2 (sri ram, Praveen); 2 מתוך 4 מקומות - השכירות כולה עליהם; 200 ₪ לעובד. ש.ח.נ כרמלי כבר לא בקארו</t>
  </si>
  <si>
    <t>הנחות שדורשות אישור: (1) "קארו" בקובץ השעות בלי מספר - הנחתי אחמד + nagendra בקארו 7 ו-ארי שבט בנימין בקארו 11, כמו באוגוסט. (2) ההשכרות החיצוניות (אחים לימור, אלגרסי, איבריקה) הועתקו מאוגוסט באותם סכומים. (3) עובדים שעזבו באמצע החודש (nagendra, sri ram, Praveen) חויבו לינה מלאה, כמו באוגוסט.</t>
  </si>
  <si>
    <t>פירוט לפי לקוח - ספטמבר</t>
  </si>
  <si>
    <t>עמלת שלמה בספטמבר - לפי אותה חלוקה כמו אוגוסט (8,200), עם sanat שעבר מברגשטיין לאליעזר הקר. לאמת מול שלמה.</t>
  </si>
  <si>
    <t>ספטמבר 2026</t>
  </si>
  <si>
    <t>גבריאל לניאדו - 1.5 ₪ לשעה</t>
  </si>
  <si>
    <t>1.5 ₪ לכל שעה על עובדי פסגת ליאם, שרף, ד.יוחאי, פניני התכלת ושי-לי. ביוני-אוגוסט נכלל בתוך עלות המכר (התעריף נרשם עם ה-1.5)</t>
  </si>
  <si>
    <t>2 ₪ לכל שעה: ביוני parimol, kumar ו-sri ram; ביולי-אוגוסט parimol ו-kumar; בספטמבר parimol, kumar ו-sri ram (ארי שבט בנימין, 64.5₪+2₪)</t>
  </si>
  <si>
    <t>הוצאות תפעוליות ספטמבר</t>
  </si>
  <si>
    <t>יוסי טובול - ריטיינר, שולם 16/09</t>
  </si>
  <si>
    <t>אייל גולן - ריטיינר, שולם 15/09</t>
  </si>
  <si>
    <t>ג.ד קלאמרה</t>
  </si>
  <si>
    <t>סה"כ (חלקי - חסרים משרד, שכר נחשון, עדינה, שלמה, רז עדן חנה וחשבונית ש. מינסקי)</t>
  </si>
  <si>
    <t>* ללא מע"מ. ספטמבר כרגע כולל רק רו"ח ועו"ד - יתר הסעיפים יתווספו כשיתקבלו התלושים והחשבוניות.</t>
  </si>
  <si>
    <t>נטו ללא מע"מ. כל החודשים מחושבים באותה שיטה - לפי שעות עבודה בפועל. עמודות השינוי מציגות אוגוסט מול ספטמבר.</t>
  </si>
  <si>
    <t>אין פעילות גם בספטמבר.</t>
  </si>
  <si>
    <t>ירידה של 13,090 ₪. מ-2 עובדים ל-1: Praveen רשום רק אצל "ארי שבט בנימין". nagendra בוטל באמצע החודש - 85 שעות מול 216.</t>
  </si>
  <si>
    <t>ירידה של 5,467 ₪ (-16%). אותם 2 עובדים, אבל 381 שעות מול 452. התעריף קבוע 77 ₪.</t>
  </si>
  <si>
    <t>ירידה של 22,908 ₪ (-63%). מ-2 עובדים ל-1: sanjar כבר לא אצלו. Vasile עבד 145 שעות מול 216 באוגוסט. התעריף קבוע 92 ₪.</t>
  </si>
  <si>
    <t>ירידה של 37,635 ₪ (-40%). אותם 4 עובדים, אבל השעות ירדו מ-1,016 ל-609 - ממוצע 152 שעות לעובד מול 254. התעריפים זהים (90/95 ₪), וכולם עם עמלה של 2 ₪ לשעה לעובד.</t>
  </si>
  <si>
    <t>ירידה של 30,223 ₪ (-39%). אותם 4 עובדים, אבל השעות ירדו מ-1,007 ל-614.5 - ממוצע 154 שעות לעובד מול 252. התעריף קבוע 77 ₪.</t>
  </si>
  <si>
    <t>ירידה של 109,163 ₪ (-45%). מ-14 עובדים ל-12: thusitha ו-Chamila כבר לא אצלו, ו-rishan ו-Nilanth (פסגת ליאם) בוטלו באמצע החודש (68 ו-85 שעות). השעות ירדו מ-3,263.5 ל-1,808 - ממוצע 151 שעות לעובד מול 233. התעריף קבוע 75 ₪.</t>
  </si>
  <si>
    <t>ירידה של 17,756 ₪ (-21%). מ-6 עובדים ל-4: sri ram, ramishwar ו-Kamoliddin כבר לא אצלו, ונוסף amirbek (98 שעות). השעות ירדו מ-981.5 ל-789. בנוסף ירד תעריף הגבייה: andrei מ-90 ל-87 ₪, alexandr ו-abdurauf מ-85 ל-83 ול-80 ₪.</t>
  </si>
  <si>
    <t>ירידה של 14,750 ₪ (-13%). אותם 6 עובדים, אבל השעות ירדו מ-1,081 ל-934: dmitri עבד 31 שעות בלבד (221 באוגוסט). מנגד daler חזר לחודש כמעט מלא (199 שעות מול 32). התעריף הממוצע זהה (101.7 ₪).</t>
  </si>
  <si>
    <t>ירידה של 110,546 ₪ (-45%). מ-11 עובדים ל-9: shakhzod ו-orzu כבר לא אצלו, ו-sanat עבר ב-3 לחודש לאליעזר הקר (34.5 שעות בלבד כאן). העיקר הוא השעות: 1,415 מול 2,568 - ממוצע 157 שעות לעובד מול 233 באוגוסט. התעריף הממוצע כמעט זהה (93.7 ₪ מול 94.7).</t>
  </si>
  <si>
    <t>אין פעילות בספטמבר. welikala לא מופיע בקובץ השעות של ספטמבר.</t>
  </si>
  <si>
    <t>ירידה של 4,928 ₪ (-23%). אותם 2 עובדים (sri ram, Praveen), אבל שניהם בוטלו באמצע החודש - 105.5 שעות כל אחד, 211 מול 275.</t>
  </si>
  <si>
    <t>ירידה של 2,195 ₪ (-14%). אותו עובד (narendra), 180.5 שעות מול 209. התעריף קבוע 77 ₪.</t>
  </si>
  <si>
    <t>עלייה של 14,718 ₪ (+26%) - הלקוח היחיד שעלה. עדיין 4 עובדים אבל בהרכב אחר: temurbek עבד חודש מלא (182.5 שעות מול 44), SAMANDAR (בניסיון, 50 ₪) כבר לא, ו-sanat עבר אליו מברגשטיין ב-3 לחודש (148.5 שעות). השעות עלו מ-600.5 ל-745, וכל השעות בתעריף 95 ₪.</t>
  </si>
  <si>
    <t>(1) עמודות השינוי משוות אוגוסט מול ספטמבר. ⚠️ ההוצאות התפעוליות של ספטמבר חלקיות - כוללות כרגע רק רו"ח (1,357) ועו"ד (50% מ-3,540). חסרים: משרד, שכר נחשון, עדינה, שלמה, רז עדן חנה, חשבונית ש. מינסקי. גם אוגוסט עדיין חלקי.</t>
  </si>
  <si>
    <t>(2) ספטמבר: ירידה חדה בשעות כמעט אצל כל הלקוחות - 7,917 שעות מול 12,242 באוגוסט. ממוצע 158 שעות לעובד מול 207 (סביר שבגלל חגי תשרי - ראש השנה, יום כיפור וסוכות), ובנוסף 7 עובדים בוטלו באמצע החודש. ההכנסה ירדה ב-35% (682,462 מול 1,047,145). שיעור הרווח הגולמי יציב (16.5% מול 15.9%).</t>
  </si>
  <si>
    <t>(3) שינוי שיטה בספטמבר: "עלות מול תאגיד" לפי התעריף שהתאגיד מחייב בפועל (בלי ה-1.5 ₪). ה-1.5 ₪ לשעה הם תשלום לגבריאל לניאדו (3,339 ₪ על 2,226 שעות) ונרשמים כעמלה בשורה התחתונה. ביוני-אוגוסט הם נכללו בעלות המכר, ולכן הרווח הגולמי של ספטמבר גבוה ב-3,339 ביחס לשיטה הקודמת - ברווח הנקי זה מתאזן.</t>
  </si>
  <si>
    <t>(4) עמלות ספטמבר 17,114 ₪: שלמה מינסקי 8,200 (לפי חלוקת אוגוסט - לאמת), רועי 802 (2 ₪ × 401 שעות של parimol, kumar ו-sri ram), גבריאל לניאדו 3,339, תוספת לעובדים 4,773 (אופיר 2 ₪, andrei 10 ₪, alexandr 5 ₪). עמלת רועי על מיטות (1,700) נמצאת בגיליון הדירות.</t>
  </si>
  <si>
    <t>(5) דירות: הרווח ירד מ-37,578 ל-26,830. ההכנסה ירדה ב-11,348: בית חנינה 7 עובדים מול 9 ובלי הכנסה מד.י שרף (4,267.80 באוגוסט) = -6,628; קריית גת 2 עובדים מול 3 = -1,180; קארו 7 5 מול 6 = -1,180; קארו 11 2 מול 4 = -2,360. העלות ירדה רק ב-600 (חשמל/מים לפי מספר עובדים), כי השכירות קבועה. קריית גת - חודש אחרון.</t>
  </si>
  <si>
    <t>דשבורד - ישר שירותי קרקע לקבלן ולפועל בע"מ | יוני - ספטמבר 2026</t>
  </si>
  <si>
    <t>ספטמבר</t>
  </si>
  <si>
    <t>פירוט לפי לקוח - ספטמבר (ממוין לפי רווח)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</si>
</sst>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7" x14ac:knownFonts="1">
    <font>
      <sz val="11"/>
      <color theme="1"/>
      <name val="Arial"/>
      <scheme val="minor"/>
    </font>
    <font>
      <b/>
      <sz val="14"/>
      <color rgb="FFFFFFFF"/>
      <name val="Arial"/>
    </font>
    <font>
      <b/>
      <sz val="12"/>
      <color rgb="FFFFFFFF"/>
      <name val="Arial"/>
    </font>
    <font>
      <sz val="12"/>
      <color rgb="FF000000"/>
      <name val="Arial"/>
    </font>
    <font>
      <b/>
      <i/>
      <sz val="12"/>
      <color rgb="FF808080"/>
      <name val="Arial"/>
    </font>
    <font>
      <b/>
      <sz val="12"/>
      <color rgb="FF000000"/>
      <name val="Arial"/>
    </font>
    <font>
      <b/>
      <sz val="12"/>
      <color theme="1"/>
      <name val="Arial"/>
    </font>
    <font>
      <sz val="12"/>
      <color theme="1"/>
      <name val="Arial"/>
    </font>
    <font>
      <i/>
      <sz val="11"/>
      <color theme="1"/>
      <name val="Arial"/>
    </font>
    <font>
      <i/>
      <sz val="12"/>
      <color theme="1"/>
      <name val="Arial"/>
    </font>
    <font>
      <b/>
      <sz val="11"/>
      <color rgb="FFFFFFFF"/>
      <name val="Arial"/>
    </font>
    <font>
      <sz val="11"/>
      <color theme="1"/>
      <name val="Arial"/>
    </font>
    <font>
      <sz val="12"/>
      <color rgb="FFC00000"/>
      <name val="Arial"/>
    </font>
    <font>
      <sz val="11"/>
      <color rgb="FF000000"/>
      <name val="Arial"/>
    </font>
    <font>
      <i/>
      <sz val="11"/>
      <color rgb="FF808080"/>
      <name val="Arial"/>
    </font>
    <font>
      <b/>
      <sz val="12"/>
      <color rgb="FF000000"/>
      <name val="Arial"/>
      <family val="2"/>
    </font>
    <font>
      <b/>
      <sz val="12"/>
      <color rgb="FFFFFFFF"/>
      <name val="Arial"/>
      <family val="2"/>
    </font>
    <font>
      <sz val="11"/>
      <color rgb="FFFFFFFF"/>
      <name val="Arial"/>
      <family val="2"/>
      <scheme val="minor"/>
    </font>
    <font>
      <b/>
      <sz val="11"/>
      <color rgb="FFFFFFFF"/>
      <name val="Arial"/>
      <family val="2"/>
      <scheme val="minor"/>
    </font>
    <font>
      <b/>
      <sz val="14"/>
      <color rgb="FFFFFFFF"/>
      <name val="Arial"/>
      <family val="2"/>
      <scheme val="minor"/>
    </font>
    <font>
      <b/>
      <sz val="12"/>
      <color rgb="FFFFFFFF"/>
      <name val="Arial"/>
      <family val="2"/>
      <scheme val="minor"/>
    </font>
    <font>
      <sz val="12"/>
      <color rgb="FFFFFFFF"/>
      <name val="Arial"/>
      <family val="2"/>
      <scheme val="minor"/>
    </font>
    <font>
      <sz val="12"/>
      <color theme="1"/>
      <name val="Arial"/>
      <family val="2"/>
      <scheme val="minor"/>
    </font>
    <font>
      <b/>
      <sz val="12"/>
      <color theme="1"/>
      <name val="Arial"/>
      <family val="2"/>
      <scheme val="minor"/>
    </font>
    <font>
      <sz val="11"/>
      <color rgb="FF000000"/>
      <name val="Arial"/>
      <family val="2"/>
    </font>
    <font>
      <i/>
      <sz val="11"/>
      <color rgb="FF000000"/>
      <name val="Arial"/>
      <family val="2"/>
    </font>
    <font>
      <b/>
      <i/>
      <sz val="11"/>
      <color rgb="FF000000"/>
      <name val="Arial"/>
      <family val="2"/>
    </font>
    <font>
      <b/>
      <sz val="14"/>
      <color rgb="FFFFFFFF"/>
      <name val="Arial"/>
      <family val="2"/>
    </font>
    <font>
      <i/>
      <sz val="11"/>
      <color theme="1"/>
      <name val="Arial"/>
      <family val="2"/>
      <scheme val="minor"/>
    </font>
    <font>
      <b/>
      <sz val="12"/>
      <color theme="1"/>
      <name val="Arial"/>
      <family val="2"/>
    </font>
    <font>
      <b/>
      <i/>
      <sz val="12"/>
      <color rgb="FFFFFFFF"/>
      <name val="Arial"/>
      <family val="2"/>
    </font>
    <font>
      <sz val="12"/>
      <color theme="1"/>
      <name val="Arial"/>
      <family val="2"/>
    </font>
    <font>
      <b/>
      <sz val="15"/>
      <color rgb="FFFFFFFF"/>
      <name val="Arial"/>
      <family val="2"/>
      <scheme val="minor"/>
    </font>
    <font>
      <sz val="12"/>
      <color rgb="FF000000"/>
      <name val="Arial"/>
      <family val="2"/>
      <scheme val="minor"/>
    </font>
    <font>
      <b/>
      <sz val="11"/>
      <color theme="1"/>
      <name val="Arial"/>
      <family val="2"/>
      <scheme val="minor"/>
    </font>
    <font>
      <sz val="12"/>
      <name val="Arial"/>
      <family val="2"/>
      <scheme val="minor"/>
    </font>
    <font>
      <b/>
      <i/>
      <sz val="12"/>
      <color rgb="FFFFFFFF"/>
      <name val="Arial"/>
      <family val="2"/>
      <scheme val="minor"/>
    </font>
  </fonts>
  <fills count="11">
    <fill>
      <patternFill patternType="none"/>
    </fill>
    <fill>
      <patternFill patternType="gray125"/>
    </fill>
    <fill>
      <patternFill patternType="solid">
        <fgColor rgb="FF0F2540"/>
        <bgColor rgb="FF0F2540"/>
      </patternFill>
    </fill>
    <fill>
      <patternFill patternType="solid">
        <fgColor rgb="FF1F3864"/>
        <bgColor rgb="FF1F3864"/>
      </patternFill>
    </fill>
    <fill>
      <patternFill patternType="solid">
        <fgColor rgb="FF806000"/>
        <bgColor rgb="FF806000"/>
      </patternFill>
    </fill>
    <fill>
      <patternFill patternType="solid">
        <fgColor rgb="FFFF0000"/>
        <bgColor indexed="64"/>
      </patternFill>
    </fill>
    <fill>
      <patternFill patternType="solid">
        <fgColor rgb="FF0F2540"/>
        <bgColor indexed="64"/>
      </patternFill>
    </fill>
    <fill>
      <patternFill patternType="solid">
        <fgColor rgb="FF806000"/>
        <bgColor indexed="64"/>
      </patternFill>
    </fill>
    <fill>
      <patternFill patternType="solid">
        <fgColor rgb="FF1F3864"/>
        <bgColor indexed="64"/>
      </patternFill>
    </fill>
    <fill>
      <patternFill patternType="solid">
        <fgColor rgb="FF806000"/>
        <bgColor rgb="FF1F3864"/>
      </patternFill>
    </fill>
    <fill>
      <patternFill patternType="solid">
        <fgColor rgb="FFFFFFFF"/>
        <bgColor indexed="64"/>
      </patternFill>
    </fill>
  </fills>
  <borders count="5">
    <border>
      <left/>
      <right/>
      <top/>
      <bottom/>
      <diagonal/>
    </border>
    <border>
      <left style="thin">
        <color rgb="FF404040"/>
      </left>
      <right style="thin">
        <color rgb="FF404040"/>
      </right>
      <top style="thin">
        <color rgb="FF404040"/>
      </top>
      <bottom style="thin">
        <color rgb="FF404040"/>
      </bottom>
      <diagonal/>
    </border>
    <border>
      <left style="thin">
        <color rgb="FF404040"/>
      </left>
      <right/>
      <top style="thin">
        <color rgb="FF404040"/>
      </top>
      <bottom style="thin">
        <color rgb="FF404040"/>
      </bottom>
      <diagonal/>
    </border>
    <border>
      <left/>
      <right/>
      <top style="thin">
        <color rgb="FF404040"/>
      </top>
      <bottom style="thin">
        <color rgb="FF404040"/>
      </bottom>
      <diagonal/>
    </border>
    <border>
      <left/>
      <right style="thin">
        <color rgb="FF404040"/>
      </right>
      <top style="thin">
        <color rgb="FF404040"/>
      </top>
      <bottom style="thin">
        <color rgb="FF404040"/>
      </bottom>
      <diagonal/>
    </border>
  </borders>
  <cellStyleXfs count="1">
    <xf numFmtId="0" fontId="0" fillId="0" borderId="0"/>
  </cellStyleXfs>
  <cellXfs count="89">
    <xf numFmtId="0" fontId="0" fillId="0" borderId="0" xfId="0"/>
    <xf numFmtId="0" fontId="1" fillId="2" borderId="1" xfId="0" applyFont="1" applyFill="1" applyBorder="1" applyAlignment="1">
      <alignment horizontal="right" vertical="center"/>
    </xf>
    <xf numFmtId="0" fontId="1" fillId="2" borderId="1" xfId="0" applyFont="1" applyFill="1" applyBorder="1"/>
    <xf numFmtId="0" fontId="2" fillId="2" borderId="1" xfId="0" applyFont="1" applyFill="1" applyBorder="1"/>
    <xf numFmtId="0" fontId="3" fillId="0" borderId="1" xfId="0" applyFont="1" applyBorder="1"/>
    <xf numFmtId="0" fontId="2" fillId="3" borderId="1" xfId="0" applyFont="1" applyFill="1" applyBorder="1" applyAlignment="1">
      <alignment wrapText="1"/>
    </xf>
    <xf numFmtId="0" fontId="2" fillId="3" borderId="1" xfId="0" applyFont="1" applyFill="1" applyBorder="1" applyAlignment="1">
      <alignment horizontal="center" wrapText="1"/>
    </xf>
    <xf numFmtId="4" fontId="3" fillId="0" borderId="1" xfId="0" applyNumberFormat="1" applyFont="1" applyBorder="1"/>
    <xf numFmtId="0" fontId="2" fillId="4" borderId="1" xfId="0" applyFont="1" applyFill="1" applyBorder="1"/>
    <xf numFmtId="4" fontId="2" fillId="4" borderId="1" xfId="0" applyNumberFormat="1" applyFont="1" applyFill="1" applyBorder="1"/>
    <xf numFmtId="164" fontId="2" fillId="4" borderId="1" xfId="0" applyNumberFormat="1" applyFont="1" applyFill="1" applyBorder="1"/>
    <xf numFmtId="0" fontId="4" fillId="4" borderId="1" xfId="0" applyFont="1" applyFill="1" applyBorder="1"/>
    <xf numFmtId="4" fontId="4" fillId="4" borderId="1" xfId="0" applyNumberFormat="1" applyFont="1" applyFill="1" applyBorder="1"/>
    <xf numFmtId="0" fontId="5" fillId="0" borderId="1" xfId="0" applyFont="1" applyBorder="1"/>
    <xf numFmtId="4" fontId="5" fillId="0" borderId="1" xfId="0" applyNumberFormat="1" applyFont="1" applyBorder="1"/>
    <xf numFmtId="9" fontId="3" fillId="0" borderId="1" xfId="0" applyNumberFormat="1" applyFont="1" applyBorder="1" applyAlignment="1">
      <alignment horizontal="center"/>
    </xf>
    <xf numFmtId="4" fontId="3" fillId="0" borderId="1" xfId="0" applyNumberFormat="1" applyFont="1" applyBorder="1" applyAlignment="1">
      <alignment horizontal="center"/>
    </xf>
    <xf numFmtId="0" fontId="6" fillId="0" borderId="0" xfId="0" applyFont="1"/>
    <xf numFmtId="0" fontId="7" fillId="0" borderId="0" xfId="0" applyFont="1"/>
    <xf numFmtId="0" fontId="7" fillId="0" borderId="1" xfId="0" applyFont="1" applyBorder="1"/>
    <xf numFmtId="4" fontId="7" fillId="0" borderId="1" xfId="0" applyNumberFormat="1" applyFont="1" applyBorder="1"/>
    <xf numFmtId="164" fontId="7" fillId="0" borderId="1" xfId="0" applyNumberFormat="1" applyFont="1" applyBorder="1"/>
    <xf numFmtId="4" fontId="2" fillId="4" borderId="1" xfId="0" applyNumberFormat="1" applyFont="1" applyFill="1" applyBorder="1" applyAlignment="1">
      <alignment horizontal="center"/>
    </xf>
    <xf numFmtId="0" fontId="8" fillId="0" borderId="0" xfId="0" applyFont="1"/>
    <xf numFmtId="0" fontId="9" fillId="0" borderId="0" xfId="0" applyFont="1"/>
    <xf numFmtId="0" fontId="10" fillId="2" borderId="1" xfId="0" applyFont="1" applyFill="1" applyBorder="1"/>
    <xf numFmtId="0" fontId="10" fillId="3" borderId="1" xfId="0" applyFont="1" applyFill="1" applyBorder="1"/>
    <xf numFmtId="0" fontId="11" fillId="0" borderId="1" xfId="0" applyFont="1" applyBorder="1"/>
    <xf numFmtId="4" fontId="11" fillId="0" borderId="1" xfId="0" applyNumberFormat="1" applyFont="1" applyBorder="1"/>
    <xf numFmtId="164" fontId="11" fillId="0" borderId="1" xfId="0" applyNumberFormat="1" applyFont="1" applyBorder="1"/>
    <xf numFmtId="164" fontId="3" fillId="0" borderId="1" xfId="0" applyNumberFormat="1" applyFont="1" applyBorder="1"/>
    <xf numFmtId="164" fontId="12" fillId="0" borderId="1" xfId="0" applyNumberFormat="1" applyFont="1" applyBorder="1"/>
    <xf numFmtId="0" fontId="10" fillId="4" borderId="1" xfId="0" applyFont="1" applyFill="1" applyBorder="1"/>
    <xf numFmtId="4" fontId="10" fillId="4" borderId="1" xfId="0" applyNumberFormat="1" applyFont="1" applyFill="1" applyBorder="1"/>
    <xf numFmtId="164" fontId="10" fillId="4" borderId="1" xfId="0" applyNumberFormat="1" applyFont="1" applyFill="1" applyBorder="1"/>
    <xf numFmtId="0" fontId="13" fillId="0" borderId="1" xfId="0" applyFont="1" applyBorder="1"/>
    <xf numFmtId="0" fontId="14" fillId="0" borderId="0" xfId="0" applyFont="1"/>
    <xf numFmtId="0" fontId="11" fillId="0" borderId="0" xfId="0" applyFont="1"/>
    <xf numFmtId="0" fontId="15" fillId="0" borderId="1" xfId="0" applyFont="1" applyBorder="1"/>
    <xf numFmtId="0" fontId="16" fillId="5" borderId="1" xfId="0" applyFont="1" applyFill="1" applyBorder="1" applyAlignment="1">
      <alignment horizontal="center"/>
    </xf>
    <xf numFmtId="0" fontId="17" fillId="6" borderId="0" xfId="0" applyFont="1" applyFill="1"/>
    <xf numFmtId="0" fontId="19" fillId="6" borderId="0" xfId="0" applyFont="1" applyFill="1"/>
    <xf numFmtId="4" fontId="18" fillId="7" borderId="1" xfId="0" applyNumberFormat="1" applyFont="1" applyFill="1" applyBorder="1"/>
    <xf numFmtId="0" fontId="18" fillId="8" borderId="1" xfId="0" applyFont="1" applyFill="1" applyBorder="1" applyAlignment="1">
      <alignment wrapText="1"/>
    </xf>
    <xf numFmtId="4" fontId="0" fillId="0" borderId="1" xfId="0" applyNumberFormat="1" applyBorder="1"/>
    <xf numFmtId="0" fontId="21" fillId="6" borderId="0" xfId="0" applyFont="1" applyFill="1"/>
    <xf numFmtId="0" fontId="22" fillId="0" borderId="0" xfId="0" applyFont="1"/>
    <xf numFmtId="0" fontId="22" fillId="0" borderId="1" xfId="0" applyFont="1" applyBorder="1"/>
    <xf numFmtId="4" fontId="22" fillId="0" borderId="1" xfId="0" applyNumberFormat="1" applyFont="1" applyBorder="1"/>
    <xf numFmtId="0" fontId="20" fillId="7" borderId="1" xfId="0" applyFont="1" applyFill="1" applyBorder="1"/>
    <xf numFmtId="4" fontId="20" fillId="7" borderId="1" xfId="0" applyNumberFormat="1" applyFont="1" applyFill="1" applyBorder="1"/>
    <xf numFmtId="164" fontId="20" fillId="7" borderId="1" xfId="0" applyNumberFormat="1" applyFont="1" applyFill="1" applyBorder="1"/>
    <xf numFmtId="0" fontId="23" fillId="0" borderId="0" xfId="0" applyFont="1"/>
    <xf numFmtId="0" fontId="20" fillId="5" borderId="0" xfId="0" applyFont="1" applyFill="1" applyAlignment="1">
      <alignment horizontal="center"/>
    </xf>
    <xf numFmtId="0" fontId="20" fillId="8" borderId="1" xfId="0" applyFont="1" applyFill="1" applyBorder="1" applyAlignment="1">
      <alignment wrapText="1"/>
    </xf>
    <xf numFmtId="0" fontId="22" fillId="0" borderId="1" xfId="0" applyFont="1" applyBorder="1" applyAlignment="1">
      <alignment wrapText="1"/>
    </xf>
    <xf numFmtId="0" fontId="24" fillId="0" borderId="1" xfId="0" applyFont="1" applyBorder="1" applyAlignment="1">
      <alignment vertical="top" wrapText="1"/>
    </xf>
    <xf numFmtId="0" fontId="25" fillId="0" borderId="1" xfId="0" applyFont="1" applyBorder="1"/>
    <xf numFmtId="0" fontId="26" fillId="0" borderId="1" xfId="0" applyFont="1" applyBorder="1"/>
    <xf numFmtId="0" fontId="16" fillId="3" borderId="1" xfId="0" applyFont="1" applyFill="1" applyBorder="1"/>
    <xf numFmtId="0" fontId="16" fillId="4" borderId="1" xfId="0" applyFont="1" applyFill="1" applyBorder="1"/>
    <xf numFmtId="164" fontId="16" fillId="4" borderId="1" xfId="0" applyNumberFormat="1" applyFont="1" applyFill="1" applyBorder="1"/>
    <xf numFmtId="0" fontId="16" fillId="9" borderId="1" xfId="0" applyFont="1" applyFill="1" applyBorder="1"/>
    <xf numFmtId="4" fontId="16" fillId="9" borderId="1" xfId="0" applyNumberFormat="1" applyFont="1" applyFill="1" applyBorder="1"/>
    <xf numFmtId="4" fontId="16" fillId="4" borderId="1" xfId="0" applyNumberFormat="1" applyFont="1" applyFill="1" applyBorder="1"/>
    <xf numFmtId="0" fontId="27" fillId="2" borderId="1" xfId="0" applyFont="1" applyFill="1" applyBorder="1" applyAlignment="1">
      <alignment vertical="center"/>
    </xf>
    <xf numFmtId="0" fontId="16" fillId="2" borderId="1" xfId="0" applyFont="1" applyFill="1" applyBorder="1"/>
    <xf numFmtId="0" fontId="28" fillId="0" borderId="0" xfId="0" applyFont="1"/>
    <xf numFmtId="0" fontId="29" fillId="0" borderId="0" xfId="0" applyFont="1"/>
    <xf numFmtId="0" fontId="30" fillId="8" borderId="1" xfId="0" applyFont="1" applyFill="1" applyBorder="1" applyAlignment="1">
      <alignment wrapText="1"/>
    </xf>
    <xf numFmtId="0" fontId="16" fillId="8" borderId="1" xfId="0" applyFont="1" applyFill="1" applyBorder="1" applyAlignment="1">
      <alignment wrapText="1"/>
    </xf>
    <xf numFmtId="0" fontId="31" fillId="0" borderId="0" xfId="0" applyFont="1"/>
    <xf numFmtId="164" fontId="22" fillId="0" borderId="1" xfId="0" applyNumberFormat="1" applyFont="1" applyBorder="1"/>
    <xf numFmtId="0" fontId="20" fillId="8" borderId="1" xfId="0" applyFont="1" applyFill="1" applyBorder="1"/>
    <xf numFmtId="0" fontId="32" fillId="6" borderId="0" xfId="0" applyFont="1" applyFill="1"/>
    <xf numFmtId="3" fontId="22" fillId="0" borderId="1" xfId="0" applyNumberFormat="1" applyFont="1" applyBorder="1"/>
    <xf numFmtId="3" fontId="20" fillId="7" borderId="1" xfId="0" applyNumberFormat="1" applyFont="1" applyFill="1" applyBorder="1"/>
    <xf numFmtId="0" fontId="34" fillId="0" borderId="0" xfId="0" applyFont="1"/>
    <xf numFmtId="0" fontId="33" fillId="10" borderId="1" xfId="0" applyFont="1" applyFill="1" applyBorder="1"/>
    <xf numFmtId="4" fontId="33" fillId="10" borderId="1" xfId="0" applyNumberFormat="1" applyFont="1" applyFill="1" applyBorder="1"/>
    <xf numFmtId="0" fontId="35" fillId="0" borderId="1" xfId="0" applyFont="1" applyBorder="1"/>
    <xf numFmtId="0" fontId="20" fillId="7" borderId="0" xfId="0" applyFont="1" applyFill="1"/>
    <xf numFmtId="4" fontId="20" fillId="7" borderId="0" xfId="0" applyNumberFormat="1" applyFont="1" applyFill="1"/>
    <xf numFmtId="164" fontId="20" fillId="7" borderId="0" xfId="0" applyNumberFormat="1" applyFont="1" applyFill="1"/>
    <xf numFmtId="0" fontId="36" fillId="7" borderId="0" xfId="0" applyFont="1" applyFill="1"/>
    <xf numFmtId="0" fontId="0" fillId="0" borderId="0" xfId="0" applyAlignment="1">
      <alignment vertical="top" wrapText="1"/>
    </xf>
    <xf numFmtId="0" fontId="27" fillId="2" borderId="2" xfId="0" applyFont="1" applyFill="1" applyBorder="1" applyAlignment="1">
      <alignment horizontal="center" vertical="center"/>
    </xf>
    <xf numFmtId="0" fontId="27" fillId="2" borderId="3" xfId="0" applyFont="1" applyFill="1" applyBorder="1" applyAlignment="1">
      <alignment horizontal="center" vertical="center"/>
    </xf>
    <xf numFmtId="0" fontId="27" fillId="2" borderId="4" xfId="0" applyFont="1" applyFill="1" applyBorder="1" applyAlignment="1">
      <alignment horizontal="center" vertical="center"/>
    </xf>
  </cellXfs>
  <cellStyles count="1">
    <cellStyle name="Normal" xfId="0" builtinId="0"/>
  </cellStyles>
  <dxfs count="21">
    <dxf>
      <font>
        <b/>
        <i val="0"/>
        <color rgb="FFC00000"/>
      </font>
    </dxf>
    <dxf>
      <font>
        <b/>
        <i val="0"/>
        <color rgb="FF008000"/>
      </font>
    </dxf>
    <dxf>
      <font>
        <b/>
        <i val="0"/>
        <color rgb="FFC00000"/>
      </font>
    </dxf>
    <dxf>
      <font>
        <b/>
        <i val="0"/>
        <color rgb="FF008000"/>
      </font>
    </dxf>
    <dxf>
      <font>
        <b/>
        <color rgb="FFC00000"/>
      </font>
      <fill>
        <patternFill patternType="none"/>
      </fill>
    </dxf>
    <dxf>
      <font>
        <b/>
        <color rgb="FF008000"/>
      </font>
      <fill>
        <patternFill patternType="none"/>
      </fill>
    </dxf>
    <dxf>
      <font>
        <b/>
        <i val="0"/>
        <color rgb="FFC00000"/>
      </font>
    </dxf>
    <dxf>
      <font>
        <b/>
        <i val="0"/>
        <color rgb="FF008000"/>
      </font>
    </dxf>
    <dxf>
      <font>
        <b/>
        <color rgb="FFC00000"/>
      </font>
      <fill>
        <patternFill patternType="none"/>
      </fill>
    </dxf>
    <dxf>
      <font>
        <b/>
        <color rgb="FF008000"/>
      </font>
      <fill>
        <patternFill patternType="none"/>
      </fill>
    </dxf>
    <dxf>
      <font>
        <b/>
        <i val="0"/>
        <color rgb="FFC00000"/>
      </font>
    </dxf>
    <dxf>
      <font>
        <b/>
        <i val="0"/>
        <color rgb="FF008000"/>
      </font>
    </dxf>
    <dxf>
      <font>
        <b/>
        <i val="0"/>
        <color rgb="FFFFFFFF"/>
      </font>
      <fill>
        <patternFill>
          <bgColor rgb="FFFF0000"/>
        </patternFill>
      </fill>
    </dxf>
    <dxf>
      <font>
        <b/>
        <i val="0"/>
        <color rgb="FFFF0000"/>
      </font>
    </dxf>
    <dxf>
      <font>
        <b/>
        <i val="0"/>
        <color rgb="FFFFFFFF"/>
      </font>
      <fill>
        <patternFill>
          <bgColor rgb="FFFF0000"/>
        </patternFill>
      </fill>
    </dxf>
    <dxf>
      <font>
        <b/>
        <i val="0"/>
        <color rgb="FFFF0000"/>
      </font>
    </dxf>
    <dxf>
      <font>
        <b/>
        <i val="0"/>
        <color rgb="FFFFFFFF"/>
      </font>
      <fill>
        <patternFill>
          <bgColor rgb="FFFF0000"/>
        </patternFill>
      </fill>
    </dxf>
    <dxf>
      <font>
        <b/>
        <i val="0"/>
        <color rgb="FFFF0000"/>
      </font>
    </dxf>
    <dxf>
      <font>
        <b/>
        <i val="0"/>
        <color rgb="FFFFFFFF"/>
      </font>
      <fill>
        <patternFill>
          <bgColor rgb="FFC00000"/>
        </patternFill>
      </fill>
    </dxf>
    <dxf>
      <font>
        <b/>
        <i val="0"/>
        <color rgb="FFFF0000"/>
      </font>
    </dxf>
    <dxf>
      <font>
        <b/>
        <i val="0"/>
        <color rgb="FFFFFFFF"/>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he-IL"/>
              <a:t>מכר מול רווח גולמי מאוחד</a:t>
            </a:r>
          </a:p>
        </c:rich>
      </c:tx>
      <c:overlay val="0"/>
    </c:title>
    <c:autoTitleDeleted val="0"/>
    <c:plotArea>
      <c:layout/>
      <c:barChart>
        <c:barDir val="col"/>
        <c:grouping val="clustered"/>
        <c:varyColors val="0"/>
        <c:ser>
          <c:idx val="0"/>
          <c:order val="0"/>
          <c:tx>
            <c:strRef>
              <c:f>דשבורד!$A$4</c:f>
              <c:strCache>
                <c:ptCount val="1"/>
                <c:pt idx="0">
                  <c:v>מכר - עובדים זרים</c:v>
                </c:pt>
              </c:strCache>
            </c:strRef>
          </c:tx>
          <c:invertIfNegative val="0"/>
          <c:cat>
            <c:strRef>
              <c:f>דשבורד!$B$3:$D$3</c:f>
              <c:strCache>
                <c:ptCount val="3"/>
                <c:pt idx="0">
                  <c:v>יוני</c:v>
                </c:pt>
                <c:pt idx="1">
                  <c:v>יולי</c:v>
                </c:pt>
                <c:pt idx="2">
                  <c:v>אוגוסט</c:v>
                </c:pt>
              </c:strCache>
            </c:strRef>
          </c:cat>
          <c:val>
            <c:numRef>
              <c:f>דשבורד!$B$4:$D$4</c:f>
              <c:numCache>
                <c:formatCode>#,##0</c:formatCode>
                <c:ptCount val="3"/>
                <c:pt idx="0">
                  <c:v>707644.75</c:v>
                </c:pt>
                <c:pt idx="1">
                  <c:v>971024.5</c:v>
                </c:pt>
                <c:pt idx="2">
                  <c:v>1047144.5</c:v>
                </c:pt>
              </c:numCache>
            </c:numRef>
          </c:val>
          <c:extLst>
            <c:ext xmlns:c16="http://schemas.microsoft.com/office/drawing/2014/chart" uri="{C3380CC4-5D6E-409C-BE32-E72D297353CC}">
              <c16:uniqueId val="{00000001-A23E-4FDD-85C3-2624409F3E2C}"/>
            </c:ext>
          </c:extLst>
        </c:ser>
        <c:ser>
          <c:idx val="1"/>
          <c:order val="1"/>
          <c:tx>
            <c:strRef>
              <c:f>דשבורד!$A$9</c:f>
              <c:strCache>
                <c:ptCount val="1"/>
                <c:pt idx="0">
                  <c:v>רווח גולמי מאוחד</c:v>
                </c:pt>
              </c:strCache>
            </c:strRef>
          </c:tx>
          <c:invertIfNegative val="0"/>
          <c:cat>
            <c:strRef>
              <c:f>דשבורד!$B$3:$D$3</c:f>
              <c:strCache>
                <c:ptCount val="3"/>
                <c:pt idx="0">
                  <c:v>יוני</c:v>
                </c:pt>
                <c:pt idx="1">
                  <c:v>יולי</c:v>
                </c:pt>
                <c:pt idx="2">
                  <c:v>אוגוסט</c:v>
                </c:pt>
              </c:strCache>
            </c:strRef>
          </c:cat>
          <c:val>
            <c:numRef>
              <c:f>דשבורד!$B$9:$D$9</c:f>
              <c:numCache>
                <c:formatCode>#,##0</c:formatCode>
                <c:ptCount val="3"/>
                <c:pt idx="0">
                  <c:v>149529.75</c:v>
                </c:pt>
                <c:pt idx="1">
                  <c:v>215843.24</c:v>
                </c:pt>
                <c:pt idx="2">
                  <c:v>203556.29</c:v>
                </c:pt>
              </c:numCache>
            </c:numRef>
          </c:val>
          <c:extLst>
            <c:ext xmlns:c16="http://schemas.microsoft.com/office/drawing/2014/chart" uri="{C3380CC4-5D6E-409C-BE32-E72D297353CC}">
              <c16:uniqueId val="{00000002-A23E-4FDD-85C3-2624409F3E2C}"/>
            </c:ext>
          </c:extLst>
        </c:ser>
        <c:dLbls>
          <c:showLegendKey val="0"/>
          <c:showVal val="0"/>
          <c:showCatName val="0"/>
          <c:showSerName val="0"/>
          <c:showPercent val="0"/>
          <c:showBubbleSize val="0"/>
        </c:dLbls>
        <c:gapWidth val="150"/>
        <c:axId val="862773407"/>
        <c:axId val="910820047"/>
      </c:barChart>
      <c:catAx>
        <c:axId val="862773407"/>
        <c:scaling>
          <c:orientation val="maxMin"/>
        </c:scaling>
        <c:delete val="0"/>
        <c:axPos val="b"/>
        <c:numFmt formatCode="General" sourceLinked="1"/>
        <c:majorTickMark val="out"/>
        <c:minorTickMark val="none"/>
        <c:tickLblPos val="nextTo"/>
        <c:crossAx val="910820047"/>
        <c:crosses val="autoZero"/>
        <c:auto val="1"/>
        <c:lblAlgn val="ctr"/>
        <c:lblOffset val="100"/>
        <c:noMultiLvlLbl val="0"/>
      </c:catAx>
      <c:valAx>
        <c:axId val="910820047"/>
        <c:scaling>
          <c:orientation val="minMax"/>
        </c:scaling>
        <c:delete val="0"/>
        <c:axPos val="r"/>
        <c:majorGridlines/>
        <c:numFmt formatCode="#,##0" sourceLinked="1"/>
        <c:majorTickMark val="out"/>
        <c:minorTickMark val="none"/>
        <c:tickLblPos val="nextTo"/>
        <c:crossAx val="862773407"/>
        <c:crosses val="autoZero"/>
        <c:crossBetween val="between"/>
      </c:valAx>
    </c:plotArea>
    <c:legend>
      <c:legendPos val="l"/>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he-IL"/>
              <a:t>רווח גולמי לפי לקוח - אוגוסט</a:t>
            </a:r>
          </a:p>
        </c:rich>
      </c:tx>
      <c:overlay val="0"/>
    </c:title>
    <c:autoTitleDeleted val="0"/>
    <c:plotArea>
      <c:layout/>
      <c:barChart>
        <c:barDir val="bar"/>
        <c:grouping val="clustered"/>
        <c:varyColors val="0"/>
        <c:ser>
          <c:idx val="0"/>
          <c:order val="0"/>
          <c:tx>
            <c:strRef>
              <c:f>דשבורד!$C$15</c:f>
              <c:strCache>
                <c:ptCount val="1"/>
                <c:pt idx="0">
                  <c:v>רווח גולמי</c:v>
                </c:pt>
              </c:strCache>
            </c:strRef>
          </c:tx>
          <c:invertIfNegative val="0"/>
          <c:cat>
            <c:strRef>
              <c:f>דשבורד!$A$16:$A$28</c:f>
              <c:strCache>
                <c:ptCount val="12"/>
                <c:pt idx="0">
                  <c:v>שלום ברגשטיין</c:v>
                </c:pt>
                <c:pt idx="1">
                  <c:v>רמא</c:v>
                </c:pt>
                <c:pt idx="2">
                  <c:v>אליעזר הקר אלומיניום</c:v>
                </c:pt>
                <c:pt idx="3">
                  <c:v>גרייטדור</c:v>
                </c:pt>
                <c:pt idx="4">
                  <c:v>ש.ח.נ כרמלי</c:v>
                </c:pt>
                <c:pt idx="5">
                  <c:v>אחמד מצודת השלום</c:v>
                </c:pt>
                <c:pt idx="6">
                  <c:v>אופיר קבלן</c:v>
                </c:pt>
                <c:pt idx="7">
                  <c:v>רוטנברג</c:v>
                </c:pt>
                <c:pt idx="8">
                  <c:v>שי רם חברה לבנייה</c:v>
                </c:pt>
                <c:pt idx="9">
                  <c:v>ארי שבט בנימין</c:v>
                </c:pt>
                <c:pt idx="10">
                  <c:v>אלי אביאלי</c:v>
                </c:pt>
                <c:pt idx="11">
                  <c:v>אסף תאגיד השידור</c:v>
                </c:pt>
              </c:strCache>
            </c:strRef>
          </c:cat>
          <c:val>
            <c:numRef>
              <c:f>דשבורד!$C$16:$C$28</c:f>
              <c:numCache>
                <c:formatCode>#,##0</c:formatCode>
                <c:ptCount val="13"/>
                <c:pt idx="0">
                  <c:v>30251</c:v>
                </c:pt>
                <c:pt idx="1">
                  <c:v>19414.5</c:v>
                </c:pt>
                <c:pt idx="2">
                  <c:v>15186.5</c:v>
                </c:pt>
                <c:pt idx="3">
                  <c:v>9115</c:v>
                </c:pt>
                <c:pt idx="4">
                  <c:v>7991</c:v>
                </c:pt>
                <c:pt idx="5">
                  <c:v>6881.25</c:v>
                </c:pt>
                <c:pt idx="6">
                  <c:v>6515.5</c:v>
                </c:pt>
                <c:pt idx="7">
                  <c:v>3010</c:v>
                </c:pt>
                <c:pt idx="8">
                  <c:v>2256.25</c:v>
                </c:pt>
                <c:pt idx="9">
                  <c:v>1837.5</c:v>
                </c:pt>
                <c:pt idx="10">
                  <c:v>1305</c:v>
                </c:pt>
                <c:pt idx="11">
                  <c:v>662.5</c:v>
                </c:pt>
              </c:numCache>
            </c:numRef>
          </c:val>
          <c:extLst>
            <c:ext xmlns:c16="http://schemas.microsoft.com/office/drawing/2014/chart" uri="{C3380CC4-5D6E-409C-BE32-E72D297353CC}">
              <c16:uniqueId val="{00000001-94E8-41F1-BD97-3D1B4A9FF0C8}"/>
            </c:ext>
          </c:extLst>
        </c:ser>
        <c:dLbls>
          <c:showLegendKey val="0"/>
          <c:showVal val="0"/>
          <c:showCatName val="0"/>
          <c:showSerName val="0"/>
          <c:showPercent val="0"/>
          <c:showBubbleSize val="0"/>
        </c:dLbls>
        <c:gapWidth val="150"/>
        <c:axId val="907014303"/>
        <c:axId val="910819087"/>
      </c:barChart>
      <c:catAx>
        <c:axId val="907014303"/>
        <c:scaling>
          <c:orientation val="minMax"/>
        </c:scaling>
        <c:delete val="0"/>
        <c:axPos val="r"/>
        <c:numFmt formatCode="General" sourceLinked="1"/>
        <c:majorTickMark val="out"/>
        <c:minorTickMark val="none"/>
        <c:tickLblPos val="nextTo"/>
        <c:crossAx val="910819087"/>
        <c:crosses val="autoZero"/>
        <c:auto val="1"/>
        <c:lblAlgn val="ctr"/>
        <c:lblOffset val="100"/>
        <c:noMultiLvlLbl val="0"/>
      </c:catAx>
      <c:valAx>
        <c:axId val="910819087"/>
        <c:scaling>
          <c:orientation val="maxMin"/>
        </c:scaling>
        <c:delete val="0"/>
        <c:axPos val="b"/>
        <c:majorGridlines/>
        <c:numFmt formatCode="#,##0" sourceLinked="1"/>
        <c:majorTickMark val="out"/>
        <c:minorTickMark val="none"/>
        <c:tickLblPos val="nextTo"/>
        <c:crossAx val="907014303"/>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he-IL"/>
              <a:t>שיעור רווח גולמי לפי לקוח - אוגוסט</a:t>
            </a:r>
          </a:p>
        </c:rich>
      </c:tx>
      <c:overlay val="0"/>
    </c:title>
    <c:autoTitleDeleted val="0"/>
    <c:plotArea>
      <c:layout/>
      <c:barChart>
        <c:barDir val="bar"/>
        <c:grouping val="clustered"/>
        <c:varyColors val="0"/>
        <c:ser>
          <c:idx val="0"/>
          <c:order val="0"/>
          <c:tx>
            <c:strRef>
              <c:f>דשבורד!$D$15</c:f>
              <c:strCache>
                <c:ptCount val="1"/>
                <c:pt idx="0">
                  <c:v>שיעור</c:v>
                </c:pt>
              </c:strCache>
            </c:strRef>
          </c:tx>
          <c:invertIfNegative val="0"/>
          <c:cat>
            <c:strRef>
              <c:f>דשבורד!$A$16:$A$28</c:f>
              <c:strCache>
                <c:ptCount val="12"/>
                <c:pt idx="0">
                  <c:v>שלום ברגשטיין</c:v>
                </c:pt>
                <c:pt idx="1">
                  <c:v>רמא</c:v>
                </c:pt>
                <c:pt idx="2">
                  <c:v>אליעזר הקר אלומיניום</c:v>
                </c:pt>
                <c:pt idx="3">
                  <c:v>גרייטדור</c:v>
                </c:pt>
                <c:pt idx="4">
                  <c:v>ש.ח.נ כרמלי</c:v>
                </c:pt>
                <c:pt idx="5">
                  <c:v>אחמד מצודת השלום</c:v>
                </c:pt>
                <c:pt idx="6">
                  <c:v>אופיר קבלן</c:v>
                </c:pt>
                <c:pt idx="7">
                  <c:v>רוטנברג</c:v>
                </c:pt>
                <c:pt idx="8">
                  <c:v>שי רם חברה לבנייה</c:v>
                </c:pt>
                <c:pt idx="9">
                  <c:v>ארי שבט בנימין</c:v>
                </c:pt>
                <c:pt idx="10">
                  <c:v>אלי אביאלי</c:v>
                </c:pt>
                <c:pt idx="11">
                  <c:v>אסף תאגיד השידור</c:v>
                </c:pt>
              </c:strCache>
            </c:strRef>
          </c:cat>
          <c:val>
            <c:numRef>
              <c:f>דשבורד!$D$16:$D$28</c:f>
              <c:numCache>
                <c:formatCode>0.0%</c:formatCode>
                <c:ptCount val="13"/>
                <c:pt idx="0">
                  <c:v>0.22823192123429778</c:v>
                </c:pt>
                <c:pt idx="1">
                  <c:v>0.20447077409162717</c:v>
                </c:pt>
                <c:pt idx="2">
                  <c:v>0.21457435535146591</c:v>
                </c:pt>
                <c:pt idx="3">
                  <c:v>6.721976401179941E-2</c:v>
                </c:pt>
                <c:pt idx="4">
                  <c:v>0.12201862879828981</c:v>
                </c:pt>
                <c:pt idx="5">
                  <c:v>0.14543024103642493</c:v>
                </c:pt>
                <c:pt idx="6">
                  <c:v>0.11548721584614703</c:v>
                </c:pt>
                <c:pt idx="7">
                  <c:v>0.10260081126222859</c:v>
                </c:pt>
                <c:pt idx="8">
                  <c:v>0.16233766233766234</c:v>
                </c:pt>
                <c:pt idx="9">
                  <c:v>0.11309780267126239</c:v>
                </c:pt>
                <c:pt idx="10">
                  <c:v>9.7826086956521743E-2</c:v>
                </c:pt>
                <c:pt idx="11">
                  <c:v>0.10122230710466004</c:v>
                </c:pt>
              </c:numCache>
            </c:numRef>
          </c:val>
          <c:extLst>
            <c:ext xmlns:c16="http://schemas.microsoft.com/office/drawing/2014/chart" uri="{C3380CC4-5D6E-409C-BE32-E72D297353CC}">
              <c16:uniqueId val="{00000001-1ABF-464F-95A6-1FE4572E3352}"/>
            </c:ext>
          </c:extLst>
        </c:ser>
        <c:dLbls>
          <c:showLegendKey val="0"/>
          <c:showVal val="0"/>
          <c:showCatName val="0"/>
          <c:showSerName val="0"/>
          <c:showPercent val="0"/>
          <c:showBubbleSize val="0"/>
        </c:dLbls>
        <c:gapWidth val="150"/>
        <c:axId val="863103119"/>
        <c:axId val="910771567"/>
      </c:barChart>
      <c:catAx>
        <c:axId val="863103119"/>
        <c:scaling>
          <c:orientation val="minMax"/>
        </c:scaling>
        <c:delete val="0"/>
        <c:axPos val="r"/>
        <c:numFmt formatCode="General" sourceLinked="1"/>
        <c:majorTickMark val="out"/>
        <c:minorTickMark val="none"/>
        <c:tickLblPos val="nextTo"/>
        <c:crossAx val="910771567"/>
        <c:crosses val="autoZero"/>
        <c:auto val="1"/>
        <c:lblAlgn val="ctr"/>
        <c:lblOffset val="100"/>
        <c:noMultiLvlLbl val="0"/>
      </c:catAx>
      <c:valAx>
        <c:axId val="910771567"/>
        <c:scaling>
          <c:orientation val="maxMin"/>
        </c:scaling>
        <c:delete val="0"/>
        <c:axPos val="b"/>
        <c:majorGridlines/>
        <c:numFmt formatCode="0.0%" sourceLinked="1"/>
        <c:majorTickMark val="out"/>
        <c:minorTickMark val="none"/>
        <c:tickLblPos val="nextTo"/>
        <c:crossAx val="863103119"/>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635000</xdr:colOff>
      <xdr:row>1</xdr:row>
      <xdr:rowOff>73025</xdr:rowOff>
    </xdr:from>
    <xdr:to>
      <xdr:col>13</xdr:col>
      <xdr:colOff>482600</xdr:colOff>
      <xdr:row>18</xdr:row>
      <xdr:rowOff>44450</xdr:rowOff>
    </xdr:to>
    <xdr:graphicFrame macro="">
      <xdr:nvGraphicFramePr>
        <xdr:cNvPr id="2" name="תרשים 1">
          <a:extLst>
            <a:ext uri="{FF2B5EF4-FFF2-40B4-BE49-F238E27FC236}">
              <a16:creationId xmlns:a16="http://schemas.microsoft.com/office/drawing/2014/main" id="{11FB7663-9CE0-8768-2A33-9D191F1D91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635000</xdr:colOff>
      <xdr:row>18</xdr:row>
      <xdr:rowOff>171450</xdr:rowOff>
    </xdr:from>
    <xdr:to>
      <xdr:col>13</xdr:col>
      <xdr:colOff>482600</xdr:colOff>
      <xdr:row>40</xdr:row>
      <xdr:rowOff>0</xdr:rowOff>
    </xdr:to>
    <xdr:graphicFrame macro="">
      <xdr:nvGraphicFramePr>
        <xdr:cNvPr id="3" name="תרשים 2">
          <a:extLst>
            <a:ext uri="{FF2B5EF4-FFF2-40B4-BE49-F238E27FC236}">
              <a16:creationId xmlns:a16="http://schemas.microsoft.com/office/drawing/2014/main" id="{AC5F0E2E-2BF8-86B8-5E83-EE18867A8E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50800</xdr:colOff>
      <xdr:row>18</xdr:row>
      <xdr:rowOff>171450</xdr:rowOff>
    </xdr:from>
    <xdr:to>
      <xdr:col>21</xdr:col>
      <xdr:colOff>584200</xdr:colOff>
      <xdr:row>40</xdr:row>
      <xdr:rowOff>0</xdr:rowOff>
    </xdr:to>
    <xdr:graphicFrame macro="">
      <xdr:nvGraphicFramePr>
        <xdr:cNvPr id="4" name="תרשים 3">
          <a:extLst>
            <a:ext uri="{FF2B5EF4-FFF2-40B4-BE49-F238E27FC236}">
              <a16:creationId xmlns:a16="http://schemas.microsoft.com/office/drawing/2014/main" id="{E523F6FC-2A4A-ED1F-6F44-221E790316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53F00-812C-42A6-892A-40EEF3B24C21}">
  <sheetPr>
    <tabColor rgb="FF806000"/>
  </sheetPr>
  <dimension ref="A1:E30"/>
  <sheetViews>
    <sheetView showGridLines="0" rightToLeft="1" workbookViewId="0">
      <selection activeCell="E3" sqref="E3:E12"/>
    </sheetView>
  </sheetViews>
  <sheetFormatPr defaultRowHeight="14.25" x14ac:dyDescent="0.2"/>
  <cols>
    <col min="1" max="1" width="30.625" customWidth="1"/>
    <col min="2" max="5" width="15.625" customWidth="1"/>
  </cols>
  <sheetData>
    <row r="1" spans="1:5" ht="30" customHeight="1" x14ac:dyDescent="0.3">
      <c r="A1" s="74" t="s">
        <v>376</v>
      </c>
      <c r="B1" s="45"/>
      <c r="C1" s="45"/>
      <c r="D1" s="45"/>
    </row>
    <row r="2" spans="1:5" ht="15" x14ac:dyDescent="0.2">
      <c r="A2" s="46"/>
      <c r="B2" s="46"/>
      <c r="C2" s="46"/>
      <c r="D2" s="46"/>
    </row>
    <row r="3" spans="1:5" ht="15.75" x14ac:dyDescent="0.25">
      <c r="A3" s="73" t="s">
        <v>272</v>
      </c>
      <c r="B3" s="73" t="s">
        <v>273</v>
      </c>
      <c r="C3" s="73" t="s">
        <v>274</v>
      </c>
      <c r="D3" s="73" t="s">
        <v>275</v>
      </c>
      <c r="E3" s="73" t="s">
        <v>377</v>
      </c>
    </row>
    <row r="4" spans="1:5" ht="15" x14ac:dyDescent="0.2">
      <c r="A4" s="47" t="s">
        <v>276</v>
      </c>
      <c r="B4" s="75">
        <f>'עובדים זרים - יוני'!B3</f>
        <v>707644.75</v>
      </c>
      <c r="C4" s="75">
        <f>'עובדים זרים - יולי'!B3</f>
        <v>971024.5</v>
      </c>
      <c r="D4" s="75">
        <f>'עובדים זרים - אוגוסט'!B3</f>
        <v>1047144.5</v>
      </c>
      <c r="E4" s="75">
        <f>'עובדים זרים - ספטמבר'!B3</f>
        <v>682461.5</v>
      </c>
    </row>
    <row r="5" spans="1:5" ht="15" x14ac:dyDescent="0.2">
      <c r="A5" s="47" t="s">
        <v>277</v>
      </c>
      <c r="B5" s="75">
        <f>'עובדים זרים - יוני'!B4</f>
        <v>590480</v>
      </c>
      <c r="C5" s="75">
        <f>'עובדים זרים - יולי'!B4</f>
        <v>795551.25</v>
      </c>
      <c r="D5" s="75">
        <f>'עובדים זרים - אוגוסט'!B4</f>
        <v>881166</v>
      </c>
      <c r="E5" s="75">
        <f>'עובדים זרים - ספטמבר'!B4</f>
        <v>569835.5</v>
      </c>
    </row>
    <row r="6" spans="1:5" ht="15" x14ac:dyDescent="0.2">
      <c r="A6" s="47" t="s">
        <v>278</v>
      </c>
      <c r="B6" s="75">
        <f>'עובדים זרים - יוני'!B5</f>
        <v>117164.75</v>
      </c>
      <c r="C6" s="75">
        <f>'עובדים זרים - יולי'!B5</f>
        <v>175473.25</v>
      </c>
      <c r="D6" s="75">
        <f>'עובדים זרים - אוגוסט'!B5</f>
        <v>165978.5</v>
      </c>
      <c r="E6" s="75">
        <f>'עובדים זרים - ספטמבר'!B5</f>
        <v>112626</v>
      </c>
    </row>
    <row r="7" spans="1:5" ht="15.75" x14ac:dyDescent="0.25">
      <c r="A7" s="49" t="s">
        <v>186</v>
      </c>
      <c r="B7" s="51">
        <f>B6/B4</f>
        <v>0.16557001235436283</v>
      </c>
      <c r="C7" s="51">
        <f>C6/C4</f>
        <v>0.18070939507705522</v>
      </c>
      <c r="D7" s="51">
        <f>D6/D4</f>
        <v>0.15850582226235252</v>
      </c>
      <c r="E7" s="51">
        <f>E6/E4</f>
        <v>0.16502908955303705</v>
      </c>
    </row>
    <row r="8" spans="1:5" ht="15" x14ac:dyDescent="0.2">
      <c r="A8" s="47" t="s">
        <v>279</v>
      </c>
      <c r="B8" s="75">
        <f>'דירות - יוני'!J14</f>
        <v>32365</v>
      </c>
      <c r="C8" s="75">
        <f>'דירות - שירותי קרקע'!J15</f>
        <v>40369.990000000005</v>
      </c>
      <c r="D8" s="75">
        <f>'דירות - אוגוסט'!J15</f>
        <v>37577.79</v>
      </c>
      <c r="E8" s="75">
        <f>'דירות - ספטמבר'!J15</f>
        <v>26829.989999999998</v>
      </c>
    </row>
    <row r="9" spans="1:5" ht="15.75" x14ac:dyDescent="0.25">
      <c r="A9" s="49" t="s">
        <v>122</v>
      </c>
      <c r="B9" s="76">
        <f>B6+B8</f>
        <v>149529.75</v>
      </c>
      <c r="C9" s="76">
        <f>C6+C8</f>
        <v>215843.24</v>
      </c>
      <c r="D9" s="76">
        <f>D6+D8</f>
        <v>203556.29</v>
      </c>
      <c r="E9" s="76">
        <f>E6+E8</f>
        <v>139455.99</v>
      </c>
    </row>
    <row r="10" spans="1:5" ht="15" x14ac:dyDescent="0.2">
      <c r="A10" s="47" t="s">
        <v>280</v>
      </c>
      <c r="B10" s="75">
        <f>'השוואה חודשית'!B37</f>
        <v>9626</v>
      </c>
      <c r="C10" s="75">
        <f>'השוואה חודשית'!C37</f>
        <v>8326</v>
      </c>
      <c r="D10" s="75">
        <f>'השוואה חודשית'!D37</f>
        <v>15070</v>
      </c>
      <c r="E10" s="75">
        <f>'השוואה חודשית'!E37</f>
        <v>17114</v>
      </c>
    </row>
    <row r="11" spans="1:5" ht="15" x14ac:dyDescent="0.2">
      <c r="A11" s="47" t="s">
        <v>281</v>
      </c>
      <c r="B11" s="75">
        <f>'השוואה חודשית'!B38</f>
        <v>79567.48</v>
      </c>
      <c r="C11" s="75">
        <f>'השוואה חודשית'!C38</f>
        <v>68946.565000000002</v>
      </c>
      <c r="D11" s="75">
        <f>'השוואה חודשית'!D38</f>
        <v>34801.86</v>
      </c>
      <c r="E11" s="75">
        <f>'השוואה חודשית'!E38</f>
        <v>3127</v>
      </c>
    </row>
    <row r="12" spans="1:5" ht="15.75" x14ac:dyDescent="0.25">
      <c r="A12" s="49" t="s">
        <v>206</v>
      </c>
      <c r="B12" s="76">
        <f>'השוואה חודשית'!B39</f>
        <v>60336.270000000004</v>
      </c>
      <c r="C12" s="76">
        <f>'השוואה חודשית'!C39</f>
        <v>138570.67499999999</v>
      </c>
      <c r="D12" s="76">
        <f>'השוואה חודשית'!D39</f>
        <v>153684.43</v>
      </c>
      <c r="E12" s="76">
        <f>'השוואה חודשית'!E39</f>
        <v>119214.98999999999</v>
      </c>
    </row>
    <row r="13" spans="1:5" ht="15" x14ac:dyDescent="0.2">
      <c r="A13" s="46"/>
      <c r="B13" s="46"/>
      <c r="C13" s="46"/>
      <c r="D13" s="46"/>
    </row>
    <row r="14" spans="1:5" ht="15.75" x14ac:dyDescent="0.25">
      <c r="A14" s="52" t="s">
        <v>378</v>
      </c>
      <c r="B14" s="46"/>
      <c r="C14" s="46"/>
      <c r="D14" s="46"/>
    </row>
    <row r="15" spans="1:5" ht="15.75" x14ac:dyDescent="0.25">
      <c r="A15" s="73" t="s">
        <v>5</v>
      </c>
      <c r="B15" s="73" t="s">
        <v>282</v>
      </c>
      <c r="C15" s="73" t="s">
        <v>185</v>
      </c>
      <c r="D15" s="73" t="s">
        <v>137</v>
      </c>
    </row>
    <row r="16" spans="1:5" ht="15" x14ac:dyDescent="0.2">
      <c r="A16" s="47" t="s">
        <v>138</v>
      </c>
      <c r="B16" s="75">
        <f>'סיכום מאוחד'!C74</f>
        <v>132545</v>
      </c>
      <c r="C16" s="75">
        <f>'סיכום מאוחד'!F74</f>
        <v>30251</v>
      </c>
      <c r="D16" s="72">
        <f>'סיכום מאוחד'!G74</f>
        <v>0.22823192123429778</v>
      </c>
    </row>
    <row r="17" spans="1:4" ht="15" x14ac:dyDescent="0.2">
      <c r="A17" s="47" t="s">
        <v>134</v>
      </c>
      <c r="B17" s="75">
        <f>'סיכום מאוחד'!C76</f>
        <v>94950</v>
      </c>
      <c r="C17" s="75">
        <f>'סיכום מאוחד'!F76</f>
        <v>19414.5</v>
      </c>
      <c r="D17" s="72">
        <f>'סיכום מאוחד'!G76</f>
        <v>0.20447077409162717</v>
      </c>
    </row>
    <row r="18" spans="1:4" ht="15" x14ac:dyDescent="0.2">
      <c r="A18" s="47" t="s">
        <v>86</v>
      </c>
      <c r="B18" s="75">
        <f>'סיכום מאוחד'!C77</f>
        <v>70775</v>
      </c>
      <c r="C18" s="75">
        <f>'סיכום מאוחד'!F77</f>
        <v>15186.5</v>
      </c>
      <c r="D18" s="72">
        <f>'סיכום מאוחד'!G77</f>
        <v>0.21457435535146591</v>
      </c>
    </row>
    <row r="19" spans="1:4" ht="15" x14ac:dyDescent="0.2">
      <c r="A19" s="47" t="s">
        <v>84</v>
      </c>
      <c r="B19" s="75">
        <f>'סיכום מאוחד'!C75</f>
        <v>135600</v>
      </c>
      <c r="C19" s="75">
        <f>'סיכום מאוחד'!F75</f>
        <v>9115</v>
      </c>
      <c r="D19" s="72">
        <f>'סיכום מאוחד'!G75</f>
        <v>6.721976401179941E-2</v>
      </c>
    </row>
    <row r="20" spans="1:4" ht="15" x14ac:dyDescent="0.2">
      <c r="A20" s="47" t="s">
        <v>149</v>
      </c>
      <c r="B20" s="75">
        <f>'סיכום מאוחד'!C78</f>
        <v>65490</v>
      </c>
      <c r="C20" s="75">
        <f>'סיכום מאוחד'!F78</f>
        <v>7991</v>
      </c>
      <c r="D20" s="72">
        <f>'סיכום מאוחד'!G78</f>
        <v>0.12201862879828981</v>
      </c>
    </row>
    <row r="21" spans="1:4" ht="15" x14ac:dyDescent="0.2">
      <c r="A21" s="47" t="s">
        <v>64</v>
      </c>
      <c r="B21" s="75">
        <f>'סיכום מאוחד'!C80</f>
        <v>47316.5</v>
      </c>
      <c r="C21" s="75">
        <f>'סיכום מאוחד'!F80</f>
        <v>6881.25</v>
      </c>
      <c r="D21" s="72">
        <f>'סיכום מאוחד'!G80</f>
        <v>0.14543024103642493</v>
      </c>
    </row>
    <row r="22" spans="1:4" ht="15" x14ac:dyDescent="0.2">
      <c r="A22" s="47" t="s">
        <v>48</v>
      </c>
      <c r="B22" s="75">
        <f>'סיכום מאוחד'!C79</f>
        <v>56417.5</v>
      </c>
      <c r="C22" s="75">
        <f>'סיכום מאוחד'!F79</f>
        <v>6515.5</v>
      </c>
      <c r="D22" s="72">
        <f>'סיכום מאוחד'!G79</f>
        <v>0.11548721584614703</v>
      </c>
    </row>
    <row r="23" spans="1:4" ht="15" x14ac:dyDescent="0.2">
      <c r="A23" s="47" t="s">
        <v>120</v>
      </c>
      <c r="B23" s="75">
        <f>'סיכום מאוחד'!C81</f>
        <v>29337</v>
      </c>
      <c r="C23" s="75">
        <f>'סיכום מאוחד'!F81</f>
        <v>3010</v>
      </c>
      <c r="D23" s="72">
        <f>'סיכום מאוחד'!G81</f>
        <v>0.10260081126222859</v>
      </c>
    </row>
    <row r="24" spans="1:4" ht="15" x14ac:dyDescent="0.2">
      <c r="A24" s="47" t="s">
        <v>157</v>
      </c>
      <c r="B24" s="75">
        <f>'סיכום מאוחד'!C83</f>
        <v>13898.5</v>
      </c>
      <c r="C24" s="75">
        <f>'סיכום מאוחד'!F83</f>
        <v>2256.25</v>
      </c>
      <c r="D24" s="72">
        <f>'סיכום מאוחד'!G83</f>
        <v>0.16233766233766234</v>
      </c>
    </row>
    <row r="25" spans="1:4" ht="15" x14ac:dyDescent="0.2">
      <c r="A25" s="47" t="s">
        <v>233</v>
      </c>
      <c r="B25" s="75">
        <f>'סיכום מאוחד'!C82</f>
        <v>16247</v>
      </c>
      <c r="C25" s="75">
        <f>'סיכום מאוחד'!F82</f>
        <v>1837.5</v>
      </c>
      <c r="D25" s="72">
        <f>'סיכום מאוחד'!G82</f>
        <v>0.11309780267126239</v>
      </c>
    </row>
    <row r="26" spans="1:4" ht="15" x14ac:dyDescent="0.2">
      <c r="A26" s="47" t="s">
        <v>77</v>
      </c>
      <c r="B26" s="75">
        <f>'סיכום מאוחד'!C84</f>
        <v>13340</v>
      </c>
      <c r="C26" s="75">
        <f>'סיכום מאוחד'!F84</f>
        <v>1305</v>
      </c>
      <c r="D26" s="72">
        <f>'סיכום מאוחד'!G84</f>
        <v>9.7826086956521743E-2</v>
      </c>
    </row>
    <row r="27" spans="1:4" ht="15" x14ac:dyDescent="0.2">
      <c r="A27" s="47" t="s">
        <v>81</v>
      </c>
      <c r="B27" s="75">
        <f>'סיכום מאוחד'!C85</f>
        <v>6545</v>
      </c>
      <c r="C27" s="75">
        <f>'סיכום מאוחד'!F85</f>
        <v>662.5</v>
      </c>
      <c r="D27" s="72">
        <f>'סיכום מאוחד'!G85</f>
        <v>0.10122230710466004</v>
      </c>
    </row>
    <row r="28" spans="1:4" ht="15" x14ac:dyDescent="0.2">
      <c r="A28" s="47"/>
      <c r="B28" s="75"/>
      <c r="C28" s="75"/>
      <c r="D28" s="72"/>
    </row>
    <row r="30" spans="1:4" x14ac:dyDescent="0.2">
      <c r="A30" s="67" t="s">
        <v>283</v>
      </c>
    </row>
  </sheetData>
  <sortState xmlns:xlrd2="http://schemas.microsoft.com/office/spreadsheetml/2017/richdata2" ref="A16:D28">
    <sortCondition descending="1" ref="C15"/>
  </sortState>
  <conditionalFormatting sqref="D16:D28">
    <cfRule type="cellIs" dxfId="20" priority="1" stopIfTrue="1" operator="lessThan">
      <formula>0.1</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C18CD-4462-425D-8E70-7A66D0307176}">
  <sheetPr>
    <tabColor rgb="FF1F3864"/>
  </sheetPr>
  <dimension ref="A1:O61"/>
  <sheetViews>
    <sheetView rightToLeft="1" topLeftCell="K1" workbookViewId="0">
      <selection activeCell="N9" sqref="N9:N58"/>
    </sheetView>
  </sheetViews>
  <sheetFormatPr defaultRowHeight="14.25" x14ac:dyDescent="0.2"/>
  <cols>
    <col min="1" max="1" width="22.625" customWidth="1"/>
    <col min="2" max="2" width="14.625" customWidth="1"/>
    <col min="3" max="5" width="13.625" customWidth="1"/>
    <col min="6" max="6" width="20.625" customWidth="1"/>
    <col min="7" max="10" width="13.625" customWidth="1"/>
    <col min="11" max="11" width="45.625" customWidth="1"/>
    <col min="12" max="12" width="13.625" customWidth="1"/>
    <col min="13" max="13" width="15.625" customWidth="1"/>
    <col min="14" max="15" width="14.625" customWidth="1"/>
  </cols>
  <sheetData>
    <row r="1" spans="1:15" ht="26.1" customHeight="1" x14ac:dyDescent="0.25">
      <c r="A1" s="41" t="s">
        <v>317</v>
      </c>
      <c r="B1" s="45"/>
      <c r="C1" s="45"/>
      <c r="D1" s="45"/>
      <c r="E1" s="45"/>
      <c r="F1" s="45"/>
      <c r="G1" s="45"/>
      <c r="H1" s="45"/>
      <c r="I1" s="45"/>
      <c r="J1" s="45"/>
      <c r="K1" s="45"/>
      <c r="L1" s="40"/>
      <c r="M1" s="40"/>
    </row>
    <row r="2" spans="1:15" ht="15" x14ac:dyDescent="0.2">
      <c r="A2" s="46"/>
      <c r="B2" s="46"/>
      <c r="C2" s="46"/>
      <c r="D2" s="46"/>
      <c r="E2" s="46"/>
      <c r="F2" s="46"/>
      <c r="G2" s="46"/>
      <c r="H2" s="46"/>
      <c r="I2" s="46"/>
      <c r="J2" s="46"/>
      <c r="K2" s="46"/>
    </row>
    <row r="3" spans="1:15" ht="15" x14ac:dyDescent="0.2">
      <c r="A3" s="47" t="s">
        <v>15</v>
      </c>
      <c r="B3" s="48">
        <f>SUM(H9:H58)</f>
        <v>682461.5</v>
      </c>
      <c r="C3" s="46"/>
      <c r="D3" s="46"/>
      <c r="E3" s="46"/>
      <c r="F3" s="46"/>
      <c r="G3" s="46"/>
      <c r="H3" s="46"/>
      <c r="I3" s="46"/>
      <c r="J3" s="46"/>
      <c r="K3" s="46"/>
    </row>
    <row r="4" spans="1:15" ht="15" x14ac:dyDescent="0.2">
      <c r="A4" s="47" t="s">
        <v>21</v>
      </c>
      <c r="B4" s="48">
        <f>SUM(I9:I58)</f>
        <v>569835.5</v>
      </c>
      <c r="C4" s="46"/>
      <c r="D4" s="46"/>
      <c r="E4" s="46"/>
      <c r="F4" s="46"/>
      <c r="G4" s="46"/>
      <c r="H4" s="46"/>
      <c r="I4" s="46"/>
      <c r="J4" s="46"/>
      <c r="K4" s="46"/>
    </row>
    <row r="5" spans="1:15" ht="15.75" x14ac:dyDescent="0.25">
      <c r="A5" s="49" t="s">
        <v>25</v>
      </c>
      <c r="B5" s="50">
        <f>B3-B4</f>
        <v>112626</v>
      </c>
      <c r="C5" s="46"/>
      <c r="D5" s="46"/>
      <c r="E5" s="46"/>
      <c r="F5" s="46"/>
      <c r="G5" s="46"/>
      <c r="H5" s="46"/>
      <c r="I5" s="46"/>
      <c r="J5" s="46"/>
      <c r="K5" s="46"/>
    </row>
    <row r="6" spans="1:15" ht="15.75" x14ac:dyDescent="0.25">
      <c r="A6" s="49" t="s">
        <v>30</v>
      </c>
      <c r="B6" s="51">
        <f>B5/B3</f>
        <v>0.16502908955303705</v>
      </c>
      <c r="C6" s="46"/>
      <c r="D6" s="46"/>
      <c r="E6" s="46"/>
      <c r="F6" s="46"/>
      <c r="G6" s="46"/>
      <c r="H6" s="46"/>
      <c r="I6" s="46"/>
      <c r="J6" s="46"/>
      <c r="K6" s="46"/>
    </row>
    <row r="7" spans="1:15" ht="15.75" x14ac:dyDescent="0.25">
      <c r="A7" s="46"/>
      <c r="B7" s="46"/>
      <c r="C7" s="46"/>
      <c r="D7" s="52" t="s">
        <v>208</v>
      </c>
      <c r="E7" s="53">
        <v>230</v>
      </c>
      <c r="F7" s="52" t="s">
        <v>209</v>
      </c>
      <c r="G7" s="46"/>
      <c r="H7" s="46"/>
      <c r="I7" s="46"/>
      <c r="J7" s="46"/>
      <c r="K7" s="46"/>
    </row>
    <row r="8" spans="1:15" ht="47.25" x14ac:dyDescent="0.25">
      <c r="A8" s="54" t="s">
        <v>36</v>
      </c>
      <c r="B8" s="54" t="s">
        <v>37</v>
      </c>
      <c r="C8" s="54" t="s">
        <v>38</v>
      </c>
      <c r="D8" s="54" t="s">
        <v>40</v>
      </c>
      <c r="E8" s="54" t="s">
        <v>42</v>
      </c>
      <c r="F8" s="54" t="s">
        <v>44</v>
      </c>
      <c r="G8" s="54" t="s">
        <v>45</v>
      </c>
      <c r="H8" s="54" t="s">
        <v>8</v>
      </c>
      <c r="I8" s="54" t="s">
        <v>46</v>
      </c>
      <c r="J8" s="54" t="s">
        <v>25</v>
      </c>
      <c r="K8" s="54" t="s">
        <v>14</v>
      </c>
      <c r="L8" s="43" t="s">
        <v>241</v>
      </c>
      <c r="M8" s="43" t="s">
        <v>242</v>
      </c>
      <c r="N8" s="43" t="s">
        <v>318</v>
      </c>
      <c r="O8" s="43" t="s">
        <v>319</v>
      </c>
    </row>
    <row r="9" spans="1:15" ht="15" x14ac:dyDescent="0.2">
      <c r="A9" s="80" t="s">
        <v>134</v>
      </c>
      <c r="B9" s="80" t="s">
        <v>167</v>
      </c>
      <c r="C9" s="80">
        <v>195</v>
      </c>
      <c r="D9" s="48">
        <v>83</v>
      </c>
      <c r="E9" s="48">
        <v>105</v>
      </c>
      <c r="F9" s="47" t="s">
        <v>211</v>
      </c>
      <c r="G9" s="48">
        <v>1180</v>
      </c>
      <c r="H9" s="48">
        <f t="shared" ref="H9:H40" si="0">IF(C9="","",C9*E9)</f>
        <v>20475</v>
      </c>
      <c r="I9" s="48">
        <f t="shared" ref="I9:I40" si="1">IF(C9="","",C9*D9)</f>
        <v>16185</v>
      </c>
      <c r="J9" s="48">
        <f t="shared" ref="J9:J40" si="2">IF(C9="","",H9-I9)</f>
        <v>4290</v>
      </c>
      <c r="K9" s="55"/>
      <c r="L9" s="44"/>
      <c r="M9" s="44"/>
      <c r="N9" s="44"/>
      <c r="O9" s="44"/>
    </row>
    <row r="10" spans="1:15" ht="15" x14ac:dyDescent="0.2">
      <c r="A10" s="80" t="s">
        <v>134</v>
      </c>
      <c r="B10" s="80" t="s">
        <v>147</v>
      </c>
      <c r="C10" s="80">
        <v>193</v>
      </c>
      <c r="D10" s="48">
        <v>83</v>
      </c>
      <c r="E10" s="48">
        <v>100</v>
      </c>
      <c r="F10" s="47" t="s">
        <v>212</v>
      </c>
      <c r="G10" s="48">
        <v>0</v>
      </c>
      <c r="H10" s="48">
        <f t="shared" si="0"/>
        <v>19300</v>
      </c>
      <c r="I10" s="48">
        <f t="shared" si="1"/>
        <v>16019</v>
      </c>
      <c r="J10" s="48">
        <f t="shared" si="2"/>
        <v>3281</v>
      </c>
      <c r="K10" s="55"/>
      <c r="L10" s="44"/>
      <c r="M10" s="44"/>
      <c r="N10" s="44"/>
      <c r="O10" s="44"/>
    </row>
    <row r="11" spans="1:15" ht="15" x14ac:dyDescent="0.2">
      <c r="A11" s="80" t="s">
        <v>134</v>
      </c>
      <c r="B11" s="80" t="s">
        <v>142</v>
      </c>
      <c r="C11" s="80">
        <v>199</v>
      </c>
      <c r="D11" s="48">
        <v>75</v>
      </c>
      <c r="E11" s="48">
        <v>100</v>
      </c>
      <c r="F11" s="47" t="s">
        <v>212</v>
      </c>
      <c r="G11" s="48">
        <v>0</v>
      </c>
      <c r="H11" s="48">
        <f t="shared" si="0"/>
        <v>19900</v>
      </c>
      <c r="I11" s="48">
        <f t="shared" si="1"/>
        <v>14925</v>
      </c>
      <c r="J11" s="48">
        <f t="shared" si="2"/>
        <v>4975</v>
      </c>
      <c r="K11" s="55"/>
      <c r="L11" s="44"/>
      <c r="M11" s="44"/>
      <c r="N11" s="44"/>
      <c r="O11" s="44"/>
    </row>
    <row r="12" spans="1:15" ht="15" x14ac:dyDescent="0.2">
      <c r="A12" s="80" t="s">
        <v>134</v>
      </c>
      <c r="B12" s="80" t="s">
        <v>152</v>
      </c>
      <c r="C12" s="80">
        <v>201</v>
      </c>
      <c r="D12" s="48">
        <v>81.5</v>
      </c>
      <c r="E12" s="48">
        <v>100</v>
      </c>
      <c r="F12" s="47" t="s">
        <v>212</v>
      </c>
      <c r="G12" s="48">
        <v>0</v>
      </c>
      <c r="H12" s="48">
        <f t="shared" si="0"/>
        <v>20100</v>
      </c>
      <c r="I12" s="48">
        <f t="shared" si="1"/>
        <v>16381.5</v>
      </c>
      <c r="J12" s="48">
        <f t="shared" si="2"/>
        <v>3718.5</v>
      </c>
      <c r="K12" s="55"/>
      <c r="L12" s="44"/>
      <c r="M12" s="44"/>
      <c r="N12" s="44"/>
      <c r="O12" s="44"/>
    </row>
    <row r="13" spans="1:15" ht="15" x14ac:dyDescent="0.2">
      <c r="A13" s="80" t="s">
        <v>134</v>
      </c>
      <c r="B13" s="80" t="s">
        <v>146</v>
      </c>
      <c r="C13" s="80">
        <v>31</v>
      </c>
      <c r="D13" s="48">
        <v>80</v>
      </c>
      <c r="E13" s="48">
        <v>100</v>
      </c>
      <c r="F13" s="47" t="s">
        <v>212</v>
      </c>
      <c r="G13" s="48">
        <v>0</v>
      </c>
      <c r="H13" s="48">
        <f t="shared" si="0"/>
        <v>3100</v>
      </c>
      <c r="I13" s="48">
        <f t="shared" si="1"/>
        <v>2480</v>
      </c>
      <c r="J13" s="48">
        <f t="shared" si="2"/>
        <v>620</v>
      </c>
      <c r="K13" s="55"/>
      <c r="L13" s="44"/>
      <c r="M13" s="44"/>
      <c r="N13" s="44"/>
      <c r="O13" s="44"/>
    </row>
    <row r="14" spans="1:15" ht="15" x14ac:dyDescent="0.2">
      <c r="A14" s="80" t="s">
        <v>134</v>
      </c>
      <c r="B14" s="80" t="s">
        <v>136</v>
      </c>
      <c r="C14" s="80">
        <v>115</v>
      </c>
      <c r="D14" s="48">
        <v>83</v>
      </c>
      <c r="E14" s="48">
        <v>105</v>
      </c>
      <c r="F14" s="47" t="s">
        <v>211</v>
      </c>
      <c r="G14" s="48">
        <v>1180</v>
      </c>
      <c r="H14" s="48">
        <f t="shared" si="0"/>
        <v>12075</v>
      </c>
      <c r="I14" s="48">
        <f t="shared" si="1"/>
        <v>9545</v>
      </c>
      <c r="J14" s="48">
        <f t="shared" si="2"/>
        <v>2530</v>
      </c>
      <c r="K14" s="55"/>
      <c r="L14" s="44"/>
      <c r="M14" s="44"/>
      <c r="N14" s="44"/>
      <c r="O14" s="44"/>
    </row>
    <row r="15" spans="1:15" ht="15" x14ac:dyDescent="0.2">
      <c r="A15" s="80" t="s">
        <v>84</v>
      </c>
      <c r="B15" s="80" t="s">
        <v>92</v>
      </c>
      <c r="C15" s="80">
        <v>157.5</v>
      </c>
      <c r="D15" s="48">
        <v>70</v>
      </c>
      <c r="E15" s="48">
        <v>75</v>
      </c>
      <c r="F15" s="47" t="s">
        <v>213</v>
      </c>
      <c r="G15" s="48">
        <v>0</v>
      </c>
      <c r="H15" s="48">
        <f t="shared" si="0"/>
        <v>11812.5</v>
      </c>
      <c r="I15" s="48">
        <f t="shared" si="1"/>
        <v>11025</v>
      </c>
      <c r="J15" s="48">
        <f t="shared" si="2"/>
        <v>787.5</v>
      </c>
      <c r="K15" s="55"/>
      <c r="L15" s="44"/>
      <c r="M15" s="44"/>
      <c r="N15" s="44"/>
      <c r="O15" s="44"/>
    </row>
    <row r="16" spans="1:15" ht="15" x14ac:dyDescent="0.2">
      <c r="A16" s="80" t="s">
        <v>84</v>
      </c>
      <c r="B16" s="80" t="s">
        <v>85</v>
      </c>
      <c r="C16" s="80">
        <v>153.5</v>
      </c>
      <c r="D16" s="48">
        <v>70</v>
      </c>
      <c r="E16" s="48">
        <v>75</v>
      </c>
      <c r="F16" s="47" t="s">
        <v>213</v>
      </c>
      <c r="G16" s="48">
        <v>0</v>
      </c>
      <c r="H16" s="48">
        <f t="shared" si="0"/>
        <v>11512.5</v>
      </c>
      <c r="I16" s="48">
        <f t="shared" si="1"/>
        <v>10745</v>
      </c>
      <c r="J16" s="48">
        <f t="shared" si="2"/>
        <v>767.5</v>
      </c>
      <c r="K16" s="55"/>
      <c r="L16" s="44"/>
      <c r="M16" s="44"/>
      <c r="N16" s="44"/>
      <c r="O16" s="44"/>
    </row>
    <row r="17" spans="1:15" ht="15" x14ac:dyDescent="0.2">
      <c r="A17" s="80" t="s">
        <v>84</v>
      </c>
      <c r="B17" s="80" t="s">
        <v>94</v>
      </c>
      <c r="C17" s="80">
        <v>183</v>
      </c>
      <c r="D17" s="48">
        <v>70</v>
      </c>
      <c r="E17" s="48">
        <v>75</v>
      </c>
      <c r="F17" s="47" t="s">
        <v>213</v>
      </c>
      <c r="G17" s="48">
        <v>0</v>
      </c>
      <c r="H17" s="48">
        <f t="shared" si="0"/>
        <v>13725</v>
      </c>
      <c r="I17" s="48">
        <f t="shared" si="1"/>
        <v>12810</v>
      </c>
      <c r="J17" s="48">
        <f t="shared" si="2"/>
        <v>915</v>
      </c>
      <c r="K17" s="55"/>
      <c r="L17" s="44"/>
      <c r="M17" s="44"/>
      <c r="N17" s="44"/>
      <c r="O17" s="44"/>
    </row>
    <row r="18" spans="1:15" ht="15" x14ac:dyDescent="0.2">
      <c r="A18" s="80" t="s">
        <v>84</v>
      </c>
      <c r="B18" s="80" t="s">
        <v>93</v>
      </c>
      <c r="C18" s="80">
        <v>153.5</v>
      </c>
      <c r="D18" s="48">
        <v>70</v>
      </c>
      <c r="E18" s="48">
        <v>75</v>
      </c>
      <c r="F18" s="47" t="s">
        <v>213</v>
      </c>
      <c r="G18" s="48">
        <v>0</v>
      </c>
      <c r="H18" s="48">
        <f t="shared" si="0"/>
        <v>11512.5</v>
      </c>
      <c r="I18" s="48">
        <f t="shared" si="1"/>
        <v>10745</v>
      </c>
      <c r="J18" s="48">
        <f t="shared" si="2"/>
        <v>767.5</v>
      </c>
      <c r="K18" s="55"/>
      <c r="L18" s="44"/>
      <c r="M18" s="44"/>
      <c r="N18" s="44"/>
      <c r="O18" s="44"/>
    </row>
    <row r="19" spans="1:15" ht="15" x14ac:dyDescent="0.2">
      <c r="A19" s="80" t="s">
        <v>84</v>
      </c>
      <c r="B19" s="80" t="s">
        <v>90</v>
      </c>
      <c r="C19" s="80">
        <v>173.5</v>
      </c>
      <c r="D19" s="48">
        <v>70</v>
      </c>
      <c r="E19" s="48">
        <v>75</v>
      </c>
      <c r="F19" s="47" t="s">
        <v>213</v>
      </c>
      <c r="G19" s="48">
        <v>0</v>
      </c>
      <c r="H19" s="48">
        <f t="shared" si="0"/>
        <v>13012.5</v>
      </c>
      <c r="I19" s="48">
        <f t="shared" si="1"/>
        <v>12145</v>
      </c>
      <c r="J19" s="48">
        <f t="shared" si="2"/>
        <v>867.5</v>
      </c>
      <c r="K19" s="55"/>
      <c r="L19" s="44"/>
      <c r="M19" s="44"/>
      <c r="N19" s="44"/>
      <c r="O19" s="44"/>
    </row>
    <row r="20" spans="1:15" ht="15" x14ac:dyDescent="0.2">
      <c r="A20" s="80" t="s">
        <v>84</v>
      </c>
      <c r="B20" s="80" t="s">
        <v>88</v>
      </c>
      <c r="C20" s="80">
        <v>164.5</v>
      </c>
      <c r="D20" s="48">
        <v>70</v>
      </c>
      <c r="E20" s="48">
        <v>75</v>
      </c>
      <c r="F20" s="47" t="s">
        <v>213</v>
      </c>
      <c r="G20" s="48">
        <v>0</v>
      </c>
      <c r="H20" s="48">
        <f t="shared" si="0"/>
        <v>12337.5</v>
      </c>
      <c r="I20" s="48">
        <f t="shared" si="1"/>
        <v>11515</v>
      </c>
      <c r="J20" s="48">
        <f t="shared" si="2"/>
        <v>822.5</v>
      </c>
      <c r="K20" s="55"/>
      <c r="L20" s="44"/>
      <c r="M20" s="44"/>
      <c r="N20" s="44"/>
      <c r="O20" s="44"/>
    </row>
    <row r="21" spans="1:15" ht="15" x14ac:dyDescent="0.2">
      <c r="A21" s="80" t="s">
        <v>84</v>
      </c>
      <c r="B21" s="80" t="s">
        <v>128</v>
      </c>
      <c r="C21" s="80">
        <v>68</v>
      </c>
      <c r="D21" s="48">
        <v>70</v>
      </c>
      <c r="E21" s="48">
        <v>75</v>
      </c>
      <c r="F21" s="47" t="s">
        <v>213</v>
      </c>
      <c r="G21" s="48">
        <v>0</v>
      </c>
      <c r="H21" s="48">
        <f t="shared" si="0"/>
        <v>5100</v>
      </c>
      <c r="I21" s="48">
        <f t="shared" si="1"/>
        <v>4760</v>
      </c>
      <c r="J21" s="48">
        <f t="shared" si="2"/>
        <v>340</v>
      </c>
      <c r="K21" s="55" t="s">
        <v>320</v>
      </c>
      <c r="L21" s="44"/>
      <c r="M21" s="44"/>
      <c r="N21" s="44">
        <v>1.5</v>
      </c>
      <c r="O21" s="44">
        <f t="shared" ref="O21:O26" si="3">IF(C21="","",C21*N21)</f>
        <v>102</v>
      </c>
    </row>
    <row r="22" spans="1:15" ht="15" x14ac:dyDescent="0.2">
      <c r="A22" s="80" t="s">
        <v>84</v>
      </c>
      <c r="B22" s="80" t="s">
        <v>112</v>
      </c>
      <c r="C22" s="80">
        <v>85</v>
      </c>
      <c r="D22" s="48">
        <v>70</v>
      </c>
      <c r="E22" s="48">
        <v>75</v>
      </c>
      <c r="F22" s="47" t="s">
        <v>213</v>
      </c>
      <c r="G22" s="48">
        <v>0</v>
      </c>
      <c r="H22" s="48">
        <f t="shared" si="0"/>
        <v>6375</v>
      </c>
      <c r="I22" s="48">
        <f t="shared" si="1"/>
        <v>5950</v>
      </c>
      <c r="J22" s="48">
        <f t="shared" si="2"/>
        <v>425</v>
      </c>
      <c r="K22" s="55" t="s">
        <v>320</v>
      </c>
      <c r="L22" s="44"/>
      <c r="M22" s="44"/>
      <c r="N22" s="44">
        <v>1.5</v>
      </c>
      <c r="O22" s="44">
        <f t="shared" si="3"/>
        <v>127.5</v>
      </c>
    </row>
    <row r="23" spans="1:15" ht="15" x14ac:dyDescent="0.2">
      <c r="A23" s="80" t="s">
        <v>84</v>
      </c>
      <c r="B23" s="80" t="s">
        <v>214</v>
      </c>
      <c r="C23" s="80">
        <v>166</v>
      </c>
      <c r="D23" s="48">
        <v>68</v>
      </c>
      <c r="E23" s="48">
        <v>75</v>
      </c>
      <c r="F23" s="47" t="s">
        <v>215</v>
      </c>
      <c r="G23" s="48">
        <v>0</v>
      </c>
      <c r="H23" s="48">
        <f t="shared" si="0"/>
        <v>12450</v>
      </c>
      <c r="I23" s="48">
        <f t="shared" si="1"/>
        <v>11288</v>
      </c>
      <c r="J23" s="48">
        <f t="shared" si="2"/>
        <v>1162</v>
      </c>
      <c r="K23" s="55" t="s">
        <v>321</v>
      </c>
      <c r="L23" s="44"/>
      <c r="M23" s="44"/>
      <c r="N23" s="44">
        <v>1.5</v>
      </c>
      <c r="O23" s="44">
        <f t="shared" si="3"/>
        <v>249</v>
      </c>
    </row>
    <row r="24" spans="1:15" ht="15" x14ac:dyDescent="0.2">
      <c r="A24" s="80" t="s">
        <v>84</v>
      </c>
      <c r="B24" s="80" t="s">
        <v>216</v>
      </c>
      <c r="C24" s="80">
        <v>187.5</v>
      </c>
      <c r="D24" s="48">
        <v>68</v>
      </c>
      <c r="E24" s="48">
        <v>75</v>
      </c>
      <c r="F24" s="47" t="s">
        <v>215</v>
      </c>
      <c r="G24" s="48">
        <v>0</v>
      </c>
      <c r="H24" s="48">
        <f t="shared" si="0"/>
        <v>14062.5</v>
      </c>
      <c r="I24" s="48">
        <f t="shared" si="1"/>
        <v>12750</v>
      </c>
      <c r="J24" s="48">
        <f t="shared" si="2"/>
        <v>1312.5</v>
      </c>
      <c r="K24" s="55" t="s">
        <v>321</v>
      </c>
      <c r="L24" s="44"/>
      <c r="M24" s="44"/>
      <c r="N24" s="44">
        <v>1.5</v>
      </c>
      <c r="O24" s="44">
        <f t="shared" si="3"/>
        <v>281.25</v>
      </c>
    </row>
    <row r="25" spans="1:15" ht="15" x14ac:dyDescent="0.2">
      <c r="A25" s="80" t="s">
        <v>84</v>
      </c>
      <c r="B25" s="80" t="s">
        <v>219</v>
      </c>
      <c r="C25" s="80">
        <v>157</v>
      </c>
      <c r="D25" s="48">
        <v>72</v>
      </c>
      <c r="E25" s="48">
        <v>75</v>
      </c>
      <c r="F25" s="47" t="s">
        <v>215</v>
      </c>
      <c r="G25" s="48">
        <v>0</v>
      </c>
      <c r="H25" s="48">
        <f t="shared" si="0"/>
        <v>11775</v>
      </c>
      <c r="I25" s="48">
        <f t="shared" si="1"/>
        <v>11304</v>
      </c>
      <c r="J25" s="48">
        <f t="shared" si="2"/>
        <v>471</v>
      </c>
      <c r="K25" s="55" t="s">
        <v>322</v>
      </c>
      <c r="L25" s="44"/>
      <c r="M25" s="44"/>
      <c r="N25" s="44">
        <v>1.5</v>
      </c>
      <c r="O25" s="44">
        <f t="shared" si="3"/>
        <v>235.5</v>
      </c>
    </row>
    <row r="26" spans="1:15" ht="15" x14ac:dyDescent="0.2">
      <c r="A26" s="80" t="s">
        <v>84</v>
      </c>
      <c r="B26" s="80" t="s">
        <v>220</v>
      </c>
      <c r="C26" s="80">
        <v>159</v>
      </c>
      <c r="D26" s="48">
        <v>72</v>
      </c>
      <c r="E26" s="48">
        <v>75</v>
      </c>
      <c r="F26" s="47" t="s">
        <v>215</v>
      </c>
      <c r="G26" s="48">
        <v>0</v>
      </c>
      <c r="H26" s="48">
        <f t="shared" si="0"/>
        <v>11925</v>
      </c>
      <c r="I26" s="48">
        <f t="shared" si="1"/>
        <v>11448</v>
      </c>
      <c r="J26" s="48">
        <f t="shared" si="2"/>
        <v>477</v>
      </c>
      <c r="K26" s="55" t="s">
        <v>322</v>
      </c>
      <c r="L26" s="44"/>
      <c r="M26" s="44"/>
      <c r="N26" s="44">
        <v>1.5</v>
      </c>
      <c r="O26" s="44">
        <f t="shared" si="3"/>
        <v>238.5</v>
      </c>
    </row>
    <row r="27" spans="1:15" ht="15" x14ac:dyDescent="0.2">
      <c r="A27" s="80" t="s">
        <v>138</v>
      </c>
      <c r="B27" s="80" t="s">
        <v>165</v>
      </c>
      <c r="C27" s="80">
        <v>160</v>
      </c>
      <c r="D27" s="48">
        <v>70</v>
      </c>
      <c r="E27" s="48">
        <v>73</v>
      </c>
      <c r="F27" s="47" t="s">
        <v>221</v>
      </c>
      <c r="G27" s="48">
        <v>0</v>
      </c>
      <c r="H27" s="48">
        <f t="shared" si="0"/>
        <v>11680</v>
      </c>
      <c r="I27" s="48">
        <f t="shared" si="1"/>
        <v>11200</v>
      </c>
      <c r="J27" s="48">
        <f t="shared" si="2"/>
        <v>480</v>
      </c>
      <c r="K27" s="55"/>
      <c r="L27" s="44"/>
      <c r="M27" s="44"/>
      <c r="N27" s="44"/>
      <c r="O27" s="44"/>
    </row>
    <row r="28" spans="1:15" ht="15" x14ac:dyDescent="0.2">
      <c r="A28" s="80" t="s">
        <v>138</v>
      </c>
      <c r="B28" s="80" t="s">
        <v>93</v>
      </c>
      <c r="C28" s="80">
        <v>160</v>
      </c>
      <c r="D28" s="48">
        <v>70</v>
      </c>
      <c r="E28" s="48">
        <v>73</v>
      </c>
      <c r="F28" s="47" t="s">
        <v>221</v>
      </c>
      <c r="G28" s="48">
        <v>0</v>
      </c>
      <c r="H28" s="48">
        <f t="shared" si="0"/>
        <v>11680</v>
      </c>
      <c r="I28" s="48">
        <f t="shared" si="1"/>
        <v>11200</v>
      </c>
      <c r="J28" s="48">
        <f t="shared" si="2"/>
        <v>480</v>
      </c>
      <c r="K28" s="55"/>
      <c r="L28" s="44"/>
      <c r="M28" s="44"/>
      <c r="N28" s="44"/>
      <c r="O28" s="44"/>
    </row>
    <row r="29" spans="1:15" ht="15" x14ac:dyDescent="0.2">
      <c r="A29" s="80" t="s">
        <v>138</v>
      </c>
      <c r="B29" s="80" t="s">
        <v>166</v>
      </c>
      <c r="C29" s="80">
        <v>34.5</v>
      </c>
      <c r="D29" s="48">
        <v>73</v>
      </c>
      <c r="E29" s="48">
        <v>90</v>
      </c>
      <c r="F29" s="47" t="s">
        <v>222</v>
      </c>
      <c r="G29" s="48">
        <v>0</v>
      </c>
      <c r="H29" s="48">
        <f t="shared" si="0"/>
        <v>3105</v>
      </c>
      <c r="I29" s="48">
        <f t="shared" si="1"/>
        <v>2518.5</v>
      </c>
      <c r="J29" s="48">
        <f t="shared" si="2"/>
        <v>586.5</v>
      </c>
      <c r="K29" s="55" t="s">
        <v>323</v>
      </c>
      <c r="L29" s="44"/>
      <c r="M29" s="44"/>
      <c r="N29" s="44"/>
      <c r="O29" s="44"/>
    </row>
    <row r="30" spans="1:15" ht="15" x14ac:dyDescent="0.2">
      <c r="A30" s="80" t="s">
        <v>138</v>
      </c>
      <c r="B30" s="80" t="s">
        <v>163</v>
      </c>
      <c r="C30" s="80">
        <v>182.5</v>
      </c>
      <c r="D30" s="48">
        <v>73</v>
      </c>
      <c r="E30" s="48">
        <v>90</v>
      </c>
      <c r="F30" s="47" t="s">
        <v>222</v>
      </c>
      <c r="G30" s="48">
        <v>1180</v>
      </c>
      <c r="H30" s="48">
        <f t="shared" si="0"/>
        <v>16425</v>
      </c>
      <c r="I30" s="48">
        <f t="shared" si="1"/>
        <v>13322.5</v>
      </c>
      <c r="J30" s="48">
        <f t="shared" si="2"/>
        <v>3102.5</v>
      </c>
      <c r="K30" s="55"/>
      <c r="L30" s="44"/>
      <c r="M30" s="44"/>
      <c r="N30" s="44"/>
      <c r="O30" s="44"/>
    </row>
    <row r="31" spans="1:15" ht="15" x14ac:dyDescent="0.2">
      <c r="A31" s="80" t="s">
        <v>138</v>
      </c>
      <c r="B31" s="80" t="s">
        <v>164</v>
      </c>
      <c r="C31" s="80">
        <v>169</v>
      </c>
      <c r="D31" s="48">
        <v>73</v>
      </c>
      <c r="E31" s="48">
        <v>90</v>
      </c>
      <c r="F31" s="47" t="s">
        <v>222</v>
      </c>
      <c r="G31" s="48">
        <v>1180</v>
      </c>
      <c r="H31" s="48">
        <f t="shared" si="0"/>
        <v>15210</v>
      </c>
      <c r="I31" s="48">
        <f t="shared" si="1"/>
        <v>12337</v>
      </c>
      <c r="J31" s="48">
        <f t="shared" si="2"/>
        <v>2873</v>
      </c>
      <c r="K31" s="55"/>
      <c r="L31" s="44"/>
      <c r="M31" s="44"/>
      <c r="N31" s="44"/>
      <c r="O31" s="44"/>
    </row>
    <row r="32" spans="1:15" ht="15" x14ac:dyDescent="0.2">
      <c r="A32" s="80" t="s">
        <v>138</v>
      </c>
      <c r="B32" s="80" t="s">
        <v>182</v>
      </c>
      <c r="C32" s="80">
        <v>177</v>
      </c>
      <c r="D32" s="48">
        <v>72</v>
      </c>
      <c r="E32" s="48">
        <v>105</v>
      </c>
      <c r="F32" s="47" t="s">
        <v>89</v>
      </c>
      <c r="G32" s="48">
        <v>1180</v>
      </c>
      <c r="H32" s="48">
        <f t="shared" si="0"/>
        <v>18585</v>
      </c>
      <c r="I32" s="48">
        <f t="shared" si="1"/>
        <v>12744</v>
      </c>
      <c r="J32" s="48">
        <f t="shared" si="2"/>
        <v>5841</v>
      </c>
      <c r="K32" s="55" t="s">
        <v>324</v>
      </c>
      <c r="L32" s="44"/>
      <c r="M32" s="44"/>
      <c r="N32" s="44">
        <v>1.5</v>
      </c>
      <c r="O32" s="44">
        <f>IF(C32="","",C32*N32)</f>
        <v>265.5</v>
      </c>
    </row>
    <row r="33" spans="1:15" ht="15" x14ac:dyDescent="0.2">
      <c r="A33" s="80" t="s">
        <v>138</v>
      </c>
      <c r="B33" s="80" t="s">
        <v>187</v>
      </c>
      <c r="C33" s="80">
        <v>178</v>
      </c>
      <c r="D33" s="48">
        <v>71</v>
      </c>
      <c r="E33" s="48">
        <v>105</v>
      </c>
      <c r="F33" s="47" t="s">
        <v>89</v>
      </c>
      <c r="G33" s="48">
        <v>1180</v>
      </c>
      <c r="H33" s="48">
        <f t="shared" si="0"/>
        <v>18690</v>
      </c>
      <c r="I33" s="48">
        <f t="shared" si="1"/>
        <v>12638</v>
      </c>
      <c r="J33" s="48">
        <f t="shared" si="2"/>
        <v>6052</v>
      </c>
      <c r="K33" s="55" t="s">
        <v>325</v>
      </c>
      <c r="L33" s="44"/>
      <c r="M33" s="44"/>
      <c r="N33" s="44">
        <v>1.5</v>
      </c>
      <c r="O33" s="44">
        <f>IF(C33="","",C33*N33)</f>
        <v>267</v>
      </c>
    </row>
    <row r="34" spans="1:15" ht="15" x14ac:dyDescent="0.2">
      <c r="A34" s="80" t="s">
        <v>138</v>
      </c>
      <c r="B34" s="80" t="s">
        <v>198</v>
      </c>
      <c r="C34" s="80">
        <v>175</v>
      </c>
      <c r="D34" s="48">
        <v>71</v>
      </c>
      <c r="E34" s="48">
        <v>105</v>
      </c>
      <c r="F34" s="47" t="s">
        <v>89</v>
      </c>
      <c r="G34" s="48">
        <v>1180</v>
      </c>
      <c r="H34" s="48">
        <f t="shared" si="0"/>
        <v>18375</v>
      </c>
      <c r="I34" s="48">
        <f t="shared" si="1"/>
        <v>12425</v>
      </c>
      <c r="J34" s="48">
        <f t="shared" si="2"/>
        <v>5950</v>
      </c>
      <c r="K34" s="55" t="s">
        <v>326</v>
      </c>
      <c r="L34" s="44"/>
      <c r="M34" s="44"/>
      <c r="N34" s="44">
        <v>1.5</v>
      </c>
      <c r="O34" s="44">
        <f>IF(C34="","",C34*N34)</f>
        <v>262.5</v>
      </c>
    </row>
    <row r="35" spans="1:15" ht="15" x14ac:dyDescent="0.2">
      <c r="A35" s="80" t="s">
        <v>138</v>
      </c>
      <c r="B35" s="80" t="s">
        <v>184</v>
      </c>
      <c r="C35" s="80">
        <v>179</v>
      </c>
      <c r="D35" s="48">
        <v>71</v>
      </c>
      <c r="E35" s="48">
        <v>105</v>
      </c>
      <c r="F35" s="47" t="s">
        <v>89</v>
      </c>
      <c r="G35" s="48">
        <v>1180</v>
      </c>
      <c r="H35" s="48">
        <f t="shared" si="0"/>
        <v>18795</v>
      </c>
      <c r="I35" s="48">
        <f t="shared" si="1"/>
        <v>12709</v>
      </c>
      <c r="J35" s="48">
        <f t="shared" si="2"/>
        <v>6086</v>
      </c>
      <c r="K35" s="55" t="s">
        <v>325</v>
      </c>
      <c r="L35" s="44"/>
      <c r="M35" s="44"/>
      <c r="N35" s="44">
        <v>1.5</v>
      </c>
      <c r="O35" s="44">
        <f>IF(C35="","",C35*N35)</f>
        <v>268.5</v>
      </c>
    </row>
    <row r="36" spans="1:15" ht="15" x14ac:dyDescent="0.2">
      <c r="A36" s="80" t="s">
        <v>77</v>
      </c>
      <c r="B36" s="80" t="s">
        <v>80</v>
      </c>
      <c r="C36" s="80">
        <v>145</v>
      </c>
      <c r="D36" s="48">
        <v>83</v>
      </c>
      <c r="E36" s="48">
        <v>92</v>
      </c>
      <c r="F36" s="47" t="s">
        <v>223</v>
      </c>
      <c r="G36" s="48">
        <v>0</v>
      </c>
      <c r="H36" s="48">
        <f t="shared" si="0"/>
        <v>13340</v>
      </c>
      <c r="I36" s="48">
        <f t="shared" si="1"/>
        <v>12035</v>
      </c>
      <c r="J36" s="48">
        <f t="shared" si="2"/>
        <v>1305</v>
      </c>
      <c r="K36" s="55"/>
      <c r="L36" s="44"/>
      <c r="M36" s="44"/>
      <c r="N36" s="44"/>
      <c r="O36" s="44"/>
    </row>
    <row r="37" spans="1:15" ht="15" x14ac:dyDescent="0.2">
      <c r="A37" s="80" t="s">
        <v>64</v>
      </c>
      <c r="B37" s="80" t="s">
        <v>72</v>
      </c>
      <c r="C37" s="80">
        <v>139</v>
      </c>
      <c r="D37" s="48">
        <v>64.5</v>
      </c>
      <c r="E37" s="48">
        <v>77</v>
      </c>
      <c r="F37" s="47" t="s">
        <v>224</v>
      </c>
      <c r="G37" s="48">
        <v>1180</v>
      </c>
      <c r="H37" s="48">
        <f t="shared" si="0"/>
        <v>10703</v>
      </c>
      <c r="I37" s="48">
        <f t="shared" si="1"/>
        <v>8965.5</v>
      </c>
      <c r="J37" s="48">
        <f t="shared" si="2"/>
        <v>1737.5</v>
      </c>
      <c r="K37" s="55" t="s">
        <v>225</v>
      </c>
      <c r="L37" s="44"/>
      <c r="M37" s="44"/>
      <c r="N37" s="44"/>
      <c r="O37" s="44"/>
    </row>
    <row r="38" spans="1:15" ht="15" x14ac:dyDescent="0.2">
      <c r="A38" s="80" t="s">
        <v>64</v>
      </c>
      <c r="B38" s="80" t="s">
        <v>71</v>
      </c>
      <c r="C38" s="80">
        <v>156.5</v>
      </c>
      <c r="D38" s="48">
        <v>64.5</v>
      </c>
      <c r="E38" s="48">
        <v>77</v>
      </c>
      <c r="F38" s="47" t="s">
        <v>224</v>
      </c>
      <c r="G38" s="48">
        <v>1180</v>
      </c>
      <c r="H38" s="48">
        <f t="shared" si="0"/>
        <v>12050.5</v>
      </c>
      <c r="I38" s="48">
        <f t="shared" si="1"/>
        <v>10094.25</v>
      </c>
      <c r="J38" s="48">
        <f t="shared" si="2"/>
        <v>1956.25</v>
      </c>
      <c r="K38" s="55" t="s">
        <v>225</v>
      </c>
      <c r="L38" s="44"/>
      <c r="M38" s="44"/>
      <c r="N38" s="44"/>
      <c r="O38" s="44"/>
    </row>
    <row r="39" spans="1:15" ht="15" x14ac:dyDescent="0.2">
      <c r="A39" s="80" t="s">
        <v>64</v>
      </c>
      <c r="B39" s="80" t="s">
        <v>74</v>
      </c>
      <c r="C39" s="80">
        <v>154.5</v>
      </c>
      <c r="D39" s="48">
        <v>64.5</v>
      </c>
      <c r="E39" s="48">
        <v>77</v>
      </c>
      <c r="F39" s="47" t="s">
        <v>224</v>
      </c>
      <c r="G39" s="48">
        <v>1180</v>
      </c>
      <c r="H39" s="48">
        <f t="shared" si="0"/>
        <v>11896.5</v>
      </c>
      <c r="I39" s="48">
        <f t="shared" si="1"/>
        <v>9965.25</v>
      </c>
      <c r="J39" s="48">
        <f t="shared" si="2"/>
        <v>1931.25</v>
      </c>
      <c r="K39" s="55"/>
      <c r="L39" s="44"/>
      <c r="M39" s="44"/>
      <c r="N39" s="44"/>
      <c r="O39" s="44"/>
    </row>
    <row r="40" spans="1:15" ht="15" x14ac:dyDescent="0.2">
      <c r="A40" s="80" t="s">
        <v>64</v>
      </c>
      <c r="B40" s="80" t="s">
        <v>68</v>
      </c>
      <c r="C40" s="80">
        <v>164.5</v>
      </c>
      <c r="D40" s="48">
        <v>64.5</v>
      </c>
      <c r="E40" s="48">
        <v>77</v>
      </c>
      <c r="F40" s="47" t="s">
        <v>224</v>
      </c>
      <c r="G40" s="48">
        <v>1180</v>
      </c>
      <c r="H40" s="48">
        <f t="shared" si="0"/>
        <v>12666.5</v>
      </c>
      <c r="I40" s="48">
        <f t="shared" si="1"/>
        <v>10610.25</v>
      </c>
      <c r="J40" s="48">
        <f t="shared" si="2"/>
        <v>2056.25</v>
      </c>
      <c r="K40" s="55"/>
      <c r="L40" s="44"/>
      <c r="M40" s="44"/>
      <c r="N40" s="44"/>
      <c r="O40" s="44"/>
    </row>
    <row r="41" spans="1:15" ht="15" x14ac:dyDescent="0.2">
      <c r="A41" s="80" t="s">
        <v>48</v>
      </c>
      <c r="B41" s="80" t="s">
        <v>61</v>
      </c>
      <c r="C41" s="80">
        <v>130.5</v>
      </c>
      <c r="D41" s="48">
        <v>78</v>
      </c>
      <c r="E41" s="48">
        <v>90</v>
      </c>
      <c r="F41" s="47" t="s">
        <v>215</v>
      </c>
      <c r="G41" s="48">
        <v>0</v>
      </c>
      <c r="H41" s="48">
        <f t="shared" ref="H41:H58" si="4">IF(C41="","",C41*E41)</f>
        <v>11745</v>
      </c>
      <c r="I41" s="48">
        <f t="shared" ref="I41:I58" si="5">IF(C41="","",C41*D41)</f>
        <v>10179</v>
      </c>
      <c r="J41" s="48">
        <f t="shared" ref="J41:J58" si="6">IF(C41="","",H41-I41)</f>
        <v>1566</v>
      </c>
      <c r="K41" s="55" t="s">
        <v>229</v>
      </c>
      <c r="L41" s="44">
        <v>2</v>
      </c>
      <c r="M41" s="44">
        <f>IF(C41="","",C41*L41)</f>
        <v>261</v>
      </c>
      <c r="N41" s="44"/>
      <c r="O41" s="44"/>
    </row>
    <row r="42" spans="1:15" ht="15" x14ac:dyDescent="0.2">
      <c r="A42" s="80" t="s">
        <v>48</v>
      </c>
      <c r="B42" s="80" t="s">
        <v>49</v>
      </c>
      <c r="C42" s="80">
        <v>157</v>
      </c>
      <c r="D42" s="48">
        <v>78</v>
      </c>
      <c r="E42" s="48">
        <v>90</v>
      </c>
      <c r="F42" s="47" t="s">
        <v>215</v>
      </c>
      <c r="G42" s="48">
        <v>0</v>
      </c>
      <c r="H42" s="48">
        <f t="shared" si="4"/>
        <v>14130</v>
      </c>
      <c r="I42" s="48">
        <f t="shared" si="5"/>
        <v>12246</v>
      </c>
      <c r="J42" s="48">
        <f t="shared" si="6"/>
        <v>1884</v>
      </c>
      <c r="K42" s="55" t="s">
        <v>229</v>
      </c>
      <c r="L42" s="44">
        <v>2</v>
      </c>
      <c r="M42" s="44">
        <f>IF(C42="","",C42*L42)</f>
        <v>314</v>
      </c>
      <c r="N42" s="44"/>
      <c r="O42" s="44"/>
    </row>
    <row r="43" spans="1:15" ht="15" x14ac:dyDescent="0.2">
      <c r="A43" s="80" t="s">
        <v>48</v>
      </c>
      <c r="B43" s="80" t="s">
        <v>55</v>
      </c>
      <c r="C43" s="80">
        <v>146.5</v>
      </c>
      <c r="D43" s="48">
        <v>78</v>
      </c>
      <c r="E43" s="48">
        <v>95</v>
      </c>
      <c r="F43" s="47" t="s">
        <v>215</v>
      </c>
      <c r="G43" s="48">
        <v>0</v>
      </c>
      <c r="H43" s="48">
        <f t="shared" si="4"/>
        <v>13917.5</v>
      </c>
      <c r="I43" s="48">
        <f t="shared" si="5"/>
        <v>11427</v>
      </c>
      <c r="J43" s="48">
        <f t="shared" si="6"/>
        <v>2490.5</v>
      </c>
      <c r="K43" s="55" t="s">
        <v>229</v>
      </c>
      <c r="L43" s="44">
        <v>2</v>
      </c>
      <c r="M43" s="44">
        <f>IF(C43="","",C43*L43)</f>
        <v>293</v>
      </c>
      <c r="N43" s="44"/>
      <c r="O43" s="44"/>
    </row>
    <row r="44" spans="1:15" ht="15" x14ac:dyDescent="0.2">
      <c r="A44" s="80" t="s">
        <v>48</v>
      </c>
      <c r="B44" s="80" t="s">
        <v>58</v>
      </c>
      <c r="C44" s="80">
        <v>175</v>
      </c>
      <c r="D44" s="48">
        <v>78</v>
      </c>
      <c r="E44" s="48">
        <v>95</v>
      </c>
      <c r="F44" s="47" t="s">
        <v>215</v>
      </c>
      <c r="G44" s="48">
        <v>0</v>
      </c>
      <c r="H44" s="48">
        <f t="shared" si="4"/>
        <v>16625</v>
      </c>
      <c r="I44" s="48">
        <f t="shared" si="5"/>
        <v>13650</v>
      </c>
      <c r="J44" s="48">
        <f t="shared" si="6"/>
        <v>2975</v>
      </c>
      <c r="K44" s="55" t="s">
        <v>229</v>
      </c>
      <c r="L44" s="44">
        <v>2</v>
      </c>
      <c r="M44" s="44">
        <f>IF(C44="","",C44*L44)</f>
        <v>350</v>
      </c>
      <c r="N44" s="44"/>
      <c r="O44" s="44"/>
    </row>
    <row r="45" spans="1:15" ht="15" x14ac:dyDescent="0.2">
      <c r="A45" s="80" t="s">
        <v>86</v>
      </c>
      <c r="B45" s="80" t="s">
        <v>87</v>
      </c>
      <c r="C45" s="80">
        <v>208</v>
      </c>
      <c r="D45" s="48">
        <v>72</v>
      </c>
      <c r="E45" s="48">
        <v>95</v>
      </c>
      <c r="F45" s="47" t="s">
        <v>89</v>
      </c>
      <c r="G45" s="48">
        <v>1180</v>
      </c>
      <c r="H45" s="48">
        <f t="shared" si="4"/>
        <v>19760</v>
      </c>
      <c r="I45" s="48">
        <f t="shared" si="5"/>
        <v>14976</v>
      </c>
      <c r="J45" s="48">
        <f t="shared" si="6"/>
        <v>4784</v>
      </c>
      <c r="K45" s="55" t="s">
        <v>327</v>
      </c>
      <c r="L45" s="44"/>
      <c r="M45" s="44"/>
      <c r="N45" s="44">
        <v>1.5</v>
      </c>
      <c r="O45" s="44">
        <f>IF(C45="","",C45*N45)</f>
        <v>312</v>
      </c>
    </row>
    <row r="46" spans="1:15" ht="15" x14ac:dyDescent="0.2">
      <c r="A46" s="80" t="s">
        <v>86</v>
      </c>
      <c r="B46" s="80" t="s">
        <v>91</v>
      </c>
      <c r="C46" s="80">
        <v>206</v>
      </c>
      <c r="D46" s="48">
        <v>72</v>
      </c>
      <c r="E46" s="48">
        <v>95</v>
      </c>
      <c r="F46" s="47" t="s">
        <v>89</v>
      </c>
      <c r="G46" s="48">
        <v>1180</v>
      </c>
      <c r="H46" s="48">
        <f t="shared" si="4"/>
        <v>19570</v>
      </c>
      <c r="I46" s="48">
        <f t="shared" si="5"/>
        <v>14832</v>
      </c>
      <c r="J46" s="48">
        <f t="shared" si="6"/>
        <v>4738</v>
      </c>
      <c r="K46" s="55" t="s">
        <v>327</v>
      </c>
      <c r="L46" s="44"/>
      <c r="M46" s="44"/>
      <c r="N46" s="44">
        <v>1.5</v>
      </c>
      <c r="O46" s="44">
        <f>IF(C46="","",C46*N46)</f>
        <v>309</v>
      </c>
    </row>
    <row r="47" spans="1:15" ht="15" x14ac:dyDescent="0.2">
      <c r="A47" s="80" t="s">
        <v>86</v>
      </c>
      <c r="B47" s="80" t="s">
        <v>232</v>
      </c>
      <c r="C47" s="80">
        <v>182.5</v>
      </c>
      <c r="D47" s="48">
        <v>72</v>
      </c>
      <c r="E47" s="48">
        <v>95</v>
      </c>
      <c r="F47" s="47" t="s">
        <v>89</v>
      </c>
      <c r="G47" s="48">
        <v>1180</v>
      </c>
      <c r="H47" s="48">
        <f t="shared" si="4"/>
        <v>17337.5</v>
      </c>
      <c r="I47" s="48">
        <f t="shared" si="5"/>
        <v>13140</v>
      </c>
      <c r="J47" s="48">
        <f t="shared" si="6"/>
        <v>4197.5</v>
      </c>
      <c r="K47" s="55" t="s">
        <v>327</v>
      </c>
      <c r="L47" s="44"/>
      <c r="M47" s="44"/>
      <c r="N47" s="44">
        <v>1.5</v>
      </c>
      <c r="O47" s="44">
        <f>IF(C47="","",C47*N47)</f>
        <v>273.75</v>
      </c>
    </row>
    <row r="48" spans="1:15" ht="15" x14ac:dyDescent="0.2">
      <c r="A48" s="80" t="s">
        <v>86</v>
      </c>
      <c r="B48" s="80" t="s">
        <v>166</v>
      </c>
      <c r="C48" s="80">
        <v>148.5</v>
      </c>
      <c r="D48" s="48">
        <v>73</v>
      </c>
      <c r="E48" s="48">
        <v>95</v>
      </c>
      <c r="F48" s="47" t="s">
        <v>222</v>
      </c>
      <c r="G48" s="48">
        <v>1180</v>
      </c>
      <c r="H48" s="48">
        <f t="shared" si="4"/>
        <v>14107.5</v>
      </c>
      <c r="I48" s="48">
        <f t="shared" si="5"/>
        <v>10840.5</v>
      </c>
      <c r="J48" s="48">
        <f t="shared" si="6"/>
        <v>3267</v>
      </c>
      <c r="K48" s="55" t="s">
        <v>328</v>
      </c>
      <c r="L48" s="44"/>
      <c r="M48" s="44"/>
      <c r="N48" s="44"/>
      <c r="O48" s="44"/>
    </row>
    <row r="49" spans="1:15" ht="15" x14ac:dyDescent="0.2">
      <c r="A49" s="80" t="s">
        <v>81</v>
      </c>
      <c r="B49" s="80" t="s">
        <v>82</v>
      </c>
      <c r="C49" s="80">
        <v>85</v>
      </c>
      <c r="D49" s="48">
        <v>64.5</v>
      </c>
      <c r="E49" s="48">
        <v>77</v>
      </c>
      <c r="F49" s="47" t="s">
        <v>224</v>
      </c>
      <c r="G49" s="48">
        <v>1180</v>
      </c>
      <c r="H49" s="48">
        <f t="shared" si="4"/>
        <v>6545</v>
      </c>
      <c r="I49" s="48">
        <f t="shared" si="5"/>
        <v>5482.5</v>
      </c>
      <c r="J49" s="48">
        <f t="shared" si="6"/>
        <v>1062.5</v>
      </c>
      <c r="K49" s="55" t="s">
        <v>329</v>
      </c>
      <c r="L49" s="44"/>
      <c r="M49" s="44"/>
      <c r="N49" s="44"/>
      <c r="O49" s="44"/>
    </row>
    <row r="50" spans="1:15" ht="30" x14ac:dyDescent="0.2">
      <c r="A50" s="80" t="s">
        <v>233</v>
      </c>
      <c r="B50" s="80" t="s">
        <v>75</v>
      </c>
      <c r="C50" s="80">
        <v>105.5</v>
      </c>
      <c r="D50" s="48">
        <v>64.5</v>
      </c>
      <c r="E50" s="48">
        <v>77</v>
      </c>
      <c r="F50" s="47" t="s">
        <v>224</v>
      </c>
      <c r="G50" s="48">
        <v>1180</v>
      </c>
      <c r="H50" s="48">
        <f t="shared" si="4"/>
        <v>8123.5</v>
      </c>
      <c r="I50" s="48">
        <f t="shared" si="5"/>
        <v>6804.75</v>
      </c>
      <c r="J50" s="48">
        <f t="shared" si="6"/>
        <v>1318.75</v>
      </c>
      <c r="K50" s="55" t="s">
        <v>330</v>
      </c>
      <c r="L50" s="44"/>
      <c r="M50" s="44"/>
      <c r="N50" s="44"/>
      <c r="O50" s="44"/>
    </row>
    <row r="51" spans="1:15" ht="15" x14ac:dyDescent="0.2">
      <c r="A51" s="80" t="s">
        <v>233</v>
      </c>
      <c r="B51" s="80" t="s">
        <v>83</v>
      </c>
      <c r="C51" s="80">
        <v>105.5</v>
      </c>
      <c r="D51" s="48">
        <v>64.5</v>
      </c>
      <c r="E51" s="48">
        <v>77</v>
      </c>
      <c r="F51" s="47" t="s">
        <v>224</v>
      </c>
      <c r="G51" s="48">
        <v>1180</v>
      </c>
      <c r="H51" s="48">
        <f t="shared" si="4"/>
        <v>8123.5</v>
      </c>
      <c r="I51" s="48">
        <f t="shared" si="5"/>
        <v>6804.75</v>
      </c>
      <c r="J51" s="48">
        <f t="shared" si="6"/>
        <v>1318.75</v>
      </c>
      <c r="K51" s="55" t="s">
        <v>329</v>
      </c>
      <c r="L51" s="44"/>
      <c r="M51" s="44"/>
      <c r="N51" s="44"/>
      <c r="O51" s="44"/>
    </row>
    <row r="52" spans="1:15" ht="15" x14ac:dyDescent="0.2">
      <c r="A52" s="80" t="s">
        <v>149</v>
      </c>
      <c r="B52" s="80" t="s">
        <v>158</v>
      </c>
      <c r="C52" s="80">
        <v>237</v>
      </c>
      <c r="D52" s="48">
        <v>73</v>
      </c>
      <c r="E52" s="48">
        <v>87</v>
      </c>
      <c r="F52" s="47" t="s">
        <v>331</v>
      </c>
      <c r="G52" s="48">
        <v>0</v>
      </c>
      <c r="H52" s="48">
        <f t="shared" si="4"/>
        <v>20619</v>
      </c>
      <c r="I52" s="48">
        <f t="shared" si="5"/>
        <v>17301</v>
      </c>
      <c r="J52" s="48">
        <f t="shared" si="6"/>
        <v>3318</v>
      </c>
      <c r="K52" s="55" t="s">
        <v>235</v>
      </c>
      <c r="L52" s="44">
        <v>10</v>
      </c>
      <c r="M52" s="44">
        <f>IF(C52="","",C52*L52)</f>
        <v>2370</v>
      </c>
      <c r="N52" s="44"/>
      <c r="O52" s="44"/>
    </row>
    <row r="53" spans="1:15" ht="15" x14ac:dyDescent="0.2">
      <c r="A53" s="80" t="s">
        <v>149</v>
      </c>
      <c r="B53" s="80" t="s">
        <v>156</v>
      </c>
      <c r="C53" s="80">
        <v>237</v>
      </c>
      <c r="D53" s="48">
        <v>73</v>
      </c>
      <c r="E53" s="48">
        <v>83</v>
      </c>
      <c r="F53" s="47" t="s">
        <v>331</v>
      </c>
      <c r="G53" s="48">
        <v>0</v>
      </c>
      <c r="H53" s="48">
        <f t="shared" si="4"/>
        <v>19671</v>
      </c>
      <c r="I53" s="48">
        <f t="shared" si="5"/>
        <v>17301</v>
      </c>
      <c r="J53" s="48">
        <f t="shared" si="6"/>
        <v>2370</v>
      </c>
      <c r="K53" s="55" t="s">
        <v>332</v>
      </c>
      <c r="L53" s="44">
        <v>5</v>
      </c>
      <c r="M53" s="44">
        <f>IF(C53="","",C53*L53)</f>
        <v>1185</v>
      </c>
      <c r="N53" s="44"/>
      <c r="O53" s="44"/>
    </row>
    <row r="54" spans="1:15" ht="15" x14ac:dyDescent="0.2">
      <c r="A54" s="80" t="s">
        <v>149</v>
      </c>
      <c r="B54" s="80" t="s">
        <v>155</v>
      </c>
      <c r="C54" s="80">
        <v>217</v>
      </c>
      <c r="D54" s="48">
        <v>73</v>
      </c>
      <c r="E54" s="48">
        <v>80</v>
      </c>
      <c r="F54" s="47" t="s">
        <v>331</v>
      </c>
      <c r="G54" s="48">
        <v>0</v>
      </c>
      <c r="H54" s="48">
        <f t="shared" si="4"/>
        <v>17360</v>
      </c>
      <c r="I54" s="48">
        <f t="shared" si="5"/>
        <v>15841</v>
      </c>
      <c r="J54" s="48">
        <f t="shared" si="6"/>
        <v>1519</v>
      </c>
      <c r="K54" s="55"/>
      <c r="L54" s="44"/>
      <c r="M54" s="44"/>
      <c r="N54" s="44"/>
      <c r="O54" s="44"/>
    </row>
    <row r="55" spans="1:15" ht="15" x14ac:dyDescent="0.2">
      <c r="A55" s="80" t="s">
        <v>149</v>
      </c>
      <c r="B55" s="80" t="s">
        <v>333</v>
      </c>
      <c r="C55" s="80">
        <v>98</v>
      </c>
      <c r="D55" s="48">
        <v>72</v>
      </c>
      <c r="E55" s="48">
        <v>80</v>
      </c>
      <c r="F55" s="47" t="s">
        <v>331</v>
      </c>
      <c r="G55" s="48">
        <v>0</v>
      </c>
      <c r="H55" s="48">
        <f t="shared" si="4"/>
        <v>7840</v>
      </c>
      <c r="I55" s="48">
        <f t="shared" si="5"/>
        <v>7056</v>
      </c>
      <c r="J55" s="48">
        <f t="shared" si="6"/>
        <v>784</v>
      </c>
      <c r="K55" s="55" t="s">
        <v>327</v>
      </c>
      <c r="L55" s="44"/>
      <c r="M55" s="44"/>
      <c r="N55" s="44">
        <v>1.5</v>
      </c>
      <c r="O55" s="44">
        <f>IF(C55="","",C55*N55)</f>
        <v>147</v>
      </c>
    </row>
    <row r="56" spans="1:15" ht="15" x14ac:dyDescent="0.2">
      <c r="A56" s="80" t="s">
        <v>157</v>
      </c>
      <c r="B56" s="80" t="s">
        <v>172</v>
      </c>
      <c r="C56" s="80">
        <v>180.5</v>
      </c>
      <c r="D56" s="48">
        <v>64.5</v>
      </c>
      <c r="E56" s="48">
        <v>77</v>
      </c>
      <c r="F56" s="47" t="s">
        <v>334</v>
      </c>
      <c r="G56" s="48">
        <v>1180</v>
      </c>
      <c r="H56" s="48">
        <f t="shared" si="4"/>
        <v>13898.5</v>
      </c>
      <c r="I56" s="48">
        <f t="shared" si="5"/>
        <v>11642.25</v>
      </c>
      <c r="J56" s="48">
        <f t="shared" si="6"/>
        <v>2256.25</v>
      </c>
      <c r="K56" s="55"/>
      <c r="L56" s="44"/>
      <c r="M56" s="44"/>
      <c r="N56" s="44"/>
      <c r="O56" s="44"/>
    </row>
    <row r="57" spans="1:15" ht="15" x14ac:dyDescent="0.2">
      <c r="A57" s="80" t="s">
        <v>120</v>
      </c>
      <c r="B57" s="80" t="s">
        <v>125</v>
      </c>
      <c r="C57" s="80">
        <v>183</v>
      </c>
      <c r="D57" s="48">
        <v>67</v>
      </c>
      <c r="E57" s="48">
        <v>77</v>
      </c>
      <c r="F57" s="47" t="s">
        <v>231</v>
      </c>
      <c r="G57" s="48">
        <v>0</v>
      </c>
      <c r="H57" s="48">
        <f t="shared" si="4"/>
        <v>14091</v>
      </c>
      <c r="I57" s="48">
        <f t="shared" si="5"/>
        <v>12261</v>
      </c>
      <c r="J57" s="48">
        <f t="shared" si="6"/>
        <v>1830</v>
      </c>
      <c r="K57" s="55"/>
      <c r="L57" s="44"/>
      <c r="M57" s="44"/>
      <c r="N57" s="44"/>
      <c r="O57" s="44"/>
    </row>
    <row r="58" spans="1:15" ht="15" x14ac:dyDescent="0.2">
      <c r="A58" s="80" t="s">
        <v>120</v>
      </c>
      <c r="B58" s="80" t="s">
        <v>121</v>
      </c>
      <c r="C58" s="80">
        <v>198</v>
      </c>
      <c r="D58" s="48">
        <v>67</v>
      </c>
      <c r="E58" s="48">
        <v>77</v>
      </c>
      <c r="F58" s="47" t="s">
        <v>231</v>
      </c>
      <c r="G58" s="48">
        <v>0</v>
      </c>
      <c r="H58" s="48">
        <f t="shared" si="4"/>
        <v>15246</v>
      </c>
      <c r="I58" s="48">
        <f t="shared" si="5"/>
        <v>13266</v>
      </c>
      <c r="J58" s="48">
        <f t="shared" si="6"/>
        <v>1980</v>
      </c>
      <c r="K58" s="55"/>
      <c r="L58" s="44"/>
      <c r="M58" s="44"/>
      <c r="N58" s="44"/>
      <c r="O58" s="44"/>
    </row>
    <row r="59" spans="1:15" ht="15.75" x14ac:dyDescent="0.25">
      <c r="A59" s="49" t="s">
        <v>59</v>
      </c>
      <c r="B59" s="49"/>
      <c r="C59" s="49"/>
      <c r="D59" s="49"/>
      <c r="E59" s="49"/>
      <c r="F59" s="49"/>
      <c r="G59" s="50">
        <f>SUM(G9:G58)</f>
        <v>23600</v>
      </c>
      <c r="H59" s="50">
        <f>SUM(H9:H58)</f>
        <v>682461.5</v>
      </c>
      <c r="I59" s="50">
        <f>SUM(I9:I58)</f>
        <v>569835.5</v>
      </c>
      <c r="J59" s="50">
        <f>SUM(J9:J58)</f>
        <v>112626</v>
      </c>
      <c r="K59" s="49"/>
      <c r="L59" s="42"/>
      <c r="M59" s="42">
        <f>SUM(M9:M58)</f>
        <v>4773</v>
      </c>
      <c r="O59" s="42">
        <f>SUM(O9:O58)</f>
        <v>3339</v>
      </c>
    </row>
    <row r="61" spans="1:15" ht="48" customHeight="1" x14ac:dyDescent="0.2">
      <c r="A61" s="85" t="s">
        <v>335</v>
      </c>
      <c r="B61" s="85"/>
      <c r="C61" s="85"/>
      <c r="D61" s="85"/>
      <c r="E61" s="85"/>
      <c r="F61" s="85"/>
      <c r="G61" s="85"/>
      <c r="H61" s="85"/>
      <c r="I61" s="85"/>
      <c r="J61" s="85"/>
      <c r="K61" s="85"/>
      <c r="L61" s="85"/>
      <c r="M61" s="85"/>
      <c r="N61" s="85"/>
      <c r="O61" s="85"/>
    </row>
  </sheetData>
  <mergeCells count="1">
    <mergeCell ref="A61:O61"/>
  </mergeCells>
  <conditionalFormatting sqref="A9:B58">
    <cfRule type="expression" dxfId="19" priority="2" stopIfTrue="1">
      <formula>AND($C9&lt;&gt;"",$C9&lt;230)</formula>
    </cfRule>
  </conditionalFormatting>
  <conditionalFormatting sqref="C9:C58">
    <cfRule type="cellIs" dxfId="18" priority="3" stopIfTrue="1" operator="lessThan">
      <formula>230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82BBA-3E3A-44EB-9C3B-83B18451F928}">
  <sheetPr>
    <tabColor rgb="FF1F3864"/>
  </sheetPr>
  <dimension ref="A1:M68"/>
  <sheetViews>
    <sheetView rightToLeft="1" topLeftCell="A36" workbookViewId="0">
      <selection activeCell="B69" sqref="B69"/>
    </sheetView>
  </sheetViews>
  <sheetFormatPr defaultRowHeight="14.25" x14ac:dyDescent="0.2"/>
  <cols>
    <col min="1" max="1" width="22.625" customWidth="1"/>
    <col min="2" max="2" width="14.625" customWidth="1"/>
    <col min="3" max="5" width="13.625" customWidth="1"/>
    <col min="6" max="6" width="20.625" customWidth="1"/>
    <col min="7" max="10" width="13.625" customWidth="1"/>
    <col min="11" max="11" width="45.625" customWidth="1"/>
    <col min="12" max="12" width="13.625" customWidth="1"/>
    <col min="13" max="13" width="15.625" customWidth="1"/>
  </cols>
  <sheetData>
    <row r="1" spans="1:13" ht="26.1" customHeight="1" x14ac:dyDescent="0.25">
      <c r="A1" s="41" t="s">
        <v>210</v>
      </c>
      <c r="B1" s="45"/>
      <c r="C1" s="45"/>
      <c r="D1" s="45"/>
      <c r="E1" s="45"/>
      <c r="F1" s="45"/>
      <c r="G1" s="45"/>
      <c r="H1" s="45"/>
      <c r="I1" s="45"/>
      <c r="J1" s="45"/>
      <c r="K1" s="45"/>
      <c r="L1" s="40"/>
      <c r="M1" s="40"/>
    </row>
    <row r="2" spans="1:13" ht="15" x14ac:dyDescent="0.2">
      <c r="A2" s="46"/>
      <c r="B2" s="46"/>
      <c r="C2" s="46"/>
      <c r="D2" s="46"/>
      <c r="E2" s="46"/>
      <c r="F2" s="46"/>
      <c r="G2" s="46"/>
      <c r="H2" s="46"/>
      <c r="I2" s="46"/>
      <c r="J2" s="46"/>
      <c r="K2" s="46"/>
    </row>
    <row r="3" spans="1:13" ht="15" x14ac:dyDescent="0.2">
      <c r="A3" s="47" t="s">
        <v>15</v>
      </c>
      <c r="B3" s="48">
        <f>SUM(H9:H67)</f>
        <v>1047144.5</v>
      </c>
      <c r="C3" s="46"/>
      <c r="D3" s="46"/>
      <c r="E3" s="46"/>
      <c r="F3" s="46"/>
      <c r="G3" s="46"/>
      <c r="H3" s="46"/>
      <c r="I3" s="46"/>
      <c r="J3" s="46"/>
      <c r="K3" s="46"/>
    </row>
    <row r="4" spans="1:13" ht="15" x14ac:dyDescent="0.2">
      <c r="A4" s="47" t="s">
        <v>21</v>
      </c>
      <c r="B4" s="48">
        <f>SUM(I9:I67)</f>
        <v>881166</v>
      </c>
      <c r="C4" s="46"/>
      <c r="D4" s="46"/>
      <c r="E4" s="46"/>
      <c r="F4" s="46"/>
      <c r="G4" s="46"/>
      <c r="H4" s="46"/>
      <c r="I4" s="46"/>
      <c r="J4" s="46"/>
      <c r="K4" s="46"/>
    </row>
    <row r="5" spans="1:13" ht="15.75" x14ac:dyDescent="0.25">
      <c r="A5" s="49" t="s">
        <v>25</v>
      </c>
      <c r="B5" s="50">
        <f>B3-B4</f>
        <v>165978.5</v>
      </c>
      <c r="C5" s="46"/>
      <c r="D5" s="46"/>
      <c r="E5" s="46"/>
      <c r="F5" s="46"/>
      <c r="G5" s="46"/>
      <c r="H5" s="46"/>
      <c r="I5" s="46"/>
      <c r="J5" s="46"/>
      <c r="K5" s="46"/>
    </row>
    <row r="6" spans="1:13" ht="15.75" x14ac:dyDescent="0.25">
      <c r="A6" s="49" t="s">
        <v>30</v>
      </c>
      <c r="B6" s="51">
        <f>B5/B3</f>
        <v>0.15850582226235252</v>
      </c>
      <c r="C6" s="46"/>
      <c r="D6" s="46"/>
      <c r="E6" s="46"/>
      <c r="F6" s="46"/>
      <c r="G6" s="46"/>
      <c r="H6" s="46"/>
      <c r="I6" s="46"/>
      <c r="J6" s="46"/>
      <c r="K6" s="46"/>
    </row>
    <row r="7" spans="1:13" ht="15.75" x14ac:dyDescent="0.25">
      <c r="A7" s="46"/>
      <c r="B7" s="46"/>
      <c r="C7" s="46"/>
      <c r="D7" s="52" t="s">
        <v>208</v>
      </c>
      <c r="E7" s="53">
        <v>230</v>
      </c>
      <c r="F7" s="52" t="s">
        <v>209</v>
      </c>
      <c r="G7" s="46"/>
      <c r="H7" s="46"/>
      <c r="I7" s="46"/>
      <c r="J7" s="46"/>
      <c r="K7" s="46"/>
    </row>
    <row r="8" spans="1:13" ht="47.25" x14ac:dyDescent="0.25">
      <c r="A8" s="54" t="s">
        <v>36</v>
      </c>
      <c r="B8" s="54" t="s">
        <v>37</v>
      </c>
      <c r="C8" s="54" t="s">
        <v>38</v>
      </c>
      <c r="D8" s="54" t="s">
        <v>40</v>
      </c>
      <c r="E8" s="54" t="s">
        <v>42</v>
      </c>
      <c r="F8" s="54" t="s">
        <v>44</v>
      </c>
      <c r="G8" s="54" t="s">
        <v>45</v>
      </c>
      <c r="H8" s="54" t="s">
        <v>8</v>
      </c>
      <c r="I8" s="54" t="s">
        <v>46</v>
      </c>
      <c r="J8" s="54" t="s">
        <v>25</v>
      </c>
      <c r="K8" s="54" t="s">
        <v>14</v>
      </c>
      <c r="L8" s="43" t="s">
        <v>241</v>
      </c>
      <c r="M8" s="43" t="s">
        <v>242</v>
      </c>
    </row>
    <row r="9" spans="1:13" ht="15" x14ac:dyDescent="0.2">
      <c r="A9" s="47" t="s">
        <v>134</v>
      </c>
      <c r="B9" s="47" t="s">
        <v>167</v>
      </c>
      <c r="C9" s="47">
        <v>221</v>
      </c>
      <c r="D9" s="48">
        <v>77</v>
      </c>
      <c r="E9" s="48">
        <v>105</v>
      </c>
      <c r="F9" s="47" t="s">
        <v>211</v>
      </c>
      <c r="G9" s="48">
        <v>1180</v>
      </c>
      <c r="H9" s="48">
        <f t="shared" ref="H9:H40" si="0">IF(C9="","",C9*E9)</f>
        <v>23205</v>
      </c>
      <c r="I9" s="48">
        <f t="shared" ref="I9:I40" si="1">IF(C9="","",C9*D9)</f>
        <v>17017</v>
      </c>
      <c r="J9" s="48">
        <f t="shared" ref="J9:J40" si="2">IF(C9="","",H9-I9)</f>
        <v>6188</v>
      </c>
      <c r="K9" s="55"/>
      <c r="L9" s="44"/>
      <c r="M9" s="44"/>
    </row>
    <row r="10" spans="1:13" ht="15" x14ac:dyDescent="0.2">
      <c r="A10" s="47" t="s">
        <v>134</v>
      </c>
      <c r="B10" s="47" t="s">
        <v>147</v>
      </c>
      <c r="C10" s="47">
        <v>238</v>
      </c>
      <c r="D10" s="48">
        <v>83</v>
      </c>
      <c r="E10" s="48">
        <v>100</v>
      </c>
      <c r="F10" s="47" t="s">
        <v>212</v>
      </c>
      <c r="G10" s="48">
        <v>0</v>
      </c>
      <c r="H10" s="48">
        <f t="shared" si="0"/>
        <v>23800</v>
      </c>
      <c r="I10" s="48">
        <f t="shared" si="1"/>
        <v>19754</v>
      </c>
      <c r="J10" s="48">
        <f t="shared" si="2"/>
        <v>4046</v>
      </c>
      <c r="K10" s="55"/>
      <c r="L10" s="44"/>
      <c r="M10" s="44"/>
    </row>
    <row r="11" spans="1:13" ht="15" x14ac:dyDescent="0.2">
      <c r="A11" s="47" t="s">
        <v>134</v>
      </c>
      <c r="B11" s="47" t="s">
        <v>142</v>
      </c>
      <c r="C11" s="47">
        <v>32</v>
      </c>
      <c r="D11" s="48">
        <v>75</v>
      </c>
      <c r="E11" s="48">
        <v>100</v>
      </c>
      <c r="F11" s="47" t="s">
        <v>212</v>
      </c>
      <c r="G11" s="48">
        <v>0</v>
      </c>
      <c r="H11" s="48">
        <f t="shared" si="0"/>
        <v>3200</v>
      </c>
      <c r="I11" s="48">
        <f t="shared" si="1"/>
        <v>2400</v>
      </c>
      <c r="J11" s="48">
        <f t="shared" si="2"/>
        <v>800</v>
      </c>
      <c r="K11" s="55"/>
      <c r="L11" s="44"/>
      <c r="M11" s="44"/>
    </row>
    <row r="12" spans="1:13" ht="15" x14ac:dyDescent="0.2">
      <c r="A12" s="47" t="s">
        <v>134</v>
      </c>
      <c r="B12" s="47" t="s">
        <v>152</v>
      </c>
      <c r="C12" s="47">
        <v>270</v>
      </c>
      <c r="D12" s="48">
        <v>82</v>
      </c>
      <c r="E12" s="48">
        <v>100</v>
      </c>
      <c r="F12" s="47" t="s">
        <v>212</v>
      </c>
      <c r="G12" s="48">
        <v>0</v>
      </c>
      <c r="H12" s="48">
        <f t="shared" si="0"/>
        <v>27000</v>
      </c>
      <c r="I12" s="48">
        <f t="shared" si="1"/>
        <v>22140</v>
      </c>
      <c r="J12" s="48">
        <f t="shared" si="2"/>
        <v>4860</v>
      </c>
      <c r="K12" s="55"/>
      <c r="L12" s="44"/>
      <c r="M12" s="44"/>
    </row>
    <row r="13" spans="1:13" ht="15" x14ac:dyDescent="0.2">
      <c r="A13" s="47" t="s">
        <v>134</v>
      </c>
      <c r="B13" s="47" t="s">
        <v>146</v>
      </c>
      <c r="C13" s="47">
        <v>221</v>
      </c>
      <c r="D13" s="48">
        <v>80</v>
      </c>
      <c r="E13" s="48">
        <v>100</v>
      </c>
      <c r="F13" s="47" t="s">
        <v>211</v>
      </c>
      <c r="G13" s="48">
        <v>1180</v>
      </c>
      <c r="H13" s="48">
        <f t="shared" si="0"/>
        <v>22100</v>
      </c>
      <c r="I13" s="48">
        <f t="shared" si="1"/>
        <v>17680</v>
      </c>
      <c r="J13" s="48">
        <f t="shared" si="2"/>
        <v>4420</v>
      </c>
      <c r="K13" s="55"/>
      <c r="L13" s="44"/>
      <c r="M13" s="44"/>
    </row>
    <row r="14" spans="1:13" ht="15" x14ac:dyDescent="0.2">
      <c r="A14" s="47" t="s">
        <v>134</v>
      </c>
      <c r="B14" s="47" t="s">
        <v>136</v>
      </c>
      <c r="C14" s="47">
        <v>99</v>
      </c>
      <c r="D14" s="48">
        <v>83</v>
      </c>
      <c r="E14" s="48">
        <v>105</v>
      </c>
      <c r="F14" s="47" t="s">
        <v>211</v>
      </c>
      <c r="G14" s="48">
        <v>1180</v>
      </c>
      <c r="H14" s="48">
        <f t="shared" si="0"/>
        <v>10395</v>
      </c>
      <c r="I14" s="48">
        <f t="shared" si="1"/>
        <v>8217</v>
      </c>
      <c r="J14" s="48">
        <f t="shared" si="2"/>
        <v>2178</v>
      </c>
      <c r="K14" s="55"/>
      <c r="L14" s="44"/>
      <c r="M14" s="44"/>
    </row>
    <row r="15" spans="1:13" ht="15" x14ac:dyDescent="0.2">
      <c r="A15" s="47" t="s">
        <v>84</v>
      </c>
      <c r="B15" s="47" t="s">
        <v>92</v>
      </c>
      <c r="C15" s="47">
        <v>253</v>
      </c>
      <c r="D15" s="48">
        <v>70</v>
      </c>
      <c r="E15" s="48">
        <v>75</v>
      </c>
      <c r="F15" s="47" t="s">
        <v>213</v>
      </c>
      <c r="G15" s="48">
        <v>0</v>
      </c>
      <c r="H15" s="48">
        <f t="shared" si="0"/>
        <v>18975</v>
      </c>
      <c r="I15" s="48">
        <f t="shared" si="1"/>
        <v>17710</v>
      </c>
      <c r="J15" s="48">
        <f t="shared" si="2"/>
        <v>1265</v>
      </c>
      <c r="K15" s="55"/>
      <c r="L15" s="44"/>
      <c r="M15" s="44"/>
    </row>
    <row r="16" spans="1:13" ht="15" x14ac:dyDescent="0.2">
      <c r="A16" s="47" t="s">
        <v>84</v>
      </c>
      <c r="B16" s="47" t="s">
        <v>85</v>
      </c>
      <c r="C16" s="47">
        <v>211.5</v>
      </c>
      <c r="D16" s="48">
        <v>70</v>
      </c>
      <c r="E16" s="48">
        <v>75</v>
      </c>
      <c r="F16" s="47" t="s">
        <v>213</v>
      </c>
      <c r="G16" s="48">
        <v>0</v>
      </c>
      <c r="H16" s="48">
        <f t="shared" si="0"/>
        <v>15862.5</v>
      </c>
      <c r="I16" s="48">
        <f t="shared" si="1"/>
        <v>14805</v>
      </c>
      <c r="J16" s="48">
        <f t="shared" si="2"/>
        <v>1057.5</v>
      </c>
      <c r="K16" s="55"/>
      <c r="L16" s="44"/>
      <c r="M16" s="44"/>
    </row>
    <row r="17" spans="1:13" ht="15" x14ac:dyDescent="0.2">
      <c r="A17" s="47" t="s">
        <v>84</v>
      </c>
      <c r="B17" s="47" t="s">
        <v>94</v>
      </c>
      <c r="C17" s="47">
        <v>267.5</v>
      </c>
      <c r="D17" s="48">
        <v>70</v>
      </c>
      <c r="E17" s="48">
        <v>75</v>
      </c>
      <c r="F17" s="47" t="s">
        <v>213</v>
      </c>
      <c r="G17" s="48">
        <v>0</v>
      </c>
      <c r="H17" s="48">
        <f t="shared" si="0"/>
        <v>20062.5</v>
      </c>
      <c r="I17" s="48">
        <f t="shared" si="1"/>
        <v>18725</v>
      </c>
      <c r="J17" s="48">
        <f t="shared" si="2"/>
        <v>1337.5</v>
      </c>
      <c r="K17" s="55"/>
      <c r="L17" s="44"/>
      <c r="M17" s="44"/>
    </row>
    <row r="18" spans="1:13" ht="15" x14ac:dyDescent="0.2">
      <c r="A18" s="47" t="s">
        <v>84</v>
      </c>
      <c r="B18" s="47" t="s">
        <v>93</v>
      </c>
      <c r="C18" s="47">
        <v>240.5</v>
      </c>
      <c r="D18" s="48">
        <v>70</v>
      </c>
      <c r="E18" s="48">
        <v>75</v>
      </c>
      <c r="F18" s="47" t="s">
        <v>213</v>
      </c>
      <c r="G18" s="48">
        <v>0</v>
      </c>
      <c r="H18" s="48">
        <f t="shared" si="0"/>
        <v>18037.5</v>
      </c>
      <c r="I18" s="48">
        <f t="shared" si="1"/>
        <v>16835</v>
      </c>
      <c r="J18" s="48">
        <f t="shared" si="2"/>
        <v>1202.5</v>
      </c>
      <c r="K18" s="55"/>
      <c r="L18" s="44"/>
      <c r="M18" s="44"/>
    </row>
    <row r="19" spans="1:13" ht="15" x14ac:dyDescent="0.2">
      <c r="A19" s="47" t="s">
        <v>84</v>
      </c>
      <c r="B19" s="47" t="s">
        <v>90</v>
      </c>
      <c r="C19" s="47">
        <v>266</v>
      </c>
      <c r="D19" s="48">
        <v>70</v>
      </c>
      <c r="E19" s="48">
        <v>75</v>
      </c>
      <c r="F19" s="47" t="s">
        <v>213</v>
      </c>
      <c r="G19" s="48">
        <v>0</v>
      </c>
      <c r="H19" s="48">
        <f t="shared" si="0"/>
        <v>19950</v>
      </c>
      <c r="I19" s="48">
        <f t="shared" si="1"/>
        <v>18620</v>
      </c>
      <c r="J19" s="48">
        <f t="shared" si="2"/>
        <v>1330</v>
      </c>
      <c r="K19" s="55"/>
      <c r="L19" s="44"/>
      <c r="M19" s="44"/>
    </row>
    <row r="20" spans="1:13" ht="15" x14ac:dyDescent="0.2">
      <c r="A20" s="47" t="s">
        <v>84</v>
      </c>
      <c r="B20" s="47" t="s">
        <v>88</v>
      </c>
      <c r="C20" s="47">
        <v>238.5</v>
      </c>
      <c r="D20" s="48">
        <v>70</v>
      </c>
      <c r="E20" s="48">
        <v>75</v>
      </c>
      <c r="F20" s="47" t="s">
        <v>213</v>
      </c>
      <c r="G20" s="48">
        <v>0</v>
      </c>
      <c r="H20" s="48">
        <f t="shared" si="0"/>
        <v>17887.5</v>
      </c>
      <c r="I20" s="48">
        <f t="shared" si="1"/>
        <v>16695</v>
      </c>
      <c r="J20" s="48">
        <f t="shared" si="2"/>
        <v>1192.5</v>
      </c>
      <c r="K20" s="55"/>
      <c r="L20" s="44"/>
      <c r="M20" s="44"/>
    </row>
    <row r="21" spans="1:13" ht="15" x14ac:dyDescent="0.2">
      <c r="A21" s="47" t="s">
        <v>84</v>
      </c>
      <c r="B21" s="47" t="s">
        <v>128</v>
      </c>
      <c r="C21" s="47">
        <v>234.5</v>
      </c>
      <c r="D21" s="48">
        <v>71.5</v>
      </c>
      <c r="E21" s="48">
        <v>75</v>
      </c>
      <c r="F21" s="47" t="s">
        <v>213</v>
      </c>
      <c r="G21" s="48">
        <v>0</v>
      </c>
      <c r="H21" s="48">
        <f t="shared" si="0"/>
        <v>17587.5</v>
      </c>
      <c r="I21" s="48">
        <f t="shared" si="1"/>
        <v>16766.75</v>
      </c>
      <c r="J21" s="48">
        <f t="shared" si="2"/>
        <v>820.75</v>
      </c>
      <c r="K21" s="55"/>
      <c r="L21" s="44"/>
      <c r="M21" s="44"/>
    </row>
    <row r="22" spans="1:13" ht="15" x14ac:dyDescent="0.2">
      <c r="A22" s="47" t="s">
        <v>84</v>
      </c>
      <c r="B22" s="47" t="s">
        <v>112</v>
      </c>
      <c r="C22" s="47">
        <v>220</v>
      </c>
      <c r="D22" s="48">
        <v>71.5</v>
      </c>
      <c r="E22" s="48">
        <v>75</v>
      </c>
      <c r="F22" s="47" t="s">
        <v>213</v>
      </c>
      <c r="G22" s="48">
        <v>0</v>
      </c>
      <c r="H22" s="48">
        <f t="shared" si="0"/>
        <v>16500</v>
      </c>
      <c r="I22" s="48">
        <f t="shared" si="1"/>
        <v>15730</v>
      </c>
      <c r="J22" s="48">
        <f t="shared" si="2"/>
        <v>770</v>
      </c>
      <c r="K22" s="55"/>
      <c r="L22" s="44"/>
      <c r="M22" s="44"/>
    </row>
    <row r="23" spans="1:13" ht="15" x14ac:dyDescent="0.2">
      <c r="A23" s="47" t="s">
        <v>84</v>
      </c>
      <c r="B23" s="47" t="s">
        <v>214</v>
      </c>
      <c r="C23" s="47">
        <v>274</v>
      </c>
      <c r="D23" s="48">
        <v>69.5</v>
      </c>
      <c r="E23" s="48">
        <v>75</v>
      </c>
      <c r="F23" s="47" t="s">
        <v>215</v>
      </c>
      <c r="G23" s="48">
        <v>0</v>
      </c>
      <c r="H23" s="48">
        <f t="shared" si="0"/>
        <v>20550</v>
      </c>
      <c r="I23" s="48">
        <f t="shared" si="1"/>
        <v>19043</v>
      </c>
      <c r="J23" s="48">
        <f t="shared" si="2"/>
        <v>1507</v>
      </c>
      <c r="K23" s="55"/>
      <c r="L23" s="44"/>
      <c r="M23" s="44"/>
    </row>
    <row r="24" spans="1:13" ht="15" x14ac:dyDescent="0.2">
      <c r="A24" s="47" t="s">
        <v>84</v>
      </c>
      <c r="B24" s="47" t="s">
        <v>216</v>
      </c>
      <c r="C24" s="47">
        <v>268</v>
      </c>
      <c r="D24" s="48">
        <v>69.5</v>
      </c>
      <c r="E24" s="48">
        <v>75</v>
      </c>
      <c r="F24" s="47" t="s">
        <v>215</v>
      </c>
      <c r="G24" s="48">
        <v>0</v>
      </c>
      <c r="H24" s="48">
        <f t="shared" si="0"/>
        <v>20100</v>
      </c>
      <c r="I24" s="48">
        <f t="shared" si="1"/>
        <v>18626</v>
      </c>
      <c r="J24" s="48">
        <f t="shared" si="2"/>
        <v>1474</v>
      </c>
      <c r="K24" s="55"/>
      <c r="L24" s="44"/>
      <c r="M24" s="44"/>
    </row>
    <row r="25" spans="1:13" ht="15" x14ac:dyDescent="0.2">
      <c r="A25" s="47" t="s">
        <v>84</v>
      </c>
      <c r="B25" s="47" t="s">
        <v>217</v>
      </c>
      <c r="C25" s="47">
        <v>180</v>
      </c>
      <c r="D25" s="48">
        <v>69.5</v>
      </c>
      <c r="E25" s="48">
        <v>75</v>
      </c>
      <c r="F25" s="47" t="s">
        <v>215</v>
      </c>
      <c r="G25" s="48">
        <v>0</v>
      </c>
      <c r="H25" s="48">
        <f t="shared" si="0"/>
        <v>13500</v>
      </c>
      <c r="I25" s="48">
        <f t="shared" si="1"/>
        <v>12510</v>
      </c>
      <c r="J25" s="48">
        <f t="shared" si="2"/>
        <v>990</v>
      </c>
      <c r="K25" s="55"/>
      <c r="L25" s="44"/>
      <c r="M25" s="44"/>
    </row>
    <row r="26" spans="1:13" ht="15" x14ac:dyDescent="0.2">
      <c r="A26" s="47" t="s">
        <v>84</v>
      </c>
      <c r="B26" s="47" t="s">
        <v>218</v>
      </c>
      <c r="C26" s="47">
        <v>213.5</v>
      </c>
      <c r="D26" s="48">
        <v>69.5</v>
      </c>
      <c r="E26" s="48">
        <v>75</v>
      </c>
      <c r="F26" s="47" t="s">
        <v>215</v>
      </c>
      <c r="G26" s="48">
        <v>0</v>
      </c>
      <c r="H26" s="48">
        <f t="shared" si="0"/>
        <v>16012.5</v>
      </c>
      <c r="I26" s="48">
        <f t="shared" si="1"/>
        <v>14838.25</v>
      </c>
      <c r="J26" s="48">
        <f t="shared" si="2"/>
        <v>1174.25</v>
      </c>
      <c r="K26" s="55"/>
      <c r="L26" s="44"/>
      <c r="M26" s="44"/>
    </row>
    <row r="27" spans="1:13" ht="15" x14ac:dyDescent="0.2">
      <c r="A27" s="47" t="s">
        <v>84</v>
      </c>
      <c r="B27" s="47" t="s">
        <v>219</v>
      </c>
      <c r="C27" s="47">
        <v>217.5</v>
      </c>
      <c r="D27" s="48">
        <v>73.5</v>
      </c>
      <c r="E27" s="48">
        <v>75</v>
      </c>
      <c r="F27" s="47" t="s">
        <v>215</v>
      </c>
      <c r="G27" s="48">
        <v>0</v>
      </c>
      <c r="H27" s="48">
        <f t="shared" si="0"/>
        <v>16312.5</v>
      </c>
      <c r="I27" s="48">
        <f t="shared" si="1"/>
        <v>15986.25</v>
      </c>
      <c r="J27" s="48">
        <f t="shared" si="2"/>
        <v>326.25</v>
      </c>
      <c r="K27" s="55"/>
      <c r="L27" s="44"/>
      <c r="M27" s="44"/>
    </row>
    <row r="28" spans="1:13" ht="15" x14ac:dyDescent="0.2">
      <c r="A28" s="47" t="s">
        <v>84</v>
      </c>
      <c r="B28" s="47" t="s">
        <v>220</v>
      </c>
      <c r="C28" s="47">
        <v>179</v>
      </c>
      <c r="D28" s="48">
        <v>73.5</v>
      </c>
      <c r="E28" s="48">
        <v>75</v>
      </c>
      <c r="F28" s="47" t="s">
        <v>215</v>
      </c>
      <c r="G28" s="48">
        <v>0</v>
      </c>
      <c r="H28" s="48">
        <f t="shared" si="0"/>
        <v>13425</v>
      </c>
      <c r="I28" s="48">
        <f t="shared" si="1"/>
        <v>13156.5</v>
      </c>
      <c r="J28" s="48">
        <f t="shared" si="2"/>
        <v>268.5</v>
      </c>
      <c r="K28" s="55"/>
      <c r="L28" s="44"/>
      <c r="M28" s="44"/>
    </row>
    <row r="29" spans="1:13" ht="15" x14ac:dyDescent="0.2">
      <c r="A29" s="47" t="s">
        <v>138</v>
      </c>
      <c r="B29" s="47" t="s">
        <v>165</v>
      </c>
      <c r="C29" s="47">
        <v>236</v>
      </c>
      <c r="D29" s="48">
        <v>70</v>
      </c>
      <c r="E29" s="48">
        <v>73</v>
      </c>
      <c r="F29" s="47" t="s">
        <v>221</v>
      </c>
      <c r="G29" s="48">
        <v>0</v>
      </c>
      <c r="H29" s="48">
        <f t="shared" si="0"/>
        <v>17228</v>
      </c>
      <c r="I29" s="48">
        <f t="shared" si="1"/>
        <v>16520</v>
      </c>
      <c r="J29" s="48">
        <f t="shared" si="2"/>
        <v>708</v>
      </c>
      <c r="K29" s="55"/>
      <c r="L29" s="44"/>
      <c r="M29" s="44"/>
    </row>
    <row r="30" spans="1:13" ht="15" x14ac:dyDescent="0.2">
      <c r="A30" s="47" t="s">
        <v>138</v>
      </c>
      <c r="B30" s="47" t="s">
        <v>93</v>
      </c>
      <c r="C30" s="47">
        <v>236</v>
      </c>
      <c r="D30" s="48">
        <v>70</v>
      </c>
      <c r="E30" s="48">
        <v>73</v>
      </c>
      <c r="F30" s="47" t="s">
        <v>221</v>
      </c>
      <c r="G30" s="48">
        <v>0</v>
      </c>
      <c r="H30" s="48">
        <f t="shared" si="0"/>
        <v>17228</v>
      </c>
      <c r="I30" s="48">
        <f t="shared" si="1"/>
        <v>16520</v>
      </c>
      <c r="J30" s="48">
        <f t="shared" si="2"/>
        <v>708</v>
      </c>
      <c r="K30" s="55"/>
      <c r="L30" s="44"/>
      <c r="M30" s="44"/>
    </row>
    <row r="31" spans="1:13" ht="15" x14ac:dyDescent="0.2">
      <c r="A31" s="47" t="s">
        <v>138</v>
      </c>
      <c r="B31" s="47" t="s">
        <v>166</v>
      </c>
      <c r="C31" s="47">
        <v>250</v>
      </c>
      <c r="D31" s="48">
        <v>73</v>
      </c>
      <c r="E31" s="48">
        <v>90</v>
      </c>
      <c r="F31" s="47" t="s">
        <v>222</v>
      </c>
      <c r="G31" s="48">
        <v>1180</v>
      </c>
      <c r="H31" s="48">
        <f t="shared" si="0"/>
        <v>22500</v>
      </c>
      <c r="I31" s="48">
        <f t="shared" si="1"/>
        <v>18250</v>
      </c>
      <c r="J31" s="48">
        <f t="shared" si="2"/>
        <v>4250</v>
      </c>
      <c r="K31" s="55"/>
      <c r="L31" s="44"/>
      <c r="M31" s="44"/>
    </row>
    <row r="32" spans="1:13" ht="15" x14ac:dyDescent="0.2">
      <c r="A32" s="47" t="s">
        <v>138</v>
      </c>
      <c r="B32" s="47" t="s">
        <v>163</v>
      </c>
      <c r="C32" s="47">
        <v>253</v>
      </c>
      <c r="D32" s="48">
        <v>73</v>
      </c>
      <c r="E32" s="48">
        <v>90</v>
      </c>
      <c r="F32" s="47" t="s">
        <v>222</v>
      </c>
      <c r="G32" s="48">
        <v>1180</v>
      </c>
      <c r="H32" s="48">
        <f t="shared" si="0"/>
        <v>22770</v>
      </c>
      <c r="I32" s="48">
        <f t="shared" si="1"/>
        <v>18469</v>
      </c>
      <c r="J32" s="48">
        <f t="shared" si="2"/>
        <v>4301</v>
      </c>
      <c r="K32" s="55"/>
      <c r="L32" s="44"/>
      <c r="M32" s="44"/>
    </row>
    <row r="33" spans="1:13" ht="15" x14ac:dyDescent="0.2">
      <c r="A33" s="47" t="s">
        <v>138</v>
      </c>
      <c r="B33" s="47" t="s">
        <v>164</v>
      </c>
      <c r="C33" s="47">
        <v>260</v>
      </c>
      <c r="D33" s="48">
        <v>73</v>
      </c>
      <c r="E33" s="48">
        <v>90</v>
      </c>
      <c r="F33" s="47" t="s">
        <v>222</v>
      </c>
      <c r="G33" s="48">
        <v>1180</v>
      </c>
      <c r="H33" s="48">
        <f t="shared" si="0"/>
        <v>23400</v>
      </c>
      <c r="I33" s="48">
        <f t="shared" si="1"/>
        <v>18980</v>
      </c>
      <c r="J33" s="48">
        <f t="shared" si="2"/>
        <v>4420</v>
      </c>
      <c r="K33" s="55"/>
      <c r="L33" s="44"/>
      <c r="M33" s="44"/>
    </row>
    <row r="34" spans="1:13" ht="15" x14ac:dyDescent="0.2">
      <c r="A34" s="47" t="s">
        <v>138</v>
      </c>
      <c r="B34" s="47" t="s">
        <v>195</v>
      </c>
      <c r="C34" s="47">
        <v>261</v>
      </c>
      <c r="D34" s="48">
        <v>73.5</v>
      </c>
      <c r="E34" s="48">
        <v>105</v>
      </c>
      <c r="F34" s="47" t="s">
        <v>89</v>
      </c>
      <c r="G34" s="48">
        <v>1180</v>
      </c>
      <c r="H34" s="48">
        <f t="shared" si="0"/>
        <v>27405</v>
      </c>
      <c r="I34" s="48">
        <f t="shared" si="1"/>
        <v>19183.5</v>
      </c>
      <c r="J34" s="48">
        <f t="shared" si="2"/>
        <v>8221.5</v>
      </c>
      <c r="K34" s="55"/>
      <c r="L34" s="44"/>
      <c r="M34" s="44"/>
    </row>
    <row r="35" spans="1:13" ht="15" x14ac:dyDescent="0.2">
      <c r="A35" s="47" t="s">
        <v>138</v>
      </c>
      <c r="B35" s="47" t="s">
        <v>182</v>
      </c>
      <c r="C35" s="47">
        <v>257</v>
      </c>
      <c r="D35" s="48">
        <v>73.5</v>
      </c>
      <c r="E35" s="48">
        <v>105</v>
      </c>
      <c r="F35" s="47" t="s">
        <v>89</v>
      </c>
      <c r="G35" s="48">
        <v>1180</v>
      </c>
      <c r="H35" s="48">
        <f t="shared" si="0"/>
        <v>26985</v>
      </c>
      <c r="I35" s="48">
        <f t="shared" si="1"/>
        <v>18889.5</v>
      </c>
      <c r="J35" s="48">
        <f t="shared" si="2"/>
        <v>8095.5</v>
      </c>
      <c r="K35" s="55"/>
      <c r="L35" s="44"/>
      <c r="M35" s="44"/>
    </row>
    <row r="36" spans="1:13" ht="15" x14ac:dyDescent="0.2">
      <c r="A36" s="47" t="s">
        <v>138</v>
      </c>
      <c r="B36" s="47" t="s">
        <v>187</v>
      </c>
      <c r="C36" s="47">
        <v>259</v>
      </c>
      <c r="D36" s="48">
        <v>72.5</v>
      </c>
      <c r="E36" s="48">
        <v>105</v>
      </c>
      <c r="F36" s="47" t="s">
        <v>89</v>
      </c>
      <c r="G36" s="48">
        <v>1180</v>
      </c>
      <c r="H36" s="48">
        <f t="shared" si="0"/>
        <v>27195</v>
      </c>
      <c r="I36" s="48">
        <f t="shared" si="1"/>
        <v>18777.5</v>
      </c>
      <c r="J36" s="48">
        <f t="shared" si="2"/>
        <v>8417.5</v>
      </c>
      <c r="K36" s="55"/>
      <c r="L36" s="44"/>
      <c r="M36" s="44"/>
    </row>
    <row r="37" spans="1:13" ht="15" x14ac:dyDescent="0.2">
      <c r="A37" s="47" t="s">
        <v>138</v>
      </c>
      <c r="B37" s="47" t="s">
        <v>190</v>
      </c>
      <c r="C37" s="47">
        <v>42</v>
      </c>
      <c r="D37" s="48">
        <v>72.5</v>
      </c>
      <c r="E37" s="48">
        <v>105</v>
      </c>
      <c r="F37" s="47" t="s">
        <v>89</v>
      </c>
      <c r="G37" s="48">
        <v>1180</v>
      </c>
      <c r="H37" s="48">
        <f t="shared" si="0"/>
        <v>4410</v>
      </c>
      <c r="I37" s="48">
        <f t="shared" si="1"/>
        <v>3045</v>
      </c>
      <c r="J37" s="48">
        <f t="shared" si="2"/>
        <v>1365</v>
      </c>
      <c r="K37" s="55"/>
      <c r="L37" s="44"/>
      <c r="M37" s="44"/>
    </row>
    <row r="38" spans="1:13" ht="15" x14ac:dyDescent="0.2">
      <c r="A38" s="47" t="s">
        <v>138</v>
      </c>
      <c r="B38" s="47" t="s">
        <v>198</v>
      </c>
      <c r="C38" s="47">
        <v>259</v>
      </c>
      <c r="D38" s="48">
        <v>72.5</v>
      </c>
      <c r="E38" s="48">
        <v>105</v>
      </c>
      <c r="F38" s="47" t="s">
        <v>89</v>
      </c>
      <c r="G38" s="48">
        <v>1180</v>
      </c>
      <c r="H38" s="48">
        <f t="shared" si="0"/>
        <v>27195</v>
      </c>
      <c r="I38" s="48">
        <f t="shared" si="1"/>
        <v>18777.5</v>
      </c>
      <c r="J38" s="48">
        <f t="shared" si="2"/>
        <v>8417.5</v>
      </c>
      <c r="K38" s="55"/>
      <c r="L38" s="44"/>
      <c r="M38" s="44"/>
    </row>
    <row r="39" spans="1:13" ht="15" x14ac:dyDescent="0.2">
      <c r="A39" s="47" t="s">
        <v>138</v>
      </c>
      <c r="B39" s="47" t="s">
        <v>184</v>
      </c>
      <c r="C39" s="47">
        <v>255</v>
      </c>
      <c r="D39" s="48">
        <v>72.5</v>
      </c>
      <c r="E39" s="48">
        <v>105</v>
      </c>
      <c r="F39" s="47" t="s">
        <v>89</v>
      </c>
      <c r="G39" s="48">
        <v>1180</v>
      </c>
      <c r="H39" s="48">
        <f t="shared" si="0"/>
        <v>26775</v>
      </c>
      <c r="I39" s="48">
        <f t="shared" si="1"/>
        <v>18487.5</v>
      </c>
      <c r="J39" s="48">
        <f t="shared" si="2"/>
        <v>8287.5</v>
      </c>
      <c r="K39" s="55"/>
      <c r="L39" s="44"/>
      <c r="M39" s="44"/>
    </row>
    <row r="40" spans="1:13" ht="15" x14ac:dyDescent="0.2">
      <c r="A40" s="47" t="s">
        <v>77</v>
      </c>
      <c r="B40" s="47" t="s">
        <v>80</v>
      </c>
      <c r="C40" s="47">
        <v>216</v>
      </c>
      <c r="D40" s="48">
        <v>83</v>
      </c>
      <c r="E40" s="48">
        <v>92</v>
      </c>
      <c r="F40" s="47" t="s">
        <v>223</v>
      </c>
      <c r="G40" s="48">
        <v>0</v>
      </c>
      <c r="H40" s="48">
        <f t="shared" si="0"/>
        <v>19872</v>
      </c>
      <c r="I40" s="48">
        <f t="shared" si="1"/>
        <v>17928</v>
      </c>
      <c r="J40" s="48">
        <f t="shared" si="2"/>
        <v>1944</v>
      </c>
      <c r="K40" s="55"/>
      <c r="L40" s="44"/>
      <c r="M40" s="44"/>
    </row>
    <row r="41" spans="1:13" ht="15" x14ac:dyDescent="0.2">
      <c r="A41" s="47" t="s">
        <v>77</v>
      </c>
      <c r="B41" s="47" t="s">
        <v>79</v>
      </c>
      <c r="C41" s="47">
        <v>178</v>
      </c>
      <c r="D41" s="48">
        <v>81</v>
      </c>
      <c r="E41" s="48">
        <v>92</v>
      </c>
      <c r="F41" s="47" t="s">
        <v>223</v>
      </c>
      <c r="G41" s="48">
        <v>0</v>
      </c>
      <c r="H41" s="48">
        <f t="shared" ref="H41:H67" si="3">IF(C41="","",C41*E41)</f>
        <v>16376</v>
      </c>
      <c r="I41" s="48">
        <f t="shared" ref="I41:I67" si="4">IF(C41="","",C41*D41)</f>
        <v>14418</v>
      </c>
      <c r="J41" s="48">
        <f t="shared" ref="J41:J67" si="5">IF(C41="","",H41-I41)</f>
        <v>1958</v>
      </c>
      <c r="K41" s="55"/>
      <c r="L41" s="44"/>
      <c r="M41" s="44"/>
    </row>
    <row r="42" spans="1:13" ht="15" x14ac:dyDescent="0.2">
      <c r="A42" s="47" t="s">
        <v>64</v>
      </c>
      <c r="B42" s="47" t="s">
        <v>72</v>
      </c>
      <c r="C42" s="47">
        <v>255</v>
      </c>
      <c r="D42" s="48">
        <v>64.5</v>
      </c>
      <c r="E42" s="48">
        <v>77</v>
      </c>
      <c r="F42" s="47" t="s">
        <v>224</v>
      </c>
      <c r="G42" s="48">
        <v>1180</v>
      </c>
      <c r="H42" s="48">
        <f t="shared" si="3"/>
        <v>19635</v>
      </c>
      <c r="I42" s="48">
        <f t="shared" si="4"/>
        <v>16447.5</v>
      </c>
      <c r="J42" s="48">
        <f t="shared" si="5"/>
        <v>3187.5</v>
      </c>
      <c r="K42" s="55" t="s">
        <v>225</v>
      </c>
      <c r="L42" s="44"/>
      <c r="M42" s="44"/>
    </row>
    <row r="43" spans="1:13" ht="30" x14ac:dyDescent="0.2">
      <c r="A43" s="47" t="s">
        <v>64</v>
      </c>
      <c r="B43" s="47" t="s">
        <v>71</v>
      </c>
      <c r="C43" s="47">
        <v>244</v>
      </c>
      <c r="D43" s="48">
        <v>64.5</v>
      </c>
      <c r="E43" s="48">
        <v>77</v>
      </c>
      <c r="F43" s="47" t="s">
        <v>224</v>
      </c>
      <c r="G43" s="48">
        <v>1180</v>
      </c>
      <c r="H43" s="48">
        <f t="shared" si="3"/>
        <v>18788</v>
      </c>
      <c r="I43" s="48">
        <f t="shared" si="4"/>
        <v>15738</v>
      </c>
      <c r="J43" s="48">
        <f t="shared" si="5"/>
        <v>3050</v>
      </c>
      <c r="K43" s="55" t="s">
        <v>226</v>
      </c>
      <c r="L43" s="44"/>
      <c r="M43" s="44"/>
    </row>
    <row r="44" spans="1:13" ht="15" x14ac:dyDescent="0.2">
      <c r="A44" s="47" t="s">
        <v>64</v>
      </c>
      <c r="B44" s="47" t="s">
        <v>74</v>
      </c>
      <c r="C44" s="47">
        <v>254</v>
      </c>
      <c r="D44" s="48">
        <v>64.5</v>
      </c>
      <c r="E44" s="48">
        <v>77</v>
      </c>
      <c r="F44" s="47" t="s">
        <v>224</v>
      </c>
      <c r="G44" s="48">
        <v>1180</v>
      </c>
      <c r="H44" s="48">
        <f t="shared" si="3"/>
        <v>19558</v>
      </c>
      <c r="I44" s="48">
        <f t="shared" si="4"/>
        <v>16383</v>
      </c>
      <c r="J44" s="48">
        <f t="shared" si="5"/>
        <v>3175</v>
      </c>
      <c r="K44" s="55"/>
      <c r="L44" s="44"/>
      <c r="M44" s="44"/>
    </row>
    <row r="45" spans="1:13" ht="15" x14ac:dyDescent="0.2">
      <c r="A45" s="47" t="s">
        <v>64</v>
      </c>
      <c r="B45" s="47" t="s">
        <v>68</v>
      </c>
      <c r="C45" s="47">
        <v>254</v>
      </c>
      <c r="D45" s="48">
        <v>64.5</v>
      </c>
      <c r="E45" s="48">
        <v>77</v>
      </c>
      <c r="F45" s="47" t="s">
        <v>224</v>
      </c>
      <c r="G45" s="48">
        <v>1180</v>
      </c>
      <c r="H45" s="48">
        <f t="shared" si="3"/>
        <v>19558</v>
      </c>
      <c r="I45" s="48">
        <f t="shared" si="4"/>
        <v>16383</v>
      </c>
      <c r="J45" s="48">
        <f t="shared" si="5"/>
        <v>3175</v>
      </c>
      <c r="K45" s="55"/>
      <c r="L45" s="44"/>
      <c r="M45" s="44"/>
    </row>
    <row r="46" spans="1:13" ht="15" x14ac:dyDescent="0.2">
      <c r="A46" s="47" t="s">
        <v>48</v>
      </c>
      <c r="B46" s="47" t="s">
        <v>61</v>
      </c>
      <c r="C46" s="47">
        <v>236</v>
      </c>
      <c r="D46" s="48">
        <v>78</v>
      </c>
      <c r="E46" s="48">
        <v>90</v>
      </c>
      <c r="F46" s="47" t="s">
        <v>215</v>
      </c>
      <c r="G46" s="48">
        <v>0</v>
      </c>
      <c r="H46" s="48">
        <f t="shared" si="3"/>
        <v>21240</v>
      </c>
      <c r="I46" s="48">
        <f t="shared" si="4"/>
        <v>18408</v>
      </c>
      <c r="J46" s="48">
        <f t="shared" si="5"/>
        <v>2832</v>
      </c>
      <c r="K46" s="55" t="s">
        <v>227</v>
      </c>
      <c r="L46" s="44">
        <v>2</v>
      </c>
      <c r="M46" s="44">
        <f>IF(C46="","",C46*L46)</f>
        <v>472</v>
      </c>
    </row>
    <row r="47" spans="1:13" ht="15" x14ac:dyDescent="0.2">
      <c r="A47" s="47" t="s">
        <v>48</v>
      </c>
      <c r="B47" s="47" t="s">
        <v>49</v>
      </c>
      <c r="C47" s="47">
        <v>257.5</v>
      </c>
      <c r="D47" s="48">
        <v>78</v>
      </c>
      <c r="E47" s="48">
        <v>90</v>
      </c>
      <c r="F47" s="47" t="s">
        <v>215</v>
      </c>
      <c r="G47" s="48">
        <v>0</v>
      </c>
      <c r="H47" s="48">
        <f t="shared" si="3"/>
        <v>23175</v>
      </c>
      <c r="I47" s="48">
        <f t="shared" si="4"/>
        <v>20085</v>
      </c>
      <c r="J47" s="48">
        <f t="shared" si="5"/>
        <v>3090</v>
      </c>
      <c r="K47" s="55" t="s">
        <v>228</v>
      </c>
      <c r="L47" s="44">
        <v>2</v>
      </c>
      <c r="M47" s="44">
        <f>IF(C47="","",C47*L47)</f>
        <v>515</v>
      </c>
    </row>
    <row r="48" spans="1:13" ht="15" x14ac:dyDescent="0.2">
      <c r="A48" s="47" t="s">
        <v>48</v>
      </c>
      <c r="B48" s="47" t="s">
        <v>55</v>
      </c>
      <c r="C48" s="47">
        <v>256</v>
      </c>
      <c r="D48" s="48">
        <v>78</v>
      </c>
      <c r="E48" s="48">
        <v>95</v>
      </c>
      <c r="F48" s="47" t="s">
        <v>215</v>
      </c>
      <c r="G48" s="48">
        <v>0</v>
      </c>
      <c r="H48" s="48">
        <f t="shared" si="3"/>
        <v>24320</v>
      </c>
      <c r="I48" s="48">
        <f t="shared" si="4"/>
        <v>19968</v>
      </c>
      <c r="J48" s="48">
        <f t="shared" si="5"/>
        <v>4352</v>
      </c>
      <c r="K48" s="55" t="s">
        <v>229</v>
      </c>
      <c r="L48" s="44">
        <v>2</v>
      </c>
      <c r="M48" s="44">
        <f>IF(C48="","",C48*L48)</f>
        <v>512</v>
      </c>
    </row>
    <row r="49" spans="1:13" ht="15" x14ac:dyDescent="0.2">
      <c r="A49" s="47" t="s">
        <v>48</v>
      </c>
      <c r="B49" s="47" t="s">
        <v>58</v>
      </c>
      <c r="C49" s="47">
        <v>266.5</v>
      </c>
      <c r="D49" s="48">
        <v>78</v>
      </c>
      <c r="E49" s="48">
        <v>95</v>
      </c>
      <c r="F49" s="47" t="s">
        <v>215</v>
      </c>
      <c r="G49" s="48">
        <v>0</v>
      </c>
      <c r="H49" s="48">
        <f t="shared" si="3"/>
        <v>25317.5</v>
      </c>
      <c r="I49" s="48">
        <f t="shared" si="4"/>
        <v>20787</v>
      </c>
      <c r="J49" s="48">
        <f t="shared" si="5"/>
        <v>4530.5</v>
      </c>
      <c r="K49" s="55" t="s">
        <v>229</v>
      </c>
      <c r="L49" s="44">
        <v>2</v>
      </c>
      <c r="M49" s="44">
        <f>IF(C49="","",C49*L49)</f>
        <v>533</v>
      </c>
    </row>
    <row r="50" spans="1:13" ht="15" x14ac:dyDescent="0.2">
      <c r="A50" s="47" t="s">
        <v>230</v>
      </c>
      <c r="B50" s="47" t="s">
        <v>148</v>
      </c>
      <c r="C50" s="47">
        <v>139.5</v>
      </c>
      <c r="D50" s="48">
        <v>70</v>
      </c>
      <c r="E50" s="48">
        <v>77</v>
      </c>
      <c r="F50" s="47" t="s">
        <v>231</v>
      </c>
      <c r="G50" s="48">
        <v>0</v>
      </c>
      <c r="H50" s="48">
        <f t="shared" si="3"/>
        <v>10741.5</v>
      </c>
      <c r="I50" s="48">
        <f t="shared" si="4"/>
        <v>9765</v>
      </c>
      <c r="J50" s="48">
        <f t="shared" si="5"/>
        <v>976.5</v>
      </c>
      <c r="K50" s="55"/>
      <c r="L50" s="44"/>
      <c r="M50" s="44"/>
    </row>
    <row r="51" spans="1:13" ht="15" x14ac:dyDescent="0.2">
      <c r="A51" s="47" t="s">
        <v>86</v>
      </c>
      <c r="B51" s="47" t="s">
        <v>87</v>
      </c>
      <c r="C51" s="47">
        <v>267.5</v>
      </c>
      <c r="D51" s="48">
        <v>73.5</v>
      </c>
      <c r="E51" s="48">
        <v>95</v>
      </c>
      <c r="F51" s="47" t="s">
        <v>89</v>
      </c>
      <c r="G51" s="48">
        <v>1180</v>
      </c>
      <c r="H51" s="48">
        <f t="shared" si="3"/>
        <v>25412.5</v>
      </c>
      <c r="I51" s="48">
        <f t="shared" si="4"/>
        <v>19661.25</v>
      </c>
      <c r="J51" s="48">
        <f t="shared" si="5"/>
        <v>5751.25</v>
      </c>
      <c r="K51" s="55"/>
      <c r="L51" s="44"/>
      <c r="M51" s="44"/>
    </row>
    <row r="52" spans="1:13" ht="15" x14ac:dyDescent="0.2">
      <c r="A52" s="47" t="s">
        <v>86</v>
      </c>
      <c r="B52" s="47" t="s">
        <v>91</v>
      </c>
      <c r="C52" s="47">
        <v>267</v>
      </c>
      <c r="D52" s="48">
        <v>73.5</v>
      </c>
      <c r="E52" s="48">
        <v>95</v>
      </c>
      <c r="F52" s="47" t="s">
        <v>89</v>
      </c>
      <c r="G52" s="48">
        <v>1180</v>
      </c>
      <c r="H52" s="48">
        <f t="shared" si="3"/>
        <v>25365</v>
      </c>
      <c r="I52" s="48">
        <f t="shared" si="4"/>
        <v>19624.5</v>
      </c>
      <c r="J52" s="48">
        <f t="shared" si="5"/>
        <v>5740.5</v>
      </c>
      <c r="K52" s="55"/>
      <c r="L52" s="44"/>
      <c r="M52" s="44"/>
    </row>
    <row r="53" spans="1:13" ht="15" x14ac:dyDescent="0.2">
      <c r="A53" s="47" t="s">
        <v>86</v>
      </c>
      <c r="B53" s="47" t="s">
        <v>232</v>
      </c>
      <c r="C53" s="47">
        <v>44</v>
      </c>
      <c r="D53" s="48">
        <v>73.5</v>
      </c>
      <c r="E53" s="48">
        <v>95</v>
      </c>
      <c r="F53" s="47" t="s">
        <v>89</v>
      </c>
      <c r="G53" s="48">
        <v>1180</v>
      </c>
      <c r="H53" s="48">
        <f t="shared" si="3"/>
        <v>4180</v>
      </c>
      <c r="I53" s="48">
        <f t="shared" si="4"/>
        <v>3234</v>
      </c>
      <c r="J53" s="48">
        <f t="shared" si="5"/>
        <v>946</v>
      </c>
      <c r="K53" s="55"/>
      <c r="L53" s="44"/>
      <c r="M53" s="44"/>
    </row>
    <row r="54" spans="1:13" ht="15" x14ac:dyDescent="0.2">
      <c r="A54" s="47" t="s">
        <v>86</v>
      </c>
      <c r="B54" s="47" t="s">
        <v>285</v>
      </c>
      <c r="C54" s="47">
        <v>22</v>
      </c>
      <c r="D54" s="48">
        <v>36</v>
      </c>
      <c r="E54" s="48">
        <v>50</v>
      </c>
      <c r="F54" s="47"/>
      <c r="G54" s="48">
        <v>0</v>
      </c>
      <c r="H54" s="48">
        <f>IF(C54="","",C54*E54)</f>
        <v>1100</v>
      </c>
      <c r="I54" s="48">
        <f>IF(C54="","",C54*D54)</f>
        <v>792</v>
      </c>
      <c r="J54" s="48">
        <f>IF(C54="","",H54-I54)</f>
        <v>308</v>
      </c>
      <c r="K54" s="55" t="s">
        <v>286</v>
      </c>
      <c r="L54" s="44"/>
      <c r="M54" s="44"/>
    </row>
    <row r="55" spans="1:13" ht="15" x14ac:dyDescent="0.2">
      <c r="A55" s="47" t="s">
        <v>81</v>
      </c>
      <c r="B55" s="47" t="s">
        <v>82</v>
      </c>
      <c r="C55" s="47">
        <v>216</v>
      </c>
      <c r="D55" s="48">
        <v>64.5</v>
      </c>
      <c r="E55" s="48">
        <v>77</v>
      </c>
      <c r="F55" s="47" t="s">
        <v>224</v>
      </c>
      <c r="G55" s="48">
        <v>1180</v>
      </c>
      <c r="H55" s="48">
        <f t="shared" si="3"/>
        <v>16632</v>
      </c>
      <c r="I55" s="48">
        <f t="shared" si="4"/>
        <v>13932</v>
      </c>
      <c r="J55" s="48">
        <f t="shared" si="5"/>
        <v>2700</v>
      </c>
      <c r="K55" s="55"/>
      <c r="L55" s="44"/>
      <c r="M55" s="44"/>
    </row>
    <row r="56" spans="1:13" ht="15" x14ac:dyDescent="0.2">
      <c r="A56" s="47" t="s">
        <v>81</v>
      </c>
      <c r="B56" s="47" t="s">
        <v>83</v>
      </c>
      <c r="C56" s="47">
        <v>39</v>
      </c>
      <c r="D56" s="48">
        <v>64.5</v>
      </c>
      <c r="E56" s="48">
        <v>77</v>
      </c>
      <c r="F56" s="47" t="s">
        <v>224</v>
      </c>
      <c r="G56" s="48">
        <v>1180</v>
      </c>
      <c r="H56" s="48">
        <f t="shared" si="3"/>
        <v>3003</v>
      </c>
      <c r="I56" s="48">
        <f t="shared" si="4"/>
        <v>2515.5</v>
      </c>
      <c r="J56" s="48">
        <f t="shared" si="5"/>
        <v>487.5</v>
      </c>
      <c r="K56" s="55"/>
      <c r="L56" s="44"/>
      <c r="M56" s="44"/>
    </row>
    <row r="57" spans="1:13" ht="15" x14ac:dyDescent="0.2">
      <c r="A57" s="47" t="s">
        <v>233</v>
      </c>
      <c r="B57" s="47" t="s">
        <v>75</v>
      </c>
      <c r="C57" s="47">
        <v>137</v>
      </c>
      <c r="D57" s="48">
        <v>66.5</v>
      </c>
      <c r="E57" s="48">
        <v>77</v>
      </c>
      <c r="F57" s="47" t="s">
        <v>224</v>
      </c>
      <c r="G57" s="48">
        <v>1180</v>
      </c>
      <c r="H57" s="48">
        <f t="shared" si="3"/>
        <v>10549</v>
      </c>
      <c r="I57" s="48">
        <f t="shared" si="4"/>
        <v>9110.5</v>
      </c>
      <c r="J57" s="48">
        <f t="shared" si="5"/>
        <v>1438.5</v>
      </c>
      <c r="K57" s="55"/>
      <c r="L57" s="44"/>
      <c r="M57" s="44"/>
    </row>
    <row r="58" spans="1:13" ht="15" x14ac:dyDescent="0.2">
      <c r="A58" s="47" t="s">
        <v>233</v>
      </c>
      <c r="B58" s="47" t="s">
        <v>83</v>
      </c>
      <c r="C58" s="47">
        <v>138</v>
      </c>
      <c r="D58" s="48">
        <v>64.5</v>
      </c>
      <c r="E58" s="48">
        <v>77</v>
      </c>
      <c r="F58" s="47" t="s">
        <v>224</v>
      </c>
      <c r="G58" s="48">
        <v>1180</v>
      </c>
      <c r="H58" s="48">
        <f t="shared" si="3"/>
        <v>10626</v>
      </c>
      <c r="I58" s="48">
        <f t="shared" si="4"/>
        <v>8901</v>
      </c>
      <c r="J58" s="48">
        <f t="shared" si="5"/>
        <v>1725</v>
      </c>
      <c r="K58" s="55"/>
      <c r="L58" s="44"/>
      <c r="M58" s="44"/>
    </row>
    <row r="59" spans="1:13" ht="15" x14ac:dyDescent="0.2">
      <c r="A59" s="47" t="s">
        <v>149</v>
      </c>
      <c r="B59" s="47" t="s">
        <v>158</v>
      </c>
      <c r="C59" s="47">
        <v>258</v>
      </c>
      <c r="D59" s="48">
        <v>73</v>
      </c>
      <c r="E59" s="48">
        <v>90</v>
      </c>
      <c r="F59" s="47" t="s">
        <v>234</v>
      </c>
      <c r="G59" s="48">
        <v>0</v>
      </c>
      <c r="H59" s="48">
        <f t="shared" si="3"/>
        <v>23220</v>
      </c>
      <c r="I59" s="48">
        <f t="shared" si="4"/>
        <v>18834</v>
      </c>
      <c r="J59" s="48">
        <f t="shared" si="5"/>
        <v>4386</v>
      </c>
      <c r="K59" s="55" t="s">
        <v>235</v>
      </c>
      <c r="L59" s="44">
        <v>10</v>
      </c>
      <c r="M59" s="44">
        <f>IF(C59="","",C59*L59)</f>
        <v>2580</v>
      </c>
    </row>
    <row r="60" spans="1:13" ht="15" x14ac:dyDescent="0.2">
      <c r="A60" s="47" t="s">
        <v>149</v>
      </c>
      <c r="B60" s="47" t="s">
        <v>156</v>
      </c>
      <c r="C60" s="47">
        <v>252</v>
      </c>
      <c r="D60" s="48">
        <v>73</v>
      </c>
      <c r="E60" s="48">
        <v>85</v>
      </c>
      <c r="F60" s="47" t="s">
        <v>234</v>
      </c>
      <c r="G60" s="48">
        <v>0</v>
      </c>
      <c r="H60" s="48">
        <f t="shared" si="3"/>
        <v>21420</v>
      </c>
      <c r="I60" s="48">
        <f t="shared" si="4"/>
        <v>18396</v>
      </c>
      <c r="J60" s="48">
        <f t="shared" si="5"/>
        <v>3024</v>
      </c>
      <c r="K60" s="55" t="s">
        <v>236</v>
      </c>
      <c r="L60" s="44">
        <v>5</v>
      </c>
      <c r="M60" s="44">
        <f>IF(C60="","",C60*L60)</f>
        <v>1260</v>
      </c>
    </row>
    <row r="61" spans="1:13" ht="15" x14ac:dyDescent="0.2">
      <c r="A61" s="47" t="s">
        <v>149</v>
      </c>
      <c r="B61" s="47" t="s">
        <v>155</v>
      </c>
      <c r="C61" s="47">
        <v>253</v>
      </c>
      <c r="D61" s="48">
        <v>73</v>
      </c>
      <c r="E61" s="48">
        <v>85</v>
      </c>
      <c r="F61" s="47" t="s">
        <v>237</v>
      </c>
      <c r="G61" s="48">
        <v>0</v>
      </c>
      <c r="H61" s="48">
        <f t="shared" si="3"/>
        <v>21505</v>
      </c>
      <c r="I61" s="48">
        <f t="shared" si="4"/>
        <v>18469</v>
      </c>
      <c r="J61" s="48">
        <f t="shared" si="5"/>
        <v>3036</v>
      </c>
      <c r="K61" s="55" t="s">
        <v>238</v>
      </c>
      <c r="L61" s="44"/>
      <c r="M61" s="44"/>
    </row>
    <row r="62" spans="1:13" ht="15" x14ac:dyDescent="0.2">
      <c r="A62" s="47" t="s">
        <v>149</v>
      </c>
      <c r="B62" s="47" t="s">
        <v>75</v>
      </c>
      <c r="C62" s="47">
        <v>92</v>
      </c>
      <c r="D62" s="48">
        <v>66.5</v>
      </c>
      <c r="E62" s="48">
        <v>77</v>
      </c>
      <c r="F62" s="47" t="s">
        <v>224</v>
      </c>
      <c r="G62" s="48">
        <v>1180</v>
      </c>
      <c r="H62" s="48">
        <f t="shared" si="3"/>
        <v>7084</v>
      </c>
      <c r="I62" s="48">
        <f t="shared" si="4"/>
        <v>6118</v>
      </c>
      <c r="J62" s="48">
        <f t="shared" si="5"/>
        <v>966</v>
      </c>
      <c r="K62" s="55"/>
      <c r="L62" s="44"/>
      <c r="M62" s="44"/>
    </row>
    <row r="63" spans="1:13" ht="15" x14ac:dyDescent="0.2">
      <c r="A63" s="47" t="s">
        <v>149</v>
      </c>
      <c r="B63" s="47" t="s">
        <v>73</v>
      </c>
      <c r="C63" s="47">
        <v>92</v>
      </c>
      <c r="D63" s="48">
        <v>64.5</v>
      </c>
      <c r="E63" s="48">
        <v>77</v>
      </c>
      <c r="F63" s="47" t="s">
        <v>224</v>
      </c>
      <c r="G63" s="48">
        <v>1180</v>
      </c>
      <c r="H63" s="48">
        <f t="shared" si="3"/>
        <v>7084</v>
      </c>
      <c r="I63" s="48">
        <f t="shared" si="4"/>
        <v>5934</v>
      </c>
      <c r="J63" s="48">
        <f t="shared" si="5"/>
        <v>1150</v>
      </c>
      <c r="K63" s="55"/>
      <c r="L63" s="44"/>
      <c r="M63" s="44"/>
    </row>
    <row r="64" spans="1:13" ht="15" x14ac:dyDescent="0.2">
      <c r="A64" s="47" t="s">
        <v>149</v>
      </c>
      <c r="B64" s="47" t="s">
        <v>239</v>
      </c>
      <c r="C64" s="47">
        <v>34.5</v>
      </c>
      <c r="D64" s="48">
        <v>70</v>
      </c>
      <c r="E64" s="48">
        <v>85</v>
      </c>
      <c r="F64" s="47" t="s">
        <v>237</v>
      </c>
      <c r="G64" s="48">
        <v>0</v>
      </c>
      <c r="H64" s="48">
        <f t="shared" si="3"/>
        <v>2932.5</v>
      </c>
      <c r="I64" s="48">
        <f t="shared" si="4"/>
        <v>2415</v>
      </c>
      <c r="J64" s="48">
        <f t="shared" si="5"/>
        <v>517.5</v>
      </c>
      <c r="K64" s="55" t="s">
        <v>240</v>
      </c>
      <c r="L64" s="44"/>
      <c r="M64" s="44"/>
    </row>
    <row r="65" spans="1:13" ht="15" x14ac:dyDescent="0.2">
      <c r="A65" s="47" t="s">
        <v>157</v>
      </c>
      <c r="B65" s="47" t="s">
        <v>172</v>
      </c>
      <c r="C65" s="47">
        <v>209</v>
      </c>
      <c r="D65" s="48">
        <v>64.5</v>
      </c>
      <c r="E65" s="48">
        <v>77</v>
      </c>
      <c r="F65" s="47" t="s">
        <v>20</v>
      </c>
      <c r="G65" s="48">
        <v>1180</v>
      </c>
      <c r="H65" s="48">
        <f t="shared" si="3"/>
        <v>16093</v>
      </c>
      <c r="I65" s="48">
        <f t="shared" si="4"/>
        <v>13480.5</v>
      </c>
      <c r="J65" s="48">
        <f t="shared" si="5"/>
        <v>2612.5</v>
      </c>
      <c r="K65" s="55" t="s">
        <v>261</v>
      </c>
      <c r="L65" s="44"/>
      <c r="M65" s="44"/>
    </row>
    <row r="66" spans="1:13" ht="15" x14ac:dyDescent="0.2">
      <c r="A66" s="47" t="s">
        <v>120</v>
      </c>
      <c r="B66" s="47" t="s">
        <v>125</v>
      </c>
      <c r="C66" s="47">
        <v>229</v>
      </c>
      <c r="D66" s="48">
        <v>67</v>
      </c>
      <c r="E66" s="48">
        <v>77</v>
      </c>
      <c r="F66" s="47" t="s">
        <v>231</v>
      </c>
      <c r="G66" s="48">
        <v>0</v>
      </c>
      <c r="H66" s="48">
        <f t="shared" si="3"/>
        <v>17633</v>
      </c>
      <c r="I66" s="48">
        <f t="shared" si="4"/>
        <v>15343</v>
      </c>
      <c r="J66" s="48">
        <f t="shared" si="5"/>
        <v>2290</v>
      </c>
      <c r="K66" s="55"/>
      <c r="L66" s="44"/>
      <c r="M66" s="44"/>
    </row>
    <row r="67" spans="1:13" ht="15" x14ac:dyDescent="0.2">
      <c r="A67" s="47" t="s">
        <v>120</v>
      </c>
      <c r="B67" s="47" t="s">
        <v>121</v>
      </c>
      <c r="C67" s="47">
        <v>223</v>
      </c>
      <c r="D67" s="48">
        <v>67</v>
      </c>
      <c r="E67" s="48">
        <v>77</v>
      </c>
      <c r="F67" s="47" t="s">
        <v>231</v>
      </c>
      <c r="G67" s="48">
        <v>0</v>
      </c>
      <c r="H67" s="48">
        <f t="shared" si="3"/>
        <v>17171</v>
      </c>
      <c r="I67" s="48">
        <f t="shared" si="4"/>
        <v>14941</v>
      </c>
      <c r="J67" s="48">
        <f t="shared" si="5"/>
        <v>2230</v>
      </c>
      <c r="K67" s="55"/>
      <c r="L67" s="44"/>
      <c r="M67" s="44"/>
    </row>
    <row r="68" spans="1:13" ht="15.75" x14ac:dyDescent="0.25">
      <c r="A68" s="49" t="s">
        <v>59</v>
      </c>
      <c r="B68" s="49"/>
      <c r="C68" s="49"/>
      <c r="D68" s="49"/>
      <c r="E68" s="49"/>
      <c r="F68" s="49"/>
      <c r="G68" s="50">
        <f>SUM(G9:G67)</f>
        <v>30680</v>
      </c>
      <c r="H68" s="50">
        <f>SUM(H9:H67)</f>
        <v>1047144.5</v>
      </c>
      <c r="I68" s="50">
        <f>SUM(I9:I67)</f>
        <v>881166</v>
      </c>
      <c r="J68" s="50">
        <f>SUM(J9:J67)</f>
        <v>165978.5</v>
      </c>
      <c r="K68" s="49"/>
      <c r="L68" s="42"/>
      <c r="M68" s="42">
        <f>SUM(M9:M67)</f>
        <v>5872</v>
      </c>
    </row>
  </sheetData>
  <conditionalFormatting sqref="A9:B67">
    <cfRule type="expression" dxfId="17" priority="2" stopIfTrue="1">
      <formula>AND($C9&lt;&gt;"",$C9&lt;230)</formula>
    </cfRule>
  </conditionalFormatting>
  <conditionalFormatting sqref="C9:C67">
    <cfRule type="expression" dxfId="16" priority="1" stopIfTrue="1">
      <formula>AND($C9&lt;&gt;"",$C9&lt;230)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J1000"/>
  <sheetViews>
    <sheetView showGridLines="0" rightToLeft="1" workbookViewId="0">
      <pane ySplit="8" topLeftCell="A9" activePane="bottomLeft" state="frozen"/>
      <selection pane="bottomLeft" activeCell="H82" sqref="H82:H95"/>
    </sheetView>
  </sheetViews>
  <sheetFormatPr defaultColWidth="12.625" defaultRowHeight="15" customHeight="1" x14ac:dyDescent="0.2"/>
  <cols>
    <col min="1" max="1" width="34.625" customWidth="1"/>
    <col min="4" max="4" width="20.5" customWidth="1"/>
    <col min="5" max="5" width="21" customWidth="1"/>
    <col min="11" max="25" width="8.625" customWidth="1"/>
  </cols>
  <sheetData>
    <row r="1" spans="1:10" ht="14.25" customHeight="1" x14ac:dyDescent="0.25">
      <c r="A1" s="1" t="s">
        <v>3</v>
      </c>
      <c r="B1" s="3"/>
      <c r="C1" s="3"/>
      <c r="D1" s="3"/>
      <c r="E1" s="3"/>
      <c r="F1" s="3"/>
      <c r="G1" s="3"/>
      <c r="H1" s="3"/>
      <c r="I1" s="3"/>
      <c r="J1" s="3"/>
    </row>
    <row r="2" spans="1:10" ht="14.25" customHeight="1" x14ac:dyDescent="0.2">
      <c r="A2" s="4"/>
      <c r="B2" s="4"/>
      <c r="C2" s="4"/>
      <c r="D2" s="4"/>
      <c r="E2" s="4"/>
      <c r="F2" s="4"/>
      <c r="G2" s="4"/>
      <c r="H2" s="4"/>
      <c r="I2" s="4"/>
      <c r="J2" s="4"/>
    </row>
    <row r="3" spans="1:10" ht="14.25" customHeight="1" x14ac:dyDescent="0.2">
      <c r="A3" s="4" t="s">
        <v>15</v>
      </c>
      <c r="B3" s="7">
        <f>H75</f>
        <v>971024.5</v>
      </c>
      <c r="C3" s="4"/>
      <c r="D3" s="4"/>
      <c r="E3" s="4"/>
      <c r="F3" s="4"/>
      <c r="G3" s="4"/>
      <c r="H3" s="4"/>
      <c r="I3" s="4"/>
      <c r="J3" s="4"/>
    </row>
    <row r="4" spans="1:10" ht="14.25" customHeight="1" x14ac:dyDescent="0.2">
      <c r="A4" s="4" t="s">
        <v>21</v>
      </c>
      <c r="B4" s="7">
        <f>I75</f>
        <v>795551.25</v>
      </c>
      <c r="C4" s="4"/>
      <c r="D4" s="4"/>
      <c r="E4" s="4"/>
      <c r="F4" s="4"/>
      <c r="G4" s="4"/>
      <c r="H4" s="4"/>
      <c r="I4" s="4"/>
      <c r="J4" s="4"/>
    </row>
    <row r="5" spans="1:10" ht="14.25" customHeight="1" x14ac:dyDescent="0.25">
      <c r="A5" s="8" t="s">
        <v>25</v>
      </c>
      <c r="B5" s="9">
        <f>B3-B4</f>
        <v>175473.25</v>
      </c>
      <c r="C5" s="4"/>
      <c r="D5" s="4"/>
      <c r="E5" s="4"/>
      <c r="F5" s="4"/>
      <c r="G5" s="4"/>
      <c r="H5" s="4"/>
      <c r="I5" s="4"/>
      <c r="J5" s="4"/>
    </row>
    <row r="6" spans="1:10" ht="14.25" customHeight="1" x14ac:dyDescent="0.25">
      <c r="A6" s="8" t="s">
        <v>30</v>
      </c>
      <c r="B6" s="10">
        <f>B5/B3</f>
        <v>0.18070939507705522</v>
      </c>
      <c r="C6" s="4"/>
      <c r="D6" s="4"/>
      <c r="E6" s="4"/>
      <c r="F6" s="4"/>
      <c r="G6" s="4"/>
      <c r="H6" s="4"/>
      <c r="I6" s="4"/>
      <c r="J6" s="4"/>
    </row>
    <row r="7" spans="1:10" ht="20.100000000000001" customHeight="1" x14ac:dyDescent="0.25">
      <c r="A7" s="4"/>
      <c r="B7" s="4"/>
      <c r="C7" s="4"/>
      <c r="D7" s="38" t="s">
        <v>208</v>
      </c>
      <c r="E7" s="39">
        <v>230</v>
      </c>
      <c r="F7" s="38" t="s">
        <v>209</v>
      </c>
      <c r="G7" s="4"/>
      <c r="H7" s="4"/>
      <c r="I7" s="4"/>
      <c r="J7" s="4"/>
    </row>
    <row r="8" spans="1:10" ht="14.25" customHeight="1" x14ac:dyDescent="0.25">
      <c r="A8" s="6" t="s">
        <v>36</v>
      </c>
      <c r="B8" s="6" t="s">
        <v>37</v>
      </c>
      <c r="C8" s="6" t="s">
        <v>38</v>
      </c>
      <c r="D8" s="6" t="s">
        <v>40</v>
      </c>
      <c r="E8" s="6" t="s">
        <v>42</v>
      </c>
      <c r="F8" s="6" t="s">
        <v>44</v>
      </c>
      <c r="G8" s="6" t="s">
        <v>45</v>
      </c>
      <c r="H8" s="6" t="s">
        <v>8</v>
      </c>
      <c r="I8" s="6" t="s">
        <v>46</v>
      </c>
      <c r="J8" s="6" t="s">
        <v>25</v>
      </c>
    </row>
    <row r="9" spans="1:10" ht="14.25" customHeight="1" x14ac:dyDescent="0.2">
      <c r="A9" s="4" t="s">
        <v>48</v>
      </c>
      <c r="B9" s="4" t="s">
        <v>49</v>
      </c>
      <c r="C9" s="4">
        <v>231</v>
      </c>
      <c r="D9" s="4">
        <v>78</v>
      </c>
      <c r="E9" s="4">
        <v>90</v>
      </c>
      <c r="F9" s="4"/>
      <c r="G9" s="7">
        <v>0</v>
      </c>
      <c r="H9" s="7">
        <f t="shared" ref="H9:H74" si="0">C9*E9</f>
        <v>20790</v>
      </c>
      <c r="I9" s="7">
        <f t="shared" ref="I9:I74" si="1">C9*D9</f>
        <v>18018</v>
      </c>
      <c r="J9" s="7">
        <f t="shared" ref="J9:J74" si="2">H9-I9</f>
        <v>2772</v>
      </c>
    </row>
    <row r="10" spans="1:10" ht="14.25" customHeight="1" x14ac:dyDescent="0.2">
      <c r="A10" s="4" t="s">
        <v>48</v>
      </c>
      <c r="B10" s="4" t="s">
        <v>55</v>
      </c>
      <c r="C10" s="4">
        <v>246</v>
      </c>
      <c r="D10" s="4">
        <v>78</v>
      </c>
      <c r="E10" s="4">
        <v>95</v>
      </c>
      <c r="F10" s="4"/>
      <c r="G10" s="7">
        <v>0</v>
      </c>
      <c r="H10" s="7">
        <f t="shared" si="0"/>
        <v>23370</v>
      </c>
      <c r="I10" s="7">
        <f t="shared" si="1"/>
        <v>19188</v>
      </c>
      <c r="J10" s="7">
        <f t="shared" si="2"/>
        <v>4182</v>
      </c>
    </row>
    <row r="11" spans="1:10" ht="14.25" customHeight="1" x14ac:dyDescent="0.2">
      <c r="A11" s="4" t="s">
        <v>48</v>
      </c>
      <c r="B11" s="4" t="s">
        <v>58</v>
      </c>
      <c r="C11" s="4">
        <v>248.5</v>
      </c>
      <c r="D11" s="4">
        <v>78</v>
      </c>
      <c r="E11" s="4">
        <v>95</v>
      </c>
      <c r="F11" s="4"/>
      <c r="G11" s="7">
        <v>0</v>
      </c>
      <c r="H11" s="7">
        <f t="shared" si="0"/>
        <v>23607.5</v>
      </c>
      <c r="I11" s="7">
        <f t="shared" si="1"/>
        <v>19383</v>
      </c>
      <c r="J11" s="7">
        <f t="shared" si="2"/>
        <v>4224.5</v>
      </c>
    </row>
    <row r="12" spans="1:10" ht="14.25" customHeight="1" x14ac:dyDescent="0.2">
      <c r="A12" s="4" t="s">
        <v>48</v>
      </c>
      <c r="B12" s="4" t="s">
        <v>61</v>
      </c>
      <c r="C12" s="4">
        <v>231.5</v>
      </c>
      <c r="D12" s="4">
        <v>78</v>
      </c>
      <c r="E12" s="4">
        <v>90</v>
      </c>
      <c r="F12" s="4"/>
      <c r="G12" s="7">
        <v>0</v>
      </c>
      <c r="H12" s="7">
        <f t="shared" si="0"/>
        <v>20835</v>
      </c>
      <c r="I12" s="7">
        <f t="shared" si="1"/>
        <v>18057</v>
      </c>
      <c r="J12" s="7">
        <f t="shared" si="2"/>
        <v>2778</v>
      </c>
    </row>
    <row r="13" spans="1:10" ht="14.25" customHeight="1" x14ac:dyDescent="0.2">
      <c r="A13" s="4" t="s">
        <v>64</v>
      </c>
      <c r="B13" s="4" t="s">
        <v>66</v>
      </c>
      <c r="C13" s="4">
        <v>66</v>
      </c>
      <c r="D13" s="4">
        <v>0</v>
      </c>
      <c r="E13" s="4">
        <v>77</v>
      </c>
      <c r="F13" s="4" t="s">
        <v>16</v>
      </c>
      <c r="G13" s="7">
        <v>1180</v>
      </c>
      <c r="H13" s="7">
        <f t="shared" si="0"/>
        <v>5082</v>
      </c>
      <c r="I13" s="7">
        <f t="shared" si="1"/>
        <v>0</v>
      </c>
      <c r="J13" s="7">
        <f t="shared" si="2"/>
        <v>5082</v>
      </c>
    </row>
    <row r="14" spans="1:10" ht="14.25" customHeight="1" x14ac:dyDescent="0.2">
      <c r="A14" s="4" t="s">
        <v>64</v>
      </c>
      <c r="B14" s="4" t="s">
        <v>68</v>
      </c>
      <c r="C14" s="4">
        <v>242</v>
      </c>
      <c r="D14" s="4">
        <v>64.5</v>
      </c>
      <c r="E14" s="4">
        <v>77</v>
      </c>
      <c r="F14" s="4" t="s">
        <v>69</v>
      </c>
      <c r="G14" s="7">
        <v>1180</v>
      </c>
      <c r="H14" s="7">
        <f t="shared" si="0"/>
        <v>18634</v>
      </c>
      <c r="I14" s="7">
        <f t="shared" si="1"/>
        <v>15609</v>
      </c>
      <c r="J14" s="7">
        <f t="shared" si="2"/>
        <v>3025</v>
      </c>
    </row>
    <row r="15" spans="1:10" ht="14.25" customHeight="1" x14ac:dyDescent="0.2">
      <c r="A15" s="4" t="s">
        <v>64</v>
      </c>
      <c r="B15" s="4" t="s">
        <v>71</v>
      </c>
      <c r="C15" s="4">
        <v>220</v>
      </c>
      <c r="D15" s="4">
        <v>64.5</v>
      </c>
      <c r="E15" s="4">
        <v>77</v>
      </c>
      <c r="F15" s="4" t="s">
        <v>69</v>
      </c>
      <c r="G15" s="7">
        <v>1180</v>
      </c>
      <c r="H15" s="7">
        <f t="shared" si="0"/>
        <v>16940</v>
      </c>
      <c r="I15" s="7">
        <f t="shared" si="1"/>
        <v>14190</v>
      </c>
      <c r="J15" s="7">
        <f t="shared" si="2"/>
        <v>2750</v>
      </c>
    </row>
    <row r="16" spans="1:10" ht="14.25" customHeight="1" x14ac:dyDescent="0.2">
      <c r="A16" s="4" t="s">
        <v>64</v>
      </c>
      <c r="B16" s="4" t="s">
        <v>72</v>
      </c>
      <c r="C16" s="4">
        <v>243</v>
      </c>
      <c r="D16" s="4">
        <v>64.5</v>
      </c>
      <c r="E16" s="4">
        <v>77</v>
      </c>
      <c r="F16" s="4" t="s">
        <v>69</v>
      </c>
      <c r="G16" s="7">
        <v>1180</v>
      </c>
      <c r="H16" s="7">
        <f t="shared" si="0"/>
        <v>18711</v>
      </c>
      <c r="I16" s="7">
        <f t="shared" si="1"/>
        <v>15673.5</v>
      </c>
      <c r="J16" s="7">
        <f t="shared" si="2"/>
        <v>3037.5</v>
      </c>
    </row>
    <row r="17" spans="1:10" ht="14.25" customHeight="1" x14ac:dyDescent="0.2">
      <c r="A17" s="4" t="s">
        <v>64</v>
      </c>
      <c r="B17" s="4" t="s">
        <v>73</v>
      </c>
      <c r="C17" s="4">
        <v>83</v>
      </c>
      <c r="D17" s="4">
        <v>64.5</v>
      </c>
      <c r="E17" s="4">
        <v>77</v>
      </c>
      <c r="F17" s="4" t="s">
        <v>16</v>
      </c>
      <c r="G17" s="7">
        <v>1180</v>
      </c>
      <c r="H17" s="7">
        <f t="shared" si="0"/>
        <v>6391</v>
      </c>
      <c r="I17" s="7">
        <f t="shared" si="1"/>
        <v>5353.5</v>
      </c>
      <c r="J17" s="7">
        <f t="shared" si="2"/>
        <v>1037.5</v>
      </c>
    </row>
    <row r="18" spans="1:10" ht="14.25" customHeight="1" x14ac:dyDescent="0.2">
      <c r="A18" s="4" t="s">
        <v>64</v>
      </c>
      <c r="B18" s="4" t="s">
        <v>76</v>
      </c>
      <c r="C18" s="4">
        <v>60</v>
      </c>
      <c r="D18" s="4">
        <v>0</v>
      </c>
      <c r="E18" s="4">
        <v>77</v>
      </c>
      <c r="F18" s="4" t="s">
        <v>16</v>
      </c>
      <c r="G18" s="7">
        <v>1180</v>
      </c>
      <c r="H18" s="7">
        <f t="shared" si="0"/>
        <v>4620</v>
      </c>
      <c r="I18" s="7">
        <f t="shared" si="1"/>
        <v>0</v>
      </c>
      <c r="J18" s="7">
        <f t="shared" si="2"/>
        <v>4620</v>
      </c>
    </row>
    <row r="19" spans="1:10" ht="14.25" customHeight="1" x14ac:dyDescent="0.2">
      <c r="A19" s="4" t="s">
        <v>64</v>
      </c>
      <c r="B19" s="4" t="s">
        <v>74</v>
      </c>
      <c r="C19" s="4">
        <v>226</v>
      </c>
      <c r="D19" s="4">
        <v>64.5</v>
      </c>
      <c r="E19" s="4">
        <v>77</v>
      </c>
      <c r="F19" s="4" t="s">
        <v>69</v>
      </c>
      <c r="G19" s="7">
        <v>1180</v>
      </c>
      <c r="H19" s="7">
        <f t="shared" si="0"/>
        <v>17402</v>
      </c>
      <c r="I19" s="7">
        <f t="shared" si="1"/>
        <v>14577</v>
      </c>
      <c r="J19" s="7">
        <f t="shared" si="2"/>
        <v>2825</v>
      </c>
    </row>
    <row r="20" spans="1:10" ht="14.25" customHeight="1" x14ac:dyDescent="0.2">
      <c r="A20" s="4" t="s">
        <v>64</v>
      </c>
      <c r="B20" s="4" t="s">
        <v>75</v>
      </c>
      <c r="C20" s="4">
        <v>81</v>
      </c>
      <c r="D20" s="4">
        <v>64.5</v>
      </c>
      <c r="E20" s="4">
        <v>77</v>
      </c>
      <c r="F20" s="4" t="s">
        <v>16</v>
      </c>
      <c r="G20" s="7">
        <v>1180</v>
      </c>
      <c r="H20" s="7">
        <f t="shared" si="0"/>
        <v>6237</v>
      </c>
      <c r="I20" s="7">
        <f t="shared" si="1"/>
        <v>5224.5</v>
      </c>
      <c r="J20" s="7">
        <f t="shared" si="2"/>
        <v>1012.5</v>
      </c>
    </row>
    <row r="21" spans="1:10" ht="14.25" customHeight="1" x14ac:dyDescent="0.2">
      <c r="A21" s="4" t="s">
        <v>77</v>
      </c>
      <c r="B21" s="4" t="s">
        <v>78</v>
      </c>
      <c r="C21" s="4">
        <v>53</v>
      </c>
      <c r="D21" s="4">
        <v>81</v>
      </c>
      <c r="E21" s="4">
        <v>92</v>
      </c>
      <c r="F21" s="4"/>
      <c r="G21" s="7">
        <v>0</v>
      </c>
      <c r="H21" s="7">
        <f t="shared" si="0"/>
        <v>4876</v>
      </c>
      <c r="I21" s="7">
        <f t="shared" si="1"/>
        <v>4293</v>
      </c>
      <c r="J21" s="7">
        <f t="shared" si="2"/>
        <v>583</v>
      </c>
    </row>
    <row r="22" spans="1:10" ht="14.25" customHeight="1" x14ac:dyDescent="0.2">
      <c r="A22" s="4" t="s">
        <v>77</v>
      </c>
      <c r="B22" s="4" t="s">
        <v>79</v>
      </c>
      <c r="C22" s="4">
        <v>204</v>
      </c>
      <c r="D22" s="4">
        <v>81</v>
      </c>
      <c r="E22" s="4">
        <v>92</v>
      </c>
      <c r="F22" s="4"/>
      <c r="G22" s="7">
        <v>0</v>
      </c>
      <c r="H22" s="7">
        <f t="shared" si="0"/>
        <v>18768</v>
      </c>
      <c r="I22" s="7">
        <f t="shared" si="1"/>
        <v>16524</v>
      </c>
      <c r="J22" s="7">
        <f t="shared" si="2"/>
        <v>2244</v>
      </c>
    </row>
    <row r="23" spans="1:10" ht="14.25" customHeight="1" x14ac:dyDescent="0.2">
      <c r="A23" s="4" t="s">
        <v>77</v>
      </c>
      <c r="B23" s="4" t="s">
        <v>80</v>
      </c>
      <c r="C23" s="4">
        <v>209</v>
      </c>
      <c r="D23" s="4">
        <v>83</v>
      </c>
      <c r="E23" s="4">
        <v>92</v>
      </c>
      <c r="F23" s="4"/>
      <c r="G23" s="7">
        <v>0</v>
      </c>
      <c r="H23" s="7">
        <f t="shared" si="0"/>
        <v>19228</v>
      </c>
      <c r="I23" s="7">
        <f t="shared" si="1"/>
        <v>17347</v>
      </c>
      <c r="J23" s="7">
        <f t="shared" si="2"/>
        <v>1881</v>
      </c>
    </row>
    <row r="24" spans="1:10" ht="14.25" customHeight="1" x14ac:dyDescent="0.2">
      <c r="A24" s="4" t="s">
        <v>86</v>
      </c>
      <c r="B24" s="4" t="s">
        <v>87</v>
      </c>
      <c r="C24" s="4">
        <v>45</v>
      </c>
      <c r="D24" s="4">
        <v>73.5</v>
      </c>
      <c r="E24" s="4">
        <v>95</v>
      </c>
      <c r="F24" s="4" t="s">
        <v>89</v>
      </c>
      <c r="G24" s="7">
        <v>1180</v>
      </c>
      <c r="H24" s="7">
        <f t="shared" si="0"/>
        <v>4275</v>
      </c>
      <c r="I24" s="7">
        <f t="shared" si="1"/>
        <v>3307.5</v>
      </c>
      <c r="J24" s="7">
        <f t="shared" si="2"/>
        <v>967.5</v>
      </c>
    </row>
    <row r="25" spans="1:10" ht="14.25" customHeight="1" x14ac:dyDescent="0.2">
      <c r="A25" s="4" t="s">
        <v>86</v>
      </c>
      <c r="B25" s="4" t="s">
        <v>91</v>
      </c>
      <c r="C25" s="4">
        <v>45</v>
      </c>
      <c r="D25" s="4">
        <v>73.5</v>
      </c>
      <c r="E25" s="4">
        <v>95</v>
      </c>
      <c r="F25" s="4" t="s">
        <v>89</v>
      </c>
      <c r="G25" s="7">
        <v>1180</v>
      </c>
      <c r="H25" s="7">
        <f t="shared" si="0"/>
        <v>4275</v>
      </c>
      <c r="I25" s="7">
        <f t="shared" si="1"/>
        <v>3307.5</v>
      </c>
      <c r="J25" s="7">
        <f t="shared" si="2"/>
        <v>967.5</v>
      </c>
    </row>
    <row r="26" spans="1:10" ht="14.25" customHeight="1" x14ac:dyDescent="0.2">
      <c r="A26" s="4" t="s">
        <v>81</v>
      </c>
      <c r="B26" s="4" t="s">
        <v>82</v>
      </c>
      <c r="C26" s="4">
        <v>205</v>
      </c>
      <c r="D26" s="4">
        <v>64.5</v>
      </c>
      <c r="E26" s="4">
        <v>75</v>
      </c>
      <c r="F26" s="4" t="s">
        <v>69</v>
      </c>
      <c r="G26" s="7">
        <v>1180</v>
      </c>
      <c r="H26" s="7">
        <f t="shared" si="0"/>
        <v>15375</v>
      </c>
      <c r="I26" s="7">
        <f t="shared" si="1"/>
        <v>13222.5</v>
      </c>
      <c r="J26" s="7">
        <f t="shared" si="2"/>
        <v>2152.5</v>
      </c>
    </row>
    <row r="27" spans="1:10" ht="14.25" customHeight="1" x14ac:dyDescent="0.2">
      <c r="A27" s="4" t="s">
        <v>81</v>
      </c>
      <c r="B27" s="4" t="s">
        <v>83</v>
      </c>
      <c r="C27" s="4">
        <v>205</v>
      </c>
      <c r="D27" s="4">
        <v>64.5</v>
      </c>
      <c r="E27" s="4">
        <v>75</v>
      </c>
      <c r="F27" s="4" t="s">
        <v>69</v>
      </c>
      <c r="G27" s="7">
        <v>1180</v>
      </c>
      <c r="H27" s="7">
        <f t="shared" si="0"/>
        <v>15375</v>
      </c>
      <c r="I27" s="7">
        <f t="shared" si="1"/>
        <v>13222.5</v>
      </c>
      <c r="J27" s="7">
        <f t="shared" si="2"/>
        <v>2152.5</v>
      </c>
    </row>
    <row r="28" spans="1:10" ht="14.25" customHeight="1" x14ac:dyDescent="0.2">
      <c r="A28" s="4" t="s">
        <v>84</v>
      </c>
      <c r="B28" s="4" t="s">
        <v>85</v>
      </c>
      <c r="C28" s="4">
        <v>259</v>
      </c>
      <c r="D28" s="4">
        <v>70</v>
      </c>
      <c r="E28" s="4">
        <v>75</v>
      </c>
      <c r="F28" s="4"/>
      <c r="G28" s="7">
        <v>0</v>
      </c>
      <c r="H28" s="7">
        <f t="shared" si="0"/>
        <v>19425</v>
      </c>
      <c r="I28" s="7">
        <f t="shared" si="1"/>
        <v>18130</v>
      </c>
      <c r="J28" s="7">
        <f t="shared" si="2"/>
        <v>1295</v>
      </c>
    </row>
    <row r="29" spans="1:10" ht="14.25" customHeight="1" x14ac:dyDescent="0.2">
      <c r="A29" s="4" t="s">
        <v>84</v>
      </c>
      <c r="B29" s="4" t="s">
        <v>88</v>
      </c>
      <c r="C29" s="4">
        <v>241</v>
      </c>
      <c r="D29" s="4">
        <v>70</v>
      </c>
      <c r="E29" s="4">
        <v>75</v>
      </c>
      <c r="F29" s="4"/>
      <c r="G29" s="7">
        <v>0</v>
      </c>
      <c r="H29" s="7">
        <f t="shared" si="0"/>
        <v>18075</v>
      </c>
      <c r="I29" s="7">
        <f t="shared" si="1"/>
        <v>16870</v>
      </c>
      <c r="J29" s="7">
        <f t="shared" si="2"/>
        <v>1205</v>
      </c>
    </row>
    <row r="30" spans="1:10" ht="14.25" customHeight="1" x14ac:dyDescent="0.2">
      <c r="A30" s="4" t="s">
        <v>84</v>
      </c>
      <c r="B30" s="4" t="s">
        <v>90</v>
      </c>
      <c r="C30" s="4">
        <v>290.5</v>
      </c>
      <c r="D30" s="4">
        <v>70</v>
      </c>
      <c r="E30" s="4">
        <v>75</v>
      </c>
      <c r="F30" s="4"/>
      <c r="G30" s="7">
        <v>0</v>
      </c>
      <c r="H30" s="7">
        <f t="shared" si="0"/>
        <v>21787.5</v>
      </c>
      <c r="I30" s="7">
        <f t="shared" si="1"/>
        <v>20335</v>
      </c>
      <c r="J30" s="7">
        <f t="shared" si="2"/>
        <v>1452.5</v>
      </c>
    </row>
    <row r="31" spans="1:10" ht="14.25" customHeight="1" x14ac:dyDescent="0.2">
      <c r="A31" s="4" t="s">
        <v>84</v>
      </c>
      <c r="B31" s="4" t="s">
        <v>112</v>
      </c>
      <c r="C31" s="4">
        <v>109</v>
      </c>
      <c r="D31" s="4">
        <v>71.5</v>
      </c>
      <c r="E31" s="4">
        <v>75</v>
      </c>
      <c r="F31" s="4"/>
      <c r="G31" s="7">
        <v>0</v>
      </c>
      <c r="H31" s="7">
        <f t="shared" si="0"/>
        <v>8175</v>
      </c>
      <c r="I31" s="7">
        <f t="shared" si="1"/>
        <v>7793.5</v>
      </c>
      <c r="J31" s="7">
        <f t="shared" si="2"/>
        <v>381.5</v>
      </c>
    </row>
    <row r="32" spans="1:10" ht="14.25" customHeight="1" x14ac:dyDescent="0.2">
      <c r="A32" s="4" t="s">
        <v>84</v>
      </c>
      <c r="B32" s="4" t="s">
        <v>92</v>
      </c>
      <c r="C32" s="4">
        <v>292.5</v>
      </c>
      <c r="D32" s="4">
        <v>70</v>
      </c>
      <c r="E32" s="4">
        <v>75</v>
      </c>
      <c r="F32" s="4"/>
      <c r="G32" s="7">
        <v>0</v>
      </c>
      <c r="H32" s="7">
        <f t="shared" si="0"/>
        <v>21937.5</v>
      </c>
      <c r="I32" s="7">
        <f t="shared" si="1"/>
        <v>20475</v>
      </c>
      <c r="J32" s="7">
        <f t="shared" si="2"/>
        <v>1462.5</v>
      </c>
    </row>
    <row r="33" spans="1:10" ht="14.25" customHeight="1" x14ac:dyDescent="0.2">
      <c r="A33" s="4" t="s">
        <v>84</v>
      </c>
      <c r="B33" s="4" t="s">
        <v>128</v>
      </c>
      <c r="C33" s="4">
        <v>98</v>
      </c>
      <c r="D33" s="4">
        <v>71.5</v>
      </c>
      <c r="E33" s="4">
        <v>75</v>
      </c>
      <c r="F33" s="4"/>
      <c r="G33" s="7">
        <v>0</v>
      </c>
      <c r="H33" s="7">
        <f t="shared" si="0"/>
        <v>7350</v>
      </c>
      <c r="I33" s="7">
        <f t="shared" si="1"/>
        <v>7007</v>
      </c>
      <c r="J33" s="7">
        <f t="shared" si="2"/>
        <v>343</v>
      </c>
    </row>
    <row r="34" spans="1:10" ht="14.25" customHeight="1" x14ac:dyDescent="0.2">
      <c r="A34" s="4" t="s">
        <v>84</v>
      </c>
      <c r="B34" s="4" t="s">
        <v>93</v>
      </c>
      <c r="C34" s="4">
        <v>235</v>
      </c>
      <c r="D34" s="4">
        <v>70</v>
      </c>
      <c r="E34" s="4">
        <v>75</v>
      </c>
      <c r="F34" s="4"/>
      <c r="G34" s="7">
        <v>0</v>
      </c>
      <c r="H34" s="7">
        <f t="shared" si="0"/>
        <v>17625</v>
      </c>
      <c r="I34" s="7">
        <f t="shared" si="1"/>
        <v>16450</v>
      </c>
      <c r="J34" s="7">
        <f t="shared" si="2"/>
        <v>1175</v>
      </c>
    </row>
    <row r="35" spans="1:10" ht="14.25" customHeight="1" x14ac:dyDescent="0.2">
      <c r="A35" s="4" t="s">
        <v>84</v>
      </c>
      <c r="B35" s="4" t="s">
        <v>94</v>
      </c>
      <c r="C35" s="4">
        <v>275</v>
      </c>
      <c r="D35" s="4">
        <v>70</v>
      </c>
      <c r="E35" s="4">
        <v>75</v>
      </c>
      <c r="F35" s="4"/>
      <c r="G35" s="7">
        <v>0</v>
      </c>
      <c r="H35" s="7">
        <f t="shared" si="0"/>
        <v>20625</v>
      </c>
      <c r="I35" s="7">
        <f t="shared" si="1"/>
        <v>19250</v>
      </c>
      <c r="J35" s="7">
        <f t="shared" si="2"/>
        <v>1375</v>
      </c>
    </row>
    <row r="36" spans="1:10" ht="14.25" customHeight="1" x14ac:dyDescent="0.2">
      <c r="A36" s="4" t="s">
        <v>96</v>
      </c>
      <c r="B36" s="4" t="s">
        <v>148</v>
      </c>
      <c r="C36" s="4">
        <v>210</v>
      </c>
      <c r="D36" s="4">
        <v>65</v>
      </c>
      <c r="E36" s="4">
        <v>77</v>
      </c>
      <c r="F36" s="4"/>
      <c r="G36" s="7">
        <v>0</v>
      </c>
      <c r="H36" s="7">
        <f t="shared" si="0"/>
        <v>16170</v>
      </c>
      <c r="I36" s="7">
        <f t="shared" si="1"/>
        <v>13650</v>
      </c>
      <c r="J36" s="7">
        <f t="shared" si="2"/>
        <v>2520</v>
      </c>
    </row>
    <row r="37" spans="1:10" ht="14.25" customHeight="1" x14ac:dyDescent="0.2">
      <c r="A37" s="4" t="s">
        <v>99</v>
      </c>
      <c r="B37" s="4" t="s">
        <v>154</v>
      </c>
      <c r="C37" s="4">
        <v>87</v>
      </c>
      <c r="D37" s="4">
        <v>70</v>
      </c>
      <c r="E37" s="4">
        <v>95</v>
      </c>
      <c r="F37" s="4" t="s">
        <v>20</v>
      </c>
      <c r="G37" s="7">
        <v>1180</v>
      </c>
      <c r="H37" s="7">
        <f t="shared" si="0"/>
        <v>8265</v>
      </c>
      <c r="I37" s="7">
        <f t="shared" si="1"/>
        <v>6090</v>
      </c>
      <c r="J37" s="7">
        <f t="shared" si="2"/>
        <v>2175</v>
      </c>
    </row>
    <row r="38" spans="1:10" ht="14.25" customHeight="1" x14ac:dyDescent="0.2">
      <c r="A38" s="4" t="s">
        <v>99</v>
      </c>
      <c r="B38" s="4" t="s">
        <v>102</v>
      </c>
      <c r="C38" s="4">
        <v>52</v>
      </c>
      <c r="D38" s="4">
        <v>71</v>
      </c>
      <c r="E38" s="4">
        <v>95</v>
      </c>
      <c r="F38" s="4" t="s">
        <v>20</v>
      </c>
      <c r="G38" s="7">
        <v>1180</v>
      </c>
      <c r="H38" s="7">
        <f t="shared" si="0"/>
        <v>4940</v>
      </c>
      <c r="I38" s="7">
        <f t="shared" si="1"/>
        <v>3692</v>
      </c>
      <c r="J38" s="7">
        <f t="shared" si="2"/>
        <v>1248</v>
      </c>
    </row>
    <row r="39" spans="1:10" ht="14.25" customHeight="1" x14ac:dyDescent="0.2">
      <c r="A39" s="4" t="s">
        <v>99</v>
      </c>
      <c r="B39" s="4" t="s">
        <v>103</v>
      </c>
      <c r="C39" s="4">
        <v>51</v>
      </c>
      <c r="D39" s="4">
        <v>71</v>
      </c>
      <c r="E39" s="4">
        <v>95</v>
      </c>
      <c r="F39" s="4" t="s">
        <v>20</v>
      </c>
      <c r="G39" s="7">
        <v>1180</v>
      </c>
      <c r="H39" s="7">
        <f t="shared" si="0"/>
        <v>4845</v>
      </c>
      <c r="I39" s="7">
        <f t="shared" si="1"/>
        <v>3621</v>
      </c>
      <c r="J39" s="7">
        <f t="shared" si="2"/>
        <v>1224</v>
      </c>
    </row>
    <row r="40" spans="1:10" ht="14.25" customHeight="1" x14ac:dyDescent="0.2">
      <c r="A40" s="4" t="s">
        <v>107</v>
      </c>
      <c r="B40" s="4" t="s">
        <v>108</v>
      </c>
      <c r="C40" s="4">
        <v>87</v>
      </c>
      <c r="D40" s="4">
        <v>67</v>
      </c>
      <c r="E40" s="4">
        <v>80</v>
      </c>
      <c r="F40" s="4"/>
      <c r="G40" s="7">
        <v>0</v>
      </c>
      <c r="H40" s="7">
        <f t="shared" si="0"/>
        <v>6960</v>
      </c>
      <c r="I40" s="7">
        <f t="shared" si="1"/>
        <v>5829</v>
      </c>
      <c r="J40" s="7">
        <f t="shared" si="2"/>
        <v>1131</v>
      </c>
    </row>
    <row r="41" spans="1:10" ht="14.25" customHeight="1" x14ac:dyDescent="0.2">
      <c r="A41" s="4" t="s">
        <v>107</v>
      </c>
      <c r="B41" s="4" t="s">
        <v>113</v>
      </c>
      <c r="C41" s="4">
        <v>87</v>
      </c>
      <c r="D41" s="4">
        <v>67</v>
      </c>
      <c r="E41" s="4">
        <v>80</v>
      </c>
      <c r="F41" s="4"/>
      <c r="G41" s="7">
        <v>0</v>
      </c>
      <c r="H41" s="7">
        <f t="shared" si="0"/>
        <v>6960</v>
      </c>
      <c r="I41" s="7">
        <f t="shared" si="1"/>
        <v>5829</v>
      </c>
      <c r="J41" s="7">
        <f t="shared" si="2"/>
        <v>1131</v>
      </c>
    </row>
    <row r="42" spans="1:10" ht="14.25" customHeight="1" x14ac:dyDescent="0.2">
      <c r="A42" s="4" t="s">
        <v>120</v>
      </c>
      <c r="B42" s="4" t="s">
        <v>121</v>
      </c>
      <c r="C42" s="4">
        <v>223.5</v>
      </c>
      <c r="D42" s="4">
        <v>67</v>
      </c>
      <c r="E42" s="4">
        <v>77</v>
      </c>
      <c r="F42" s="4"/>
      <c r="G42" s="7">
        <v>0</v>
      </c>
      <c r="H42" s="7">
        <f t="shared" si="0"/>
        <v>17209.5</v>
      </c>
      <c r="I42" s="7">
        <f t="shared" si="1"/>
        <v>14974.5</v>
      </c>
      <c r="J42" s="7">
        <f t="shared" si="2"/>
        <v>2235</v>
      </c>
    </row>
    <row r="43" spans="1:10" ht="14.25" customHeight="1" x14ac:dyDescent="0.2">
      <c r="A43" s="4" t="s">
        <v>120</v>
      </c>
      <c r="B43" s="4" t="s">
        <v>125</v>
      </c>
      <c r="C43" s="4">
        <v>223.5</v>
      </c>
      <c r="D43" s="4">
        <v>67</v>
      </c>
      <c r="E43" s="4">
        <v>77</v>
      </c>
      <c r="F43" s="4"/>
      <c r="G43" s="7">
        <v>0</v>
      </c>
      <c r="H43" s="7">
        <f t="shared" si="0"/>
        <v>17209.5</v>
      </c>
      <c r="I43" s="7">
        <f t="shared" si="1"/>
        <v>14974.5</v>
      </c>
      <c r="J43" s="7">
        <f t="shared" si="2"/>
        <v>2235</v>
      </c>
    </row>
    <row r="44" spans="1:10" ht="14.25" customHeight="1" x14ac:dyDescent="0.2">
      <c r="A44" s="4" t="s">
        <v>134</v>
      </c>
      <c r="B44" s="4" t="s">
        <v>136</v>
      </c>
      <c r="C44" s="4">
        <v>287</v>
      </c>
      <c r="D44" s="4">
        <v>83</v>
      </c>
      <c r="E44" s="4">
        <v>105</v>
      </c>
      <c r="F44" s="4" t="s">
        <v>18</v>
      </c>
      <c r="G44" s="7">
        <v>1180</v>
      </c>
      <c r="H44" s="7">
        <f t="shared" si="0"/>
        <v>30135</v>
      </c>
      <c r="I44" s="7">
        <f t="shared" si="1"/>
        <v>23821</v>
      </c>
      <c r="J44" s="7">
        <f t="shared" si="2"/>
        <v>6314</v>
      </c>
    </row>
    <row r="45" spans="1:10" ht="14.25" customHeight="1" x14ac:dyDescent="0.2">
      <c r="A45" s="4" t="s">
        <v>134</v>
      </c>
      <c r="B45" s="4" t="s">
        <v>142</v>
      </c>
      <c r="C45" s="4">
        <v>201</v>
      </c>
      <c r="D45" s="4">
        <v>75</v>
      </c>
      <c r="E45" s="4">
        <v>100</v>
      </c>
      <c r="F45" s="4"/>
      <c r="G45" s="7">
        <v>0</v>
      </c>
      <c r="H45" s="7">
        <f t="shared" si="0"/>
        <v>20100</v>
      </c>
      <c r="I45" s="7">
        <f t="shared" si="1"/>
        <v>15075</v>
      </c>
      <c r="J45" s="7">
        <f t="shared" si="2"/>
        <v>5025</v>
      </c>
    </row>
    <row r="46" spans="1:10" ht="14.25" customHeight="1" x14ac:dyDescent="0.2">
      <c r="A46" s="4" t="s">
        <v>134</v>
      </c>
      <c r="B46" s="4" t="s">
        <v>146</v>
      </c>
      <c r="C46" s="4">
        <v>266</v>
      </c>
      <c r="D46" s="4">
        <v>80</v>
      </c>
      <c r="E46" s="4">
        <v>100</v>
      </c>
      <c r="F46" s="4" t="s">
        <v>18</v>
      </c>
      <c r="G46" s="7">
        <v>1180</v>
      </c>
      <c r="H46" s="7">
        <f t="shared" si="0"/>
        <v>26600</v>
      </c>
      <c r="I46" s="7">
        <f t="shared" si="1"/>
        <v>21280</v>
      </c>
      <c r="J46" s="7">
        <f t="shared" si="2"/>
        <v>5320</v>
      </c>
    </row>
    <row r="47" spans="1:10" ht="14.25" customHeight="1" x14ac:dyDescent="0.2">
      <c r="A47" s="4" t="s">
        <v>134</v>
      </c>
      <c r="B47" s="4" t="s">
        <v>147</v>
      </c>
      <c r="C47" s="4">
        <v>248.5</v>
      </c>
      <c r="D47" s="4">
        <v>83</v>
      </c>
      <c r="E47" s="4">
        <v>100</v>
      </c>
      <c r="F47" s="4"/>
      <c r="G47" s="7">
        <v>0</v>
      </c>
      <c r="H47" s="7">
        <f t="shared" si="0"/>
        <v>24850</v>
      </c>
      <c r="I47" s="7">
        <f t="shared" si="1"/>
        <v>20625.5</v>
      </c>
      <c r="J47" s="7">
        <f t="shared" si="2"/>
        <v>4224.5</v>
      </c>
    </row>
    <row r="48" spans="1:10" ht="14.25" customHeight="1" x14ac:dyDescent="0.2">
      <c r="A48" s="4" t="s">
        <v>134</v>
      </c>
      <c r="B48" s="4" t="s">
        <v>152</v>
      </c>
      <c r="C48" s="4">
        <v>269</v>
      </c>
      <c r="D48" s="4">
        <v>81.5</v>
      </c>
      <c r="E48" s="4">
        <v>100</v>
      </c>
      <c r="F48" s="4"/>
      <c r="G48" s="7">
        <v>0</v>
      </c>
      <c r="H48" s="7">
        <f t="shared" si="0"/>
        <v>26900</v>
      </c>
      <c r="I48" s="7">
        <f t="shared" si="1"/>
        <v>21923.5</v>
      </c>
      <c r="J48" s="7">
        <f t="shared" si="2"/>
        <v>4976.5</v>
      </c>
    </row>
    <row r="49" spans="1:10" ht="14.25" customHeight="1" x14ac:dyDescent="0.2">
      <c r="A49" s="4" t="s">
        <v>134</v>
      </c>
      <c r="B49" s="4" t="s">
        <v>167</v>
      </c>
      <c r="C49" s="4">
        <v>255</v>
      </c>
      <c r="D49" s="4">
        <v>77</v>
      </c>
      <c r="E49" s="4">
        <v>105</v>
      </c>
      <c r="F49" s="4" t="s">
        <v>18</v>
      </c>
      <c r="G49" s="7">
        <v>1180</v>
      </c>
      <c r="H49" s="7">
        <f t="shared" si="0"/>
        <v>26775</v>
      </c>
      <c r="I49" s="7">
        <f t="shared" si="1"/>
        <v>19635</v>
      </c>
      <c r="J49" s="7">
        <f t="shared" si="2"/>
        <v>7140</v>
      </c>
    </row>
    <row r="50" spans="1:10" ht="14.25" customHeight="1" x14ac:dyDescent="0.2">
      <c r="A50" s="4" t="s">
        <v>149</v>
      </c>
      <c r="B50" s="4" t="s">
        <v>155</v>
      </c>
      <c r="C50" s="4">
        <v>249</v>
      </c>
      <c r="D50" s="4">
        <v>73</v>
      </c>
      <c r="E50" s="4">
        <v>85</v>
      </c>
      <c r="F50" s="4"/>
      <c r="G50" s="7">
        <v>0</v>
      </c>
      <c r="H50" s="7">
        <f t="shared" si="0"/>
        <v>21165</v>
      </c>
      <c r="I50" s="7">
        <f t="shared" si="1"/>
        <v>18177</v>
      </c>
      <c r="J50" s="7">
        <f t="shared" si="2"/>
        <v>2988</v>
      </c>
    </row>
    <row r="51" spans="1:10" ht="14.25" customHeight="1" x14ac:dyDescent="0.2">
      <c r="A51" s="4" t="s">
        <v>149</v>
      </c>
      <c r="B51" s="4" t="s">
        <v>156</v>
      </c>
      <c r="C51" s="4">
        <v>243</v>
      </c>
      <c r="D51" s="4">
        <v>73</v>
      </c>
      <c r="E51" s="4">
        <v>85</v>
      </c>
      <c r="F51" s="4"/>
      <c r="G51" s="7">
        <v>0</v>
      </c>
      <c r="H51" s="7">
        <f t="shared" si="0"/>
        <v>20655</v>
      </c>
      <c r="I51" s="7">
        <f t="shared" si="1"/>
        <v>17739</v>
      </c>
      <c r="J51" s="7">
        <f t="shared" si="2"/>
        <v>2916</v>
      </c>
    </row>
    <row r="52" spans="1:10" ht="14.25" customHeight="1" x14ac:dyDescent="0.2">
      <c r="A52" s="4" t="s">
        <v>149</v>
      </c>
      <c r="B52" s="4" t="s">
        <v>158</v>
      </c>
      <c r="C52" s="4">
        <v>236</v>
      </c>
      <c r="D52" s="4">
        <v>73</v>
      </c>
      <c r="E52" s="4">
        <v>90</v>
      </c>
      <c r="F52" s="4"/>
      <c r="G52" s="7">
        <v>0</v>
      </c>
      <c r="H52" s="7">
        <f t="shared" si="0"/>
        <v>21240</v>
      </c>
      <c r="I52" s="7">
        <f t="shared" si="1"/>
        <v>17228</v>
      </c>
      <c r="J52" s="7">
        <f t="shared" si="2"/>
        <v>4012</v>
      </c>
    </row>
    <row r="53" spans="1:10" ht="14.25" customHeight="1" x14ac:dyDescent="0.2">
      <c r="A53" s="4" t="s">
        <v>149</v>
      </c>
      <c r="B53" s="4" t="s">
        <v>73</v>
      </c>
      <c r="C53" s="4">
        <v>157</v>
      </c>
      <c r="D53" s="4">
        <v>64.5</v>
      </c>
      <c r="E53" s="4">
        <v>77</v>
      </c>
      <c r="F53" s="4" t="s">
        <v>69</v>
      </c>
      <c r="G53" s="7">
        <v>1180</v>
      </c>
      <c r="H53" s="7">
        <f t="shared" si="0"/>
        <v>12089</v>
      </c>
      <c r="I53" s="7">
        <f t="shared" si="1"/>
        <v>10126.5</v>
      </c>
      <c r="J53" s="7">
        <f t="shared" si="2"/>
        <v>1962.5</v>
      </c>
    </row>
    <row r="54" spans="1:10" ht="14.25" customHeight="1" x14ac:dyDescent="0.2">
      <c r="A54" s="4" t="s">
        <v>149</v>
      </c>
      <c r="B54" s="4" t="s">
        <v>75</v>
      </c>
      <c r="C54" s="4">
        <v>157</v>
      </c>
      <c r="D54" s="4">
        <v>66.5</v>
      </c>
      <c r="E54" s="4">
        <v>77</v>
      </c>
      <c r="F54" s="4" t="s">
        <v>69</v>
      </c>
      <c r="G54" s="7">
        <v>1180</v>
      </c>
      <c r="H54" s="7">
        <f t="shared" si="0"/>
        <v>12089</v>
      </c>
      <c r="I54" s="7">
        <f t="shared" si="1"/>
        <v>10440.5</v>
      </c>
      <c r="J54" s="7">
        <f t="shared" si="2"/>
        <v>1648.5</v>
      </c>
    </row>
    <row r="55" spans="1:10" ht="14.25" customHeight="1" x14ac:dyDescent="0.2">
      <c r="A55" s="4" t="s">
        <v>157</v>
      </c>
      <c r="B55" s="4" t="s">
        <v>172</v>
      </c>
      <c r="C55" s="4">
        <v>66.5</v>
      </c>
      <c r="D55" s="4">
        <v>64.5</v>
      </c>
      <c r="E55" s="4">
        <v>77</v>
      </c>
      <c r="F55" s="4" t="s">
        <v>69</v>
      </c>
      <c r="G55" s="7">
        <v>1180</v>
      </c>
      <c r="H55" s="7">
        <f t="shared" si="0"/>
        <v>5120.5</v>
      </c>
      <c r="I55" s="7">
        <f t="shared" si="1"/>
        <v>4289.25</v>
      </c>
      <c r="J55" s="7">
        <f t="shared" si="2"/>
        <v>831.25</v>
      </c>
    </row>
    <row r="56" spans="1:10" ht="14.25" customHeight="1" x14ac:dyDescent="0.2">
      <c r="A56" s="4" t="s">
        <v>157</v>
      </c>
      <c r="B56" s="4" t="s">
        <v>173</v>
      </c>
      <c r="C56" s="4">
        <v>23.5</v>
      </c>
      <c r="D56" s="4">
        <v>64.5</v>
      </c>
      <c r="E56" s="4">
        <v>77</v>
      </c>
      <c r="F56" s="4" t="s">
        <v>69</v>
      </c>
      <c r="G56" s="7">
        <v>1180</v>
      </c>
      <c r="H56" s="7">
        <f t="shared" si="0"/>
        <v>1809.5</v>
      </c>
      <c r="I56" s="7">
        <f t="shared" si="1"/>
        <v>1515.75</v>
      </c>
      <c r="J56" s="7">
        <f t="shared" si="2"/>
        <v>293.75</v>
      </c>
    </row>
    <row r="57" spans="1:10" ht="14.25" customHeight="1" x14ac:dyDescent="0.2">
      <c r="A57" s="4" t="s">
        <v>138</v>
      </c>
      <c r="B57" s="4" t="s">
        <v>154</v>
      </c>
      <c r="C57" s="4">
        <v>48</v>
      </c>
      <c r="D57" s="4">
        <v>0</v>
      </c>
      <c r="E57" s="4">
        <v>90</v>
      </c>
      <c r="F57" s="4"/>
      <c r="G57" s="7">
        <v>0</v>
      </c>
      <c r="H57" s="7">
        <f t="shared" si="0"/>
        <v>4320</v>
      </c>
      <c r="I57" s="7">
        <f t="shared" si="1"/>
        <v>0</v>
      </c>
      <c r="J57" s="7">
        <f t="shared" si="2"/>
        <v>4320</v>
      </c>
    </row>
    <row r="58" spans="1:10" ht="14.25" customHeight="1" x14ac:dyDescent="0.2">
      <c r="A58" s="4" t="s">
        <v>138</v>
      </c>
      <c r="B58" s="4" t="s">
        <v>136</v>
      </c>
      <c r="C58" s="4">
        <v>135</v>
      </c>
      <c r="D58" s="4">
        <v>73.5</v>
      </c>
      <c r="E58" s="4">
        <v>105</v>
      </c>
      <c r="F58" s="4" t="s">
        <v>89</v>
      </c>
      <c r="G58" s="7">
        <v>1180</v>
      </c>
      <c r="H58" s="7">
        <f t="shared" si="0"/>
        <v>14175</v>
      </c>
      <c r="I58" s="7">
        <f t="shared" si="1"/>
        <v>9922.5</v>
      </c>
      <c r="J58" s="7">
        <f t="shared" si="2"/>
        <v>4252.5</v>
      </c>
    </row>
    <row r="59" spans="1:10" ht="14.25" customHeight="1" x14ac:dyDescent="0.2">
      <c r="A59" s="4" t="s">
        <v>138</v>
      </c>
      <c r="B59" s="4" t="s">
        <v>163</v>
      </c>
      <c r="C59" s="4">
        <v>241.5</v>
      </c>
      <c r="D59" s="4">
        <v>73</v>
      </c>
      <c r="E59" s="4">
        <v>90</v>
      </c>
      <c r="F59" s="4" t="s">
        <v>20</v>
      </c>
      <c r="G59" s="7">
        <v>1180</v>
      </c>
      <c r="H59" s="7">
        <f t="shared" si="0"/>
        <v>21735</v>
      </c>
      <c r="I59" s="7">
        <f t="shared" si="1"/>
        <v>17629.5</v>
      </c>
      <c r="J59" s="7">
        <f t="shared" si="2"/>
        <v>4105.5</v>
      </c>
    </row>
    <row r="60" spans="1:10" ht="14.25" customHeight="1" x14ac:dyDescent="0.2">
      <c r="A60" s="4" t="s">
        <v>138</v>
      </c>
      <c r="B60" s="4" t="s">
        <v>164</v>
      </c>
      <c r="C60" s="4">
        <v>246</v>
      </c>
      <c r="D60" s="4">
        <v>73</v>
      </c>
      <c r="E60" s="4">
        <v>90</v>
      </c>
      <c r="F60" s="4" t="s">
        <v>20</v>
      </c>
      <c r="G60" s="7">
        <v>1180</v>
      </c>
      <c r="H60" s="7">
        <f t="shared" si="0"/>
        <v>22140</v>
      </c>
      <c r="I60" s="7">
        <f t="shared" si="1"/>
        <v>17958</v>
      </c>
      <c r="J60" s="7">
        <f t="shared" si="2"/>
        <v>4182</v>
      </c>
    </row>
    <row r="61" spans="1:10" ht="14.25" customHeight="1" x14ac:dyDescent="0.2">
      <c r="A61" s="4" t="s">
        <v>138</v>
      </c>
      <c r="B61" s="4" t="s">
        <v>165</v>
      </c>
      <c r="C61" s="4">
        <v>236</v>
      </c>
      <c r="D61" s="4">
        <v>70</v>
      </c>
      <c r="E61" s="4">
        <v>73</v>
      </c>
      <c r="F61" s="4"/>
      <c r="G61" s="7">
        <v>0</v>
      </c>
      <c r="H61" s="7">
        <f t="shared" si="0"/>
        <v>17228</v>
      </c>
      <c r="I61" s="7">
        <f t="shared" si="1"/>
        <v>16520</v>
      </c>
      <c r="J61" s="7">
        <f t="shared" si="2"/>
        <v>708</v>
      </c>
    </row>
    <row r="62" spans="1:10" ht="14.25" customHeight="1" x14ac:dyDescent="0.2">
      <c r="A62" s="4" t="s">
        <v>138</v>
      </c>
      <c r="B62" s="4" t="s">
        <v>180</v>
      </c>
      <c r="C62" s="4">
        <v>135</v>
      </c>
      <c r="D62" s="4">
        <v>73.5</v>
      </c>
      <c r="E62" s="4">
        <v>105</v>
      </c>
      <c r="F62" s="4" t="s">
        <v>89</v>
      </c>
      <c r="G62" s="7">
        <v>1180</v>
      </c>
      <c r="H62" s="7">
        <f t="shared" si="0"/>
        <v>14175</v>
      </c>
      <c r="I62" s="7">
        <f t="shared" si="1"/>
        <v>9922.5</v>
      </c>
      <c r="J62" s="7">
        <f t="shared" si="2"/>
        <v>4252.5</v>
      </c>
    </row>
    <row r="63" spans="1:10" ht="14.25" customHeight="1" x14ac:dyDescent="0.2">
      <c r="A63" s="4" t="s">
        <v>138</v>
      </c>
      <c r="B63" s="4" t="s">
        <v>182</v>
      </c>
      <c r="C63" s="4">
        <v>202</v>
      </c>
      <c r="D63" s="4">
        <v>73.5</v>
      </c>
      <c r="E63" s="4">
        <v>105</v>
      </c>
      <c r="F63" s="4" t="s">
        <v>89</v>
      </c>
      <c r="G63" s="7">
        <v>1180</v>
      </c>
      <c r="H63" s="7">
        <f t="shared" si="0"/>
        <v>21210</v>
      </c>
      <c r="I63" s="7">
        <f t="shared" si="1"/>
        <v>14847</v>
      </c>
      <c r="J63" s="7">
        <f t="shared" si="2"/>
        <v>6363</v>
      </c>
    </row>
    <row r="64" spans="1:10" ht="14.25" customHeight="1" x14ac:dyDescent="0.2">
      <c r="A64" s="4" t="s">
        <v>138</v>
      </c>
      <c r="B64" s="4" t="s">
        <v>184</v>
      </c>
      <c r="C64" s="4">
        <v>130</v>
      </c>
      <c r="D64" s="4">
        <v>72.5</v>
      </c>
      <c r="E64" s="4">
        <v>105</v>
      </c>
      <c r="F64" s="4" t="s">
        <v>89</v>
      </c>
      <c r="G64" s="7">
        <v>1180</v>
      </c>
      <c r="H64" s="7">
        <f t="shared" si="0"/>
        <v>13650</v>
      </c>
      <c r="I64" s="7">
        <f t="shared" si="1"/>
        <v>9425</v>
      </c>
      <c r="J64" s="7">
        <f t="shared" si="2"/>
        <v>4225</v>
      </c>
    </row>
    <row r="65" spans="1:10" ht="14.25" customHeight="1" x14ac:dyDescent="0.2">
      <c r="A65" s="4" t="s">
        <v>138</v>
      </c>
      <c r="B65" s="4" t="s">
        <v>187</v>
      </c>
      <c r="C65" s="4">
        <v>130</v>
      </c>
      <c r="D65" s="4">
        <v>72.5</v>
      </c>
      <c r="E65" s="4">
        <v>105</v>
      </c>
      <c r="F65" s="4" t="s">
        <v>89</v>
      </c>
      <c r="G65" s="7">
        <v>1180</v>
      </c>
      <c r="H65" s="7">
        <f t="shared" si="0"/>
        <v>13650</v>
      </c>
      <c r="I65" s="7">
        <f t="shared" si="1"/>
        <v>9425</v>
      </c>
      <c r="J65" s="7">
        <f t="shared" si="2"/>
        <v>4225</v>
      </c>
    </row>
    <row r="66" spans="1:10" ht="14.25" customHeight="1" x14ac:dyDescent="0.2">
      <c r="A66" s="4" t="s">
        <v>138</v>
      </c>
      <c r="B66" s="4" t="s">
        <v>190</v>
      </c>
      <c r="C66" s="4">
        <v>130</v>
      </c>
      <c r="D66" s="4">
        <v>72.5</v>
      </c>
      <c r="E66" s="4">
        <v>105</v>
      </c>
      <c r="F66" s="4" t="s">
        <v>89</v>
      </c>
      <c r="G66" s="7">
        <v>1180</v>
      </c>
      <c r="H66" s="7">
        <f t="shared" si="0"/>
        <v>13650</v>
      </c>
      <c r="I66" s="7">
        <f t="shared" si="1"/>
        <v>9425</v>
      </c>
      <c r="J66" s="7">
        <f t="shared" si="2"/>
        <v>4225</v>
      </c>
    </row>
    <row r="67" spans="1:10" ht="14.25" customHeight="1" x14ac:dyDescent="0.2">
      <c r="A67" s="4" t="s">
        <v>138</v>
      </c>
      <c r="B67" s="4" t="s">
        <v>166</v>
      </c>
      <c r="C67" s="4">
        <v>237</v>
      </c>
      <c r="D67" s="4">
        <v>73</v>
      </c>
      <c r="E67" s="4">
        <v>90</v>
      </c>
      <c r="F67" s="4" t="s">
        <v>20</v>
      </c>
      <c r="G67" s="7">
        <v>1180</v>
      </c>
      <c r="H67" s="7">
        <f t="shared" si="0"/>
        <v>21330</v>
      </c>
      <c r="I67" s="7">
        <f t="shared" si="1"/>
        <v>17301</v>
      </c>
      <c r="J67" s="7">
        <f t="shared" si="2"/>
        <v>4029</v>
      </c>
    </row>
    <row r="68" spans="1:10" ht="14.25" customHeight="1" x14ac:dyDescent="0.2">
      <c r="A68" s="4" t="s">
        <v>138</v>
      </c>
      <c r="B68" s="4" t="s">
        <v>195</v>
      </c>
      <c r="C68" s="4">
        <v>204</v>
      </c>
      <c r="D68" s="4">
        <v>73.5</v>
      </c>
      <c r="E68" s="4">
        <v>105</v>
      </c>
      <c r="F68" s="4" t="s">
        <v>89</v>
      </c>
      <c r="G68" s="7">
        <v>1180</v>
      </c>
      <c r="H68" s="7">
        <f t="shared" si="0"/>
        <v>21420</v>
      </c>
      <c r="I68" s="7">
        <f t="shared" si="1"/>
        <v>14994</v>
      </c>
      <c r="J68" s="7">
        <f t="shared" si="2"/>
        <v>6426</v>
      </c>
    </row>
    <row r="69" spans="1:10" ht="14.25" customHeight="1" x14ac:dyDescent="0.2">
      <c r="A69" s="4" t="s">
        <v>138</v>
      </c>
      <c r="B69" s="4" t="s">
        <v>93</v>
      </c>
      <c r="C69" s="4">
        <v>236</v>
      </c>
      <c r="D69" s="4">
        <v>70</v>
      </c>
      <c r="E69" s="4">
        <v>73</v>
      </c>
      <c r="F69" s="4"/>
      <c r="G69" s="7">
        <v>0</v>
      </c>
      <c r="H69" s="7">
        <f t="shared" si="0"/>
        <v>17228</v>
      </c>
      <c r="I69" s="7">
        <f t="shared" si="1"/>
        <v>16520</v>
      </c>
      <c r="J69" s="7">
        <f t="shared" si="2"/>
        <v>708</v>
      </c>
    </row>
    <row r="70" spans="1:10" ht="14.25" customHeight="1" x14ac:dyDescent="0.2">
      <c r="A70" s="4" t="s">
        <v>138</v>
      </c>
      <c r="B70" s="4" t="s">
        <v>198</v>
      </c>
      <c r="C70" s="4">
        <v>130</v>
      </c>
      <c r="D70" s="4">
        <v>72.5</v>
      </c>
      <c r="E70" s="4">
        <v>105</v>
      </c>
      <c r="F70" s="4" t="s">
        <v>89</v>
      </c>
      <c r="G70" s="7">
        <v>1180</v>
      </c>
      <c r="H70" s="7">
        <f t="shared" si="0"/>
        <v>13650</v>
      </c>
      <c r="I70" s="7">
        <f t="shared" si="1"/>
        <v>9425</v>
      </c>
      <c r="J70" s="7">
        <f t="shared" si="2"/>
        <v>4225</v>
      </c>
    </row>
    <row r="71" spans="1:10" ht="14.25" customHeight="1" x14ac:dyDescent="0.2">
      <c r="A71" s="4" t="s">
        <v>138</v>
      </c>
      <c r="B71" s="4" t="s">
        <v>201</v>
      </c>
      <c r="C71" s="4">
        <v>23.5</v>
      </c>
      <c r="D71" s="4">
        <v>83.5</v>
      </c>
      <c r="E71" s="4">
        <v>90</v>
      </c>
      <c r="F71" s="4"/>
      <c r="G71" s="7">
        <v>0</v>
      </c>
      <c r="H71" s="7">
        <f t="shared" si="0"/>
        <v>2115</v>
      </c>
      <c r="I71" s="7">
        <f t="shared" si="1"/>
        <v>1962.25</v>
      </c>
      <c r="J71" s="7">
        <f t="shared" si="2"/>
        <v>152.75</v>
      </c>
    </row>
    <row r="72" spans="1:10" ht="14.25" customHeight="1" x14ac:dyDescent="0.2">
      <c r="A72" s="4" t="s">
        <v>138</v>
      </c>
      <c r="B72" s="4" t="s">
        <v>201</v>
      </c>
      <c r="C72" s="4">
        <v>23.5</v>
      </c>
      <c r="D72" s="4">
        <v>83.5</v>
      </c>
      <c r="E72" s="4">
        <v>90</v>
      </c>
      <c r="F72" s="4"/>
      <c r="G72" s="7">
        <v>0</v>
      </c>
      <c r="H72" s="7">
        <f t="shared" si="0"/>
        <v>2115</v>
      </c>
      <c r="I72" s="7">
        <f t="shared" si="1"/>
        <v>1962.25</v>
      </c>
      <c r="J72" s="7">
        <f t="shared" si="2"/>
        <v>152.75</v>
      </c>
    </row>
    <row r="73" spans="1:10" ht="14.25" customHeight="1" x14ac:dyDescent="0.2">
      <c r="A73" s="4" t="s">
        <v>138</v>
      </c>
      <c r="B73" s="4" t="s">
        <v>201</v>
      </c>
      <c r="C73" s="4">
        <v>23.5</v>
      </c>
      <c r="D73" s="4">
        <v>83.5</v>
      </c>
      <c r="E73" s="4">
        <v>90</v>
      </c>
      <c r="F73" s="4"/>
      <c r="G73" s="7">
        <v>0</v>
      </c>
      <c r="H73" s="7">
        <f t="shared" si="0"/>
        <v>2115</v>
      </c>
      <c r="I73" s="7">
        <f t="shared" si="1"/>
        <v>1962.25</v>
      </c>
      <c r="J73" s="7">
        <f t="shared" si="2"/>
        <v>152.75</v>
      </c>
    </row>
    <row r="74" spans="1:10" ht="14.25" customHeight="1" x14ac:dyDescent="0.2">
      <c r="A74" s="4" t="s">
        <v>138</v>
      </c>
      <c r="B74" s="4" t="s">
        <v>201</v>
      </c>
      <c r="C74" s="4">
        <v>36</v>
      </c>
      <c r="D74" s="4">
        <v>83.5</v>
      </c>
      <c r="E74" s="4">
        <v>90</v>
      </c>
      <c r="F74" s="4"/>
      <c r="G74" s="7">
        <v>0</v>
      </c>
      <c r="H74" s="7">
        <f t="shared" si="0"/>
        <v>3240</v>
      </c>
      <c r="I74" s="7">
        <f t="shared" si="1"/>
        <v>3006</v>
      </c>
      <c r="J74" s="7">
        <f t="shared" si="2"/>
        <v>234</v>
      </c>
    </row>
    <row r="75" spans="1:10" ht="14.25" customHeight="1" x14ac:dyDescent="0.25">
      <c r="A75" s="8" t="s">
        <v>59</v>
      </c>
      <c r="B75" s="8"/>
      <c r="C75" s="8"/>
      <c r="D75" s="8"/>
      <c r="E75" s="8"/>
      <c r="F75" s="8"/>
      <c r="G75" s="9">
        <f t="shared" ref="G75:J75" si="3">SUM(G9:G74)</f>
        <v>38940</v>
      </c>
      <c r="H75" s="9">
        <f t="shared" si="3"/>
        <v>971024.5</v>
      </c>
      <c r="I75" s="9">
        <f t="shared" si="3"/>
        <v>795551.25</v>
      </c>
      <c r="J75" s="9">
        <f t="shared" si="3"/>
        <v>175473.25</v>
      </c>
    </row>
    <row r="76" spans="1:10" ht="14.25" customHeight="1" x14ac:dyDescent="0.2"/>
    <row r="77" spans="1:10" ht="14.25" customHeight="1" x14ac:dyDescent="0.2">
      <c r="A77" s="37"/>
    </row>
    <row r="78" spans="1:10" ht="14.25" customHeight="1" x14ac:dyDescent="0.2">
      <c r="A78" s="37"/>
    </row>
    <row r="79" spans="1:10" ht="14.25" customHeight="1" x14ac:dyDescent="0.2"/>
    <row r="80" spans="1:10" ht="14.25" customHeight="1" x14ac:dyDescent="0.25">
      <c r="A80" s="25" t="s">
        <v>207</v>
      </c>
      <c r="B80" s="25"/>
      <c r="C80" s="25"/>
      <c r="D80" s="25"/>
      <c r="E80" s="25"/>
      <c r="F80" s="25"/>
      <c r="G80" s="25"/>
      <c r="H80" s="25"/>
    </row>
    <row r="81" spans="1:7" ht="14.25" customHeight="1" x14ac:dyDescent="0.25">
      <c r="A81" s="26" t="s">
        <v>5</v>
      </c>
      <c r="B81" s="26" t="s">
        <v>131</v>
      </c>
      <c r="C81" s="26" t="s">
        <v>171</v>
      </c>
      <c r="D81" s="26" t="s">
        <v>132</v>
      </c>
      <c r="E81" s="26" t="s">
        <v>46</v>
      </c>
      <c r="F81" s="26" t="s">
        <v>25</v>
      </c>
      <c r="G81" s="26" t="s">
        <v>137</v>
      </c>
    </row>
    <row r="82" spans="1:7" ht="14.25" customHeight="1" x14ac:dyDescent="0.2">
      <c r="A82" s="27" t="s">
        <v>48</v>
      </c>
      <c r="B82" s="27">
        <f t="shared" ref="B82:B95" si="4">COUNTIFS($A$9:$A$74,A82,$C$9:$C$74,"&gt;0")</f>
        <v>4</v>
      </c>
      <c r="C82" s="27">
        <f t="shared" ref="C82:C95" si="5">SUMIF($A$9:$A$74,A82,$C$9:$C$74)</f>
        <v>957</v>
      </c>
      <c r="D82" s="28">
        <f t="shared" ref="D82:D95" si="6">SUMIF($A$9:$A$74,A82,$H$9:$H$74)</f>
        <v>88602.5</v>
      </c>
      <c r="E82" s="28">
        <f t="shared" ref="E82:E95" si="7">SUMIF($A$9:$A$74,A82,$I$9:$I$74)</f>
        <v>74646</v>
      </c>
      <c r="F82" s="28">
        <f t="shared" ref="F82:F95" si="8">D82-E82</f>
        <v>13956.5</v>
      </c>
      <c r="G82" s="29">
        <f t="shared" ref="G82:G95" si="9">IF(D82=0,"",F82/D82)</f>
        <v>0.15751812872097287</v>
      </c>
    </row>
    <row r="83" spans="1:7" ht="14.25" customHeight="1" x14ac:dyDescent="0.2">
      <c r="A83" s="27" t="s">
        <v>64</v>
      </c>
      <c r="B83" s="27">
        <f t="shared" si="4"/>
        <v>8</v>
      </c>
      <c r="C83" s="27">
        <f t="shared" si="5"/>
        <v>1221</v>
      </c>
      <c r="D83" s="28">
        <f t="shared" si="6"/>
        <v>94017</v>
      </c>
      <c r="E83" s="28">
        <f t="shared" si="7"/>
        <v>70627.5</v>
      </c>
      <c r="F83" s="28">
        <f t="shared" si="8"/>
        <v>23389.5</v>
      </c>
      <c r="G83" s="29">
        <f t="shared" si="9"/>
        <v>0.24877947605220332</v>
      </c>
    </row>
    <row r="84" spans="1:7" ht="14.25" customHeight="1" x14ac:dyDescent="0.2">
      <c r="A84" s="27" t="s">
        <v>77</v>
      </c>
      <c r="B84" s="27">
        <f t="shared" si="4"/>
        <v>3</v>
      </c>
      <c r="C84" s="27">
        <f t="shared" si="5"/>
        <v>466</v>
      </c>
      <c r="D84" s="28">
        <f t="shared" si="6"/>
        <v>42872</v>
      </c>
      <c r="E84" s="28">
        <f t="shared" si="7"/>
        <v>38164</v>
      </c>
      <c r="F84" s="28">
        <f t="shared" si="8"/>
        <v>4708</v>
      </c>
      <c r="G84" s="29">
        <f t="shared" si="9"/>
        <v>0.10981526404179884</v>
      </c>
    </row>
    <row r="85" spans="1:7" ht="14.25" customHeight="1" x14ac:dyDescent="0.2">
      <c r="A85" s="27" t="s">
        <v>86</v>
      </c>
      <c r="B85" s="27">
        <f t="shared" si="4"/>
        <v>2</v>
      </c>
      <c r="C85" s="27">
        <f t="shared" si="5"/>
        <v>90</v>
      </c>
      <c r="D85" s="28">
        <f t="shared" si="6"/>
        <v>8550</v>
      </c>
      <c r="E85" s="28">
        <f t="shared" si="7"/>
        <v>6615</v>
      </c>
      <c r="F85" s="28">
        <f t="shared" si="8"/>
        <v>1935</v>
      </c>
      <c r="G85" s="29">
        <f t="shared" si="9"/>
        <v>0.22631578947368422</v>
      </c>
    </row>
    <row r="86" spans="1:7" ht="14.25" customHeight="1" x14ac:dyDescent="0.2">
      <c r="A86" s="27" t="s">
        <v>81</v>
      </c>
      <c r="B86" s="27">
        <f t="shared" si="4"/>
        <v>2</v>
      </c>
      <c r="C86" s="27">
        <f t="shared" si="5"/>
        <v>410</v>
      </c>
      <c r="D86" s="28">
        <f t="shared" si="6"/>
        <v>30750</v>
      </c>
      <c r="E86" s="28">
        <f t="shared" si="7"/>
        <v>26445</v>
      </c>
      <c r="F86" s="28">
        <f t="shared" si="8"/>
        <v>4305</v>
      </c>
      <c r="G86" s="29">
        <f t="shared" si="9"/>
        <v>0.14000000000000001</v>
      </c>
    </row>
    <row r="87" spans="1:7" ht="14.25" customHeight="1" x14ac:dyDescent="0.2">
      <c r="A87" s="27" t="s">
        <v>84</v>
      </c>
      <c r="B87" s="27">
        <f t="shared" si="4"/>
        <v>8</v>
      </c>
      <c r="C87" s="27">
        <f t="shared" si="5"/>
        <v>1800</v>
      </c>
      <c r="D87" s="28">
        <f t="shared" si="6"/>
        <v>135000</v>
      </c>
      <c r="E87" s="28">
        <f t="shared" si="7"/>
        <v>126310.5</v>
      </c>
      <c r="F87" s="28">
        <f t="shared" si="8"/>
        <v>8689.5</v>
      </c>
      <c r="G87" s="29">
        <f t="shared" si="9"/>
        <v>6.4366666666666669E-2</v>
      </c>
    </row>
    <row r="88" spans="1:7" ht="14.25" customHeight="1" x14ac:dyDescent="0.2">
      <c r="A88" s="27" t="s">
        <v>96</v>
      </c>
      <c r="B88" s="27">
        <f t="shared" si="4"/>
        <v>1</v>
      </c>
      <c r="C88" s="27">
        <f t="shared" si="5"/>
        <v>210</v>
      </c>
      <c r="D88" s="28">
        <f t="shared" si="6"/>
        <v>16170</v>
      </c>
      <c r="E88" s="28">
        <f t="shared" si="7"/>
        <v>13650</v>
      </c>
      <c r="F88" s="28">
        <f t="shared" si="8"/>
        <v>2520</v>
      </c>
      <c r="G88" s="29">
        <f t="shared" si="9"/>
        <v>0.15584415584415584</v>
      </c>
    </row>
    <row r="89" spans="1:7" ht="14.25" customHeight="1" x14ac:dyDescent="0.2">
      <c r="A89" s="27" t="s">
        <v>99</v>
      </c>
      <c r="B89" s="27">
        <f t="shared" si="4"/>
        <v>3</v>
      </c>
      <c r="C89" s="27">
        <f t="shared" si="5"/>
        <v>190</v>
      </c>
      <c r="D89" s="28">
        <f t="shared" si="6"/>
        <v>18050</v>
      </c>
      <c r="E89" s="28">
        <f t="shared" si="7"/>
        <v>13403</v>
      </c>
      <c r="F89" s="28">
        <f t="shared" si="8"/>
        <v>4647</v>
      </c>
      <c r="G89" s="29">
        <f t="shared" si="9"/>
        <v>0.25745152354570638</v>
      </c>
    </row>
    <row r="90" spans="1:7" ht="14.25" customHeight="1" x14ac:dyDescent="0.2">
      <c r="A90" s="27" t="s">
        <v>107</v>
      </c>
      <c r="B90" s="27">
        <f t="shared" si="4"/>
        <v>2</v>
      </c>
      <c r="C90" s="27">
        <f t="shared" si="5"/>
        <v>174</v>
      </c>
      <c r="D90" s="28">
        <f t="shared" si="6"/>
        <v>13920</v>
      </c>
      <c r="E90" s="28">
        <f t="shared" si="7"/>
        <v>11658</v>
      </c>
      <c r="F90" s="28">
        <f t="shared" si="8"/>
        <v>2262</v>
      </c>
      <c r="G90" s="29">
        <f t="shared" si="9"/>
        <v>0.16250000000000001</v>
      </c>
    </row>
    <row r="91" spans="1:7" ht="14.25" customHeight="1" x14ac:dyDescent="0.2">
      <c r="A91" s="27" t="s">
        <v>120</v>
      </c>
      <c r="B91" s="27">
        <f t="shared" si="4"/>
        <v>2</v>
      </c>
      <c r="C91" s="27">
        <f t="shared" si="5"/>
        <v>447</v>
      </c>
      <c r="D91" s="28">
        <f t="shared" si="6"/>
        <v>34419</v>
      </c>
      <c r="E91" s="28">
        <f t="shared" si="7"/>
        <v>29949</v>
      </c>
      <c r="F91" s="28">
        <f t="shared" si="8"/>
        <v>4470</v>
      </c>
      <c r="G91" s="29">
        <f t="shared" si="9"/>
        <v>0.12987012987012986</v>
      </c>
    </row>
    <row r="92" spans="1:7" ht="14.25" customHeight="1" x14ac:dyDescent="0.2">
      <c r="A92" s="27" t="s">
        <v>134</v>
      </c>
      <c r="B92" s="27">
        <f t="shared" si="4"/>
        <v>6</v>
      </c>
      <c r="C92" s="27">
        <f t="shared" si="5"/>
        <v>1526.5</v>
      </c>
      <c r="D92" s="28">
        <f t="shared" si="6"/>
        <v>155360</v>
      </c>
      <c r="E92" s="28">
        <f t="shared" si="7"/>
        <v>122360</v>
      </c>
      <c r="F92" s="28">
        <f t="shared" si="8"/>
        <v>33000</v>
      </c>
      <c r="G92" s="29">
        <f t="shared" si="9"/>
        <v>0.21240988671472708</v>
      </c>
    </row>
    <row r="93" spans="1:7" ht="14.25" customHeight="1" x14ac:dyDescent="0.2">
      <c r="A93" s="27" t="s">
        <v>149</v>
      </c>
      <c r="B93" s="27">
        <f t="shared" si="4"/>
        <v>5</v>
      </c>
      <c r="C93" s="27">
        <f t="shared" si="5"/>
        <v>1042</v>
      </c>
      <c r="D93" s="28">
        <f t="shared" si="6"/>
        <v>87238</v>
      </c>
      <c r="E93" s="28">
        <f t="shared" si="7"/>
        <v>73711</v>
      </c>
      <c r="F93" s="28">
        <f t="shared" si="8"/>
        <v>13527</v>
      </c>
      <c r="G93" s="29">
        <f t="shared" si="9"/>
        <v>0.15505857539145784</v>
      </c>
    </row>
    <row r="94" spans="1:7" ht="14.25" customHeight="1" x14ac:dyDescent="0.2">
      <c r="A94" s="27" t="s">
        <v>157</v>
      </c>
      <c r="B94" s="27">
        <f t="shared" si="4"/>
        <v>2</v>
      </c>
      <c r="C94" s="27">
        <f t="shared" si="5"/>
        <v>90</v>
      </c>
      <c r="D94" s="28">
        <f t="shared" si="6"/>
        <v>6930</v>
      </c>
      <c r="E94" s="28">
        <f t="shared" si="7"/>
        <v>5805</v>
      </c>
      <c r="F94" s="28">
        <f t="shared" si="8"/>
        <v>1125</v>
      </c>
      <c r="G94" s="29">
        <f t="shared" si="9"/>
        <v>0.16233766233766234</v>
      </c>
    </row>
    <row r="95" spans="1:7" ht="14.25" customHeight="1" x14ac:dyDescent="0.2">
      <c r="A95" s="27" t="s">
        <v>138</v>
      </c>
      <c r="B95" s="27">
        <f t="shared" si="4"/>
        <v>18</v>
      </c>
      <c r="C95" s="27">
        <f t="shared" si="5"/>
        <v>2547</v>
      </c>
      <c r="D95" s="28">
        <f t="shared" si="6"/>
        <v>239146</v>
      </c>
      <c r="E95" s="28">
        <f t="shared" si="7"/>
        <v>182207.25</v>
      </c>
      <c r="F95" s="28">
        <f t="shared" si="8"/>
        <v>56938.75</v>
      </c>
      <c r="G95" s="29">
        <f t="shared" si="9"/>
        <v>0.23809200237511813</v>
      </c>
    </row>
    <row r="96" spans="1:7" ht="14.25" customHeight="1" x14ac:dyDescent="0.25">
      <c r="A96" s="32" t="s">
        <v>59</v>
      </c>
      <c r="B96" s="32">
        <f t="shared" ref="B96:F96" si="10">SUM(B82:B95)</f>
        <v>66</v>
      </c>
      <c r="C96" s="32">
        <f t="shared" si="10"/>
        <v>11170.5</v>
      </c>
      <c r="D96" s="33">
        <f t="shared" si="10"/>
        <v>971024.5</v>
      </c>
      <c r="E96" s="33">
        <f t="shared" si="10"/>
        <v>795551.25</v>
      </c>
      <c r="F96" s="33">
        <f t="shared" si="10"/>
        <v>175473.25</v>
      </c>
      <c r="G96" s="34">
        <f>F96/D96</f>
        <v>0.18070939507705522</v>
      </c>
    </row>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conditionalFormatting sqref="A9:B74">
    <cfRule type="expression" dxfId="15" priority="2" stopIfTrue="1">
      <formula>AND($C9&lt;&gt;"",$C9&lt;230)</formula>
    </cfRule>
  </conditionalFormatting>
  <conditionalFormatting sqref="C9:C74">
    <cfRule type="expression" dxfId="14" priority="1" stopIfTrue="1">
      <formula>AND($C9&lt;&gt;"",$C9&lt;230)</formula>
    </cfRule>
  </conditionalFormatting>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J1000"/>
  <sheetViews>
    <sheetView rightToLeft="1" workbookViewId="0">
      <pane ySplit="8" topLeftCell="A34" activePane="bottomLeft" state="frozen"/>
      <selection pane="bottomLeft" activeCell="B10" sqref="B10"/>
    </sheetView>
  </sheetViews>
  <sheetFormatPr defaultColWidth="12.625" defaultRowHeight="15" customHeight="1" x14ac:dyDescent="0.2"/>
  <cols>
    <col min="1" max="1" width="22.625" customWidth="1"/>
    <col min="2" max="2" width="14.625" customWidth="1"/>
    <col min="3" max="5" width="13.625" customWidth="1"/>
    <col min="6" max="6" width="14.625" customWidth="1"/>
    <col min="7" max="10" width="13.625" customWidth="1"/>
    <col min="11" max="26" width="8.625" customWidth="1"/>
  </cols>
  <sheetData>
    <row r="1" spans="1:10" ht="14.25" customHeight="1" x14ac:dyDescent="0.25">
      <c r="A1" s="2" t="s">
        <v>1</v>
      </c>
      <c r="B1" s="3"/>
      <c r="C1" s="3"/>
      <c r="D1" s="3"/>
      <c r="E1" s="3"/>
      <c r="F1" s="3"/>
      <c r="G1" s="3"/>
      <c r="H1" s="3"/>
      <c r="I1" s="3"/>
      <c r="J1" s="3"/>
    </row>
    <row r="2" spans="1:10" ht="14.25" customHeight="1" x14ac:dyDescent="0.2">
      <c r="A2" s="4"/>
      <c r="B2" s="4"/>
      <c r="C2" s="4"/>
      <c r="D2" s="4"/>
      <c r="E2" s="4"/>
      <c r="F2" s="4"/>
      <c r="G2" s="4"/>
      <c r="H2" s="4"/>
      <c r="I2" s="4"/>
      <c r="J2" s="4"/>
    </row>
    <row r="3" spans="1:10" ht="14.25" customHeight="1" x14ac:dyDescent="0.2">
      <c r="A3" s="4" t="s">
        <v>15</v>
      </c>
      <c r="B3" s="7">
        <f>SUM(H9:H53)</f>
        <v>707644.75</v>
      </c>
      <c r="C3" s="4"/>
      <c r="D3" s="4"/>
      <c r="E3" s="4"/>
      <c r="F3" s="4"/>
      <c r="G3" s="4"/>
      <c r="H3" s="4"/>
      <c r="I3" s="4"/>
      <c r="J3" s="4"/>
    </row>
    <row r="4" spans="1:10" ht="14.25" customHeight="1" x14ac:dyDescent="0.2">
      <c r="A4" s="4" t="s">
        <v>21</v>
      </c>
      <c r="B4" s="7">
        <f>SUM(I9:I53)</f>
        <v>590480</v>
      </c>
      <c r="C4" s="4"/>
      <c r="D4" s="4"/>
      <c r="E4" s="4"/>
      <c r="F4" s="4"/>
      <c r="G4" s="4"/>
      <c r="H4" s="4"/>
      <c r="I4" s="4"/>
      <c r="J4" s="4"/>
    </row>
    <row r="5" spans="1:10" ht="14.25" customHeight="1" x14ac:dyDescent="0.25">
      <c r="A5" s="8" t="s">
        <v>25</v>
      </c>
      <c r="B5" s="9">
        <f>B3-B4</f>
        <v>117164.75</v>
      </c>
      <c r="C5" s="4"/>
      <c r="D5" s="4"/>
      <c r="E5" s="4"/>
      <c r="F5" s="4"/>
      <c r="G5" s="4"/>
      <c r="H5" s="4"/>
      <c r="I5" s="4"/>
      <c r="J5" s="4"/>
    </row>
    <row r="6" spans="1:10" ht="14.25" customHeight="1" x14ac:dyDescent="0.25">
      <c r="A6" s="8" t="s">
        <v>30</v>
      </c>
      <c r="B6" s="10">
        <f>B5/B3</f>
        <v>0.16557001235436283</v>
      </c>
      <c r="C6" s="4"/>
      <c r="D6" s="4"/>
      <c r="E6" s="4"/>
      <c r="F6" s="4"/>
      <c r="G6" s="4"/>
      <c r="H6" s="4"/>
      <c r="I6" s="4"/>
      <c r="J6" s="4"/>
    </row>
    <row r="7" spans="1:10" ht="20.100000000000001" customHeight="1" x14ac:dyDescent="0.25">
      <c r="A7" s="4"/>
      <c r="B7" s="4"/>
      <c r="C7" s="4"/>
      <c r="D7" s="38" t="s">
        <v>208</v>
      </c>
      <c r="E7" s="39">
        <v>230</v>
      </c>
      <c r="F7" s="38" t="s">
        <v>209</v>
      </c>
      <c r="G7" s="4"/>
      <c r="H7" s="4"/>
      <c r="I7" s="4"/>
      <c r="J7" s="4"/>
    </row>
    <row r="8" spans="1:10" ht="14.25" customHeight="1" x14ac:dyDescent="0.25">
      <c r="A8" s="5" t="s">
        <v>36</v>
      </c>
      <c r="B8" s="5" t="s">
        <v>37</v>
      </c>
      <c r="C8" s="5" t="s">
        <v>38</v>
      </c>
      <c r="D8" s="5" t="s">
        <v>40</v>
      </c>
      <c r="E8" s="5" t="s">
        <v>42</v>
      </c>
      <c r="F8" s="5" t="s">
        <v>44</v>
      </c>
      <c r="G8" s="5" t="s">
        <v>45</v>
      </c>
      <c r="H8" s="5" t="s">
        <v>8</v>
      </c>
      <c r="I8" s="5" t="s">
        <v>46</v>
      </c>
      <c r="J8" s="5" t="s">
        <v>25</v>
      </c>
    </row>
    <row r="9" spans="1:10" ht="14.25" customHeight="1" x14ac:dyDescent="0.2">
      <c r="A9" s="4" t="s">
        <v>48</v>
      </c>
      <c r="B9" s="4" t="s">
        <v>49</v>
      </c>
      <c r="C9" s="4">
        <v>242.5</v>
      </c>
      <c r="D9" s="7">
        <v>78</v>
      </c>
      <c r="E9" s="7">
        <v>90</v>
      </c>
      <c r="F9" s="4"/>
      <c r="G9" s="7">
        <v>0</v>
      </c>
      <c r="H9" s="7">
        <f t="shared" ref="H9:H47" si="0">C9*E9</f>
        <v>21825</v>
      </c>
      <c r="I9" s="7">
        <f t="shared" ref="I9:I47" si="1">C9*D9</f>
        <v>18915</v>
      </c>
      <c r="J9" s="7">
        <f t="shared" ref="J9:J53" si="2">H9-I9</f>
        <v>2910</v>
      </c>
    </row>
    <row r="10" spans="1:10" ht="14.25" customHeight="1" x14ac:dyDescent="0.2">
      <c r="A10" s="4" t="s">
        <v>48</v>
      </c>
      <c r="B10" s="4" t="s">
        <v>55</v>
      </c>
      <c r="C10" s="4">
        <v>261.5</v>
      </c>
      <c r="D10" s="7">
        <v>78</v>
      </c>
      <c r="E10" s="7">
        <v>95</v>
      </c>
      <c r="F10" s="4"/>
      <c r="G10" s="7">
        <v>0</v>
      </c>
      <c r="H10" s="7">
        <f t="shared" si="0"/>
        <v>24842.5</v>
      </c>
      <c r="I10" s="7">
        <f t="shared" si="1"/>
        <v>20397</v>
      </c>
      <c r="J10" s="7">
        <f t="shared" si="2"/>
        <v>4445.5</v>
      </c>
    </row>
    <row r="11" spans="1:10" ht="14.25" customHeight="1" x14ac:dyDescent="0.2">
      <c r="A11" s="4" t="s">
        <v>48</v>
      </c>
      <c r="B11" s="4" t="s">
        <v>58</v>
      </c>
      <c r="C11" s="4">
        <v>262.5</v>
      </c>
      <c r="D11" s="7">
        <v>78</v>
      </c>
      <c r="E11" s="7">
        <v>95</v>
      </c>
      <c r="F11" s="4"/>
      <c r="G11" s="7">
        <v>0</v>
      </c>
      <c r="H11" s="7">
        <f t="shared" si="0"/>
        <v>24937.5</v>
      </c>
      <c r="I11" s="7">
        <f t="shared" si="1"/>
        <v>20475</v>
      </c>
      <c r="J11" s="7">
        <f t="shared" si="2"/>
        <v>4462.5</v>
      </c>
    </row>
    <row r="12" spans="1:10" ht="14.25" customHeight="1" x14ac:dyDescent="0.2">
      <c r="A12" s="4" t="s">
        <v>48</v>
      </c>
      <c r="B12" s="4" t="s">
        <v>61</v>
      </c>
      <c r="C12" s="4">
        <v>187</v>
      </c>
      <c r="D12" s="7">
        <v>78</v>
      </c>
      <c r="E12" s="7">
        <v>90</v>
      </c>
      <c r="F12" s="4"/>
      <c r="G12" s="7">
        <v>0</v>
      </c>
      <c r="H12" s="7">
        <f t="shared" si="0"/>
        <v>16830</v>
      </c>
      <c r="I12" s="7">
        <f t="shared" si="1"/>
        <v>14586</v>
      </c>
      <c r="J12" s="7">
        <f t="shared" si="2"/>
        <v>2244</v>
      </c>
    </row>
    <row r="13" spans="1:10" ht="14.25" customHeight="1" x14ac:dyDescent="0.2">
      <c r="A13" s="4" t="s">
        <v>64</v>
      </c>
      <c r="B13" s="4" t="s">
        <v>68</v>
      </c>
      <c r="C13" s="4">
        <v>229</v>
      </c>
      <c r="D13" s="7">
        <v>64</v>
      </c>
      <c r="E13" s="7">
        <v>77</v>
      </c>
      <c r="F13" s="4" t="s">
        <v>16</v>
      </c>
      <c r="G13" s="7">
        <v>1180</v>
      </c>
      <c r="H13" s="7">
        <f t="shared" si="0"/>
        <v>17633</v>
      </c>
      <c r="I13" s="7">
        <f t="shared" si="1"/>
        <v>14656</v>
      </c>
      <c r="J13" s="7">
        <f t="shared" si="2"/>
        <v>2977</v>
      </c>
    </row>
    <row r="14" spans="1:10" ht="14.25" customHeight="1" x14ac:dyDescent="0.2">
      <c r="A14" s="4" t="s">
        <v>64</v>
      </c>
      <c r="B14" s="4" t="s">
        <v>71</v>
      </c>
      <c r="C14" s="4">
        <v>239</v>
      </c>
      <c r="D14" s="7">
        <v>64</v>
      </c>
      <c r="E14" s="7">
        <v>77</v>
      </c>
      <c r="F14" s="4" t="s">
        <v>16</v>
      </c>
      <c r="G14" s="7">
        <v>1180</v>
      </c>
      <c r="H14" s="7">
        <f t="shared" si="0"/>
        <v>18403</v>
      </c>
      <c r="I14" s="7">
        <f t="shared" si="1"/>
        <v>15296</v>
      </c>
      <c r="J14" s="7">
        <f t="shared" si="2"/>
        <v>3107</v>
      </c>
    </row>
    <row r="15" spans="1:10" ht="14.25" customHeight="1" x14ac:dyDescent="0.2">
      <c r="A15" s="4" t="s">
        <v>64</v>
      </c>
      <c r="B15" s="4" t="s">
        <v>72</v>
      </c>
      <c r="C15" s="4">
        <v>236</v>
      </c>
      <c r="D15" s="7">
        <v>64</v>
      </c>
      <c r="E15" s="7">
        <v>77</v>
      </c>
      <c r="F15" s="4" t="s">
        <v>16</v>
      </c>
      <c r="G15" s="7">
        <v>1180</v>
      </c>
      <c r="H15" s="7">
        <f t="shared" si="0"/>
        <v>18172</v>
      </c>
      <c r="I15" s="7">
        <f t="shared" si="1"/>
        <v>15104</v>
      </c>
      <c r="J15" s="7">
        <f t="shared" si="2"/>
        <v>3068</v>
      </c>
    </row>
    <row r="16" spans="1:10" ht="14.25" customHeight="1" x14ac:dyDescent="0.2">
      <c r="A16" s="4" t="s">
        <v>64</v>
      </c>
      <c r="B16" s="4" t="s">
        <v>73</v>
      </c>
      <c r="C16" s="4">
        <v>228</v>
      </c>
      <c r="D16" s="7">
        <v>64</v>
      </c>
      <c r="E16" s="7">
        <v>77</v>
      </c>
      <c r="F16" s="4" t="s">
        <v>16</v>
      </c>
      <c r="G16" s="7">
        <v>1180</v>
      </c>
      <c r="H16" s="7">
        <f t="shared" si="0"/>
        <v>17556</v>
      </c>
      <c r="I16" s="7">
        <f t="shared" si="1"/>
        <v>14592</v>
      </c>
      <c r="J16" s="7">
        <f t="shared" si="2"/>
        <v>2964</v>
      </c>
    </row>
    <row r="17" spans="1:10" ht="14.25" customHeight="1" x14ac:dyDescent="0.2">
      <c r="A17" s="4" t="s">
        <v>64</v>
      </c>
      <c r="B17" s="4" t="s">
        <v>74</v>
      </c>
      <c r="C17" s="4">
        <v>220</v>
      </c>
      <c r="D17" s="7">
        <v>64</v>
      </c>
      <c r="E17" s="7">
        <v>77</v>
      </c>
      <c r="F17" s="4" t="s">
        <v>16</v>
      </c>
      <c r="G17" s="7">
        <v>1180</v>
      </c>
      <c r="H17" s="7">
        <f t="shared" si="0"/>
        <v>16940</v>
      </c>
      <c r="I17" s="7">
        <f t="shared" si="1"/>
        <v>14080</v>
      </c>
      <c r="J17" s="7">
        <f t="shared" si="2"/>
        <v>2860</v>
      </c>
    </row>
    <row r="18" spans="1:10" ht="14.25" customHeight="1" x14ac:dyDescent="0.2">
      <c r="A18" s="4" t="s">
        <v>64</v>
      </c>
      <c r="B18" s="4" t="s">
        <v>75</v>
      </c>
      <c r="C18" s="4">
        <v>238</v>
      </c>
      <c r="D18" s="7">
        <v>64</v>
      </c>
      <c r="E18" s="7">
        <v>77</v>
      </c>
      <c r="F18" s="4" t="s">
        <v>16</v>
      </c>
      <c r="G18" s="7">
        <v>1180</v>
      </c>
      <c r="H18" s="7">
        <f t="shared" si="0"/>
        <v>18326</v>
      </c>
      <c r="I18" s="7">
        <f t="shared" si="1"/>
        <v>15232</v>
      </c>
      <c r="J18" s="7">
        <f t="shared" si="2"/>
        <v>3094</v>
      </c>
    </row>
    <row r="19" spans="1:10" ht="14.25" customHeight="1" x14ac:dyDescent="0.2">
      <c r="A19" s="4" t="s">
        <v>77</v>
      </c>
      <c r="B19" s="4" t="s">
        <v>78</v>
      </c>
      <c r="C19" s="4">
        <v>29.5</v>
      </c>
      <c r="D19" s="7">
        <v>81</v>
      </c>
      <c r="E19" s="7">
        <v>92</v>
      </c>
      <c r="F19" s="4"/>
      <c r="G19" s="7">
        <v>0</v>
      </c>
      <c r="H19" s="7">
        <f t="shared" si="0"/>
        <v>2714</v>
      </c>
      <c r="I19" s="7">
        <f t="shared" si="1"/>
        <v>2389.5</v>
      </c>
      <c r="J19" s="7">
        <f t="shared" si="2"/>
        <v>324.5</v>
      </c>
    </row>
    <row r="20" spans="1:10" ht="14.25" customHeight="1" x14ac:dyDescent="0.2">
      <c r="A20" s="4" t="s">
        <v>77</v>
      </c>
      <c r="B20" s="4" t="s">
        <v>79</v>
      </c>
      <c r="C20" s="4">
        <v>223</v>
      </c>
      <c r="D20" s="7">
        <v>81</v>
      </c>
      <c r="E20" s="7">
        <v>92</v>
      </c>
      <c r="F20" s="4"/>
      <c r="G20" s="7">
        <v>0</v>
      </c>
      <c r="H20" s="7">
        <f t="shared" si="0"/>
        <v>20516</v>
      </c>
      <c r="I20" s="7">
        <f t="shared" si="1"/>
        <v>18063</v>
      </c>
      <c r="J20" s="7">
        <f t="shared" si="2"/>
        <v>2453</v>
      </c>
    </row>
    <row r="21" spans="1:10" ht="14.25" customHeight="1" x14ac:dyDescent="0.2">
      <c r="A21" s="4" t="s">
        <v>77</v>
      </c>
      <c r="B21" s="4" t="s">
        <v>80</v>
      </c>
      <c r="C21" s="4">
        <v>229</v>
      </c>
      <c r="D21" s="7">
        <v>83</v>
      </c>
      <c r="E21" s="7">
        <v>92</v>
      </c>
      <c r="F21" s="4"/>
      <c r="G21" s="7">
        <v>0</v>
      </c>
      <c r="H21" s="7">
        <f t="shared" si="0"/>
        <v>21068</v>
      </c>
      <c r="I21" s="7">
        <f t="shared" si="1"/>
        <v>19007</v>
      </c>
      <c r="J21" s="7">
        <f t="shared" si="2"/>
        <v>2061</v>
      </c>
    </row>
    <row r="22" spans="1:10" ht="14.25" customHeight="1" x14ac:dyDescent="0.2">
      <c r="A22" s="4" t="s">
        <v>81</v>
      </c>
      <c r="B22" s="4" t="s">
        <v>82</v>
      </c>
      <c r="C22" s="4">
        <v>201.375</v>
      </c>
      <c r="D22" s="7">
        <v>64</v>
      </c>
      <c r="E22" s="7">
        <v>75</v>
      </c>
      <c r="F22" s="4" t="s">
        <v>69</v>
      </c>
      <c r="G22" s="7">
        <v>1180</v>
      </c>
      <c r="H22" s="7">
        <f t="shared" si="0"/>
        <v>15103.125</v>
      </c>
      <c r="I22" s="7">
        <f t="shared" si="1"/>
        <v>12888</v>
      </c>
      <c r="J22" s="7">
        <f t="shared" si="2"/>
        <v>2215.125</v>
      </c>
    </row>
    <row r="23" spans="1:10" ht="14.25" customHeight="1" x14ac:dyDescent="0.2">
      <c r="A23" s="4" t="s">
        <v>81</v>
      </c>
      <c r="B23" s="4" t="s">
        <v>83</v>
      </c>
      <c r="C23" s="4">
        <v>201.375</v>
      </c>
      <c r="D23" s="7">
        <v>64</v>
      </c>
      <c r="E23" s="7">
        <v>75</v>
      </c>
      <c r="F23" s="4" t="s">
        <v>69</v>
      </c>
      <c r="G23" s="7">
        <v>1180</v>
      </c>
      <c r="H23" s="7">
        <f t="shared" si="0"/>
        <v>15103.125</v>
      </c>
      <c r="I23" s="7">
        <f t="shared" si="1"/>
        <v>12888</v>
      </c>
      <c r="J23" s="7">
        <f t="shared" si="2"/>
        <v>2215.125</v>
      </c>
    </row>
    <row r="24" spans="1:10" ht="14.25" customHeight="1" x14ac:dyDescent="0.2">
      <c r="A24" s="4" t="s">
        <v>84</v>
      </c>
      <c r="B24" s="4" t="s">
        <v>85</v>
      </c>
      <c r="C24" s="4">
        <v>259.5</v>
      </c>
      <c r="D24" s="7">
        <v>70</v>
      </c>
      <c r="E24" s="7">
        <v>75</v>
      </c>
      <c r="F24" s="4"/>
      <c r="G24" s="7">
        <v>0</v>
      </c>
      <c r="H24" s="7">
        <f t="shared" si="0"/>
        <v>19462.5</v>
      </c>
      <c r="I24" s="7">
        <f t="shared" si="1"/>
        <v>18165</v>
      </c>
      <c r="J24" s="7">
        <f t="shared" si="2"/>
        <v>1297.5</v>
      </c>
    </row>
    <row r="25" spans="1:10" ht="14.25" customHeight="1" x14ac:dyDescent="0.2">
      <c r="A25" s="4" t="s">
        <v>84</v>
      </c>
      <c r="B25" s="4" t="s">
        <v>88</v>
      </c>
      <c r="C25" s="4">
        <v>24</v>
      </c>
      <c r="D25" s="7">
        <v>70</v>
      </c>
      <c r="E25" s="7">
        <v>75</v>
      </c>
      <c r="F25" s="4"/>
      <c r="G25" s="7">
        <v>0</v>
      </c>
      <c r="H25" s="7">
        <f t="shared" si="0"/>
        <v>1800</v>
      </c>
      <c r="I25" s="7">
        <f t="shared" si="1"/>
        <v>1680</v>
      </c>
      <c r="J25" s="7">
        <f t="shared" si="2"/>
        <v>120</v>
      </c>
    </row>
    <row r="26" spans="1:10" ht="14.25" customHeight="1" x14ac:dyDescent="0.2">
      <c r="A26" s="4" t="s">
        <v>84</v>
      </c>
      <c r="B26" s="4" t="s">
        <v>90</v>
      </c>
      <c r="C26" s="4">
        <v>24</v>
      </c>
      <c r="D26" s="7">
        <v>70</v>
      </c>
      <c r="E26" s="7">
        <v>75</v>
      </c>
      <c r="F26" s="4"/>
      <c r="G26" s="7">
        <v>0</v>
      </c>
      <c r="H26" s="7">
        <f t="shared" si="0"/>
        <v>1800</v>
      </c>
      <c r="I26" s="7">
        <f t="shared" si="1"/>
        <v>1680</v>
      </c>
      <c r="J26" s="7">
        <f t="shared" si="2"/>
        <v>120</v>
      </c>
    </row>
    <row r="27" spans="1:10" ht="14.25" customHeight="1" x14ac:dyDescent="0.2">
      <c r="A27" s="4" t="s">
        <v>84</v>
      </c>
      <c r="B27" s="4" t="s">
        <v>92</v>
      </c>
      <c r="C27" s="4">
        <v>276.5</v>
      </c>
      <c r="D27" s="7">
        <v>70</v>
      </c>
      <c r="E27" s="7">
        <v>75</v>
      </c>
      <c r="F27" s="4"/>
      <c r="G27" s="7">
        <v>0</v>
      </c>
      <c r="H27" s="7">
        <f t="shared" si="0"/>
        <v>20737.5</v>
      </c>
      <c r="I27" s="7">
        <f t="shared" si="1"/>
        <v>19355</v>
      </c>
      <c r="J27" s="7">
        <f t="shared" si="2"/>
        <v>1382.5</v>
      </c>
    </row>
    <row r="28" spans="1:10" ht="14.25" customHeight="1" x14ac:dyDescent="0.2">
      <c r="A28" s="4" t="s">
        <v>84</v>
      </c>
      <c r="B28" s="4" t="s">
        <v>93</v>
      </c>
      <c r="C28" s="4">
        <v>267</v>
      </c>
      <c r="D28" s="7">
        <v>70</v>
      </c>
      <c r="E28" s="7">
        <v>75</v>
      </c>
      <c r="F28" s="4"/>
      <c r="G28" s="7">
        <v>0</v>
      </c>
      <c r="H28" s="7">
        <f t="shared" si="0"/>
        <v>20025</v>
      </c>
      <c r="I28" s="7">
        <f t="shared" si="1"/>
        <v>18690</v>
      </c>
      <c r="J28" s="7">
        <f t="shared" si="2"/>
        <v>1335</v>
      </c>
    </row>
    <row r="29" spans="1:10" ht="14.25" customHeight="1" x14ac:dyDescent="0.2">
      <c r="A29" s="4" t="s">
        <v>84</v>
      </c>
      <c r="B29" s="4" t="s">
        <v>94</v>
      </c>
      <c r="C29" s="4">
        <v>267</v>
      </c>
      <c r="D29" s="7">
        <v>70</v>
      </c>
      <c r="E29" s="7">
        <v>75</v>
      </c>
      <c r="F29" s="4"/>
      <c r="G29" s="7">
        <v>0</v>
      </c>
      <c r="H29" s="7">
        <f t="shared" si="0"/>
        <v>20025</v>
      </c>
      <c r="I29" s="7">
        <f t="shared" si="1"/>
        <v>18690</v>
      </c>
      <c r="J29" s="7">
        <f t="shared" si="2"/>
        <v>1335</v>
      </c>
    </row>
    <row r="30" spans="1:10" ht="14.25" customHeight="1" x14ac:dyDescent="0.2">
      <c r="A30" s="4" t="s">
        <v>96</v>
      </c>
      <c r="B30" s="4" t="s">
        <v>98</v>
      </c>
      <c r="C30" s="4">
        <v>220</v>
      </c>
      <c r="D30" s="7">
        <v>65</v>
      </c>
      <c r="E30" s="7">
        <v>77</v>
      </c>
      <c r="F30" s="4"/>
      <c r="G30" s="7">
        <v>0</v>
      </c>
      <c r="H30" s="7">
        <f t="shared" si="0"/>
        <v>16940</v>
      </c>
      <c r="I30" s="7">
        <f t="shared" si="1"/>
        <v>14300</v>
      </c>
      <c r="J30" s="7">
        <f t="shared" si="2"/>
        <v>2640</v>
      </c>
    </row>
    <row r="31" spans="1:10" ht="14.25" customHeight="1" x14ac:dyDescent="0.2">
      <c r="A31" s="4" t="s">
        <v>99</v>
      </c>
      <c r="B31" s="4" t="s">
        <v>49</v>
      </c>
      <c r="C31" s="4">
        <v>10</v>
      </c>
      <c r="D31" s="7">
        <v>70</v>
      </c>
      <c r="E31" s="7">
        <v>95</v>
      </c>
      <c r="F31" s="4"/>
      <c r="G31" s="7">
        <v>0</v>
      </c>
      <c r="H31" s="7">
        <f t="shared" si="0"/>
        <v>950</v>
      </c>
      <c r="I31" s="7">
        <f t="shared" si="1"/>
        <v>700</v>
      </c>
      <c r="J31" s="7">
        <f t="shared" si="2"/>
        <v>250</v>
      </c>
    </row>
    <row r="32" spans="1:10" ht="14.25" customHeight="1" x14ac:dyDescent="0.2">
      <c r="A32" s="4" t="s">
        <v>99</v>
      </c>
      <c r="B32" s="4" t="s">
        <v>102</v>
      </c>
      <c r="C32" s="4">
        <v>53</v>
      </c>
      <c r="D32" s="7">
        <v>71</v>
      </c>
      <c r="E32" s="7">
        <v>95</v>
      </c>
      <c r="F32" s="4" t="s">
        <v>20</v>
      </c>
      <c r="G32" s="7">
        <v>1180</v>
      </c>
      <c r="H32" s="7">
        <f t="shared" si="0"/>
        <v>5035</v>
      </c>
      <c r="I32" s="7">
        <f t="shared" si="1"/>
        <v>3763</v>
      </c>
      <c r="J32" s="7">
        <f t="shared" si="2"/>
        <v>1272</v>
      </c>
    </row>
    <row r="33" spans="1:10" ht="14.25" customHeight="1" x14ac:dyDescent="0.2">
      <c r="A33" s="4" t="s">
        <v>99</v>
      </c>
      <c r="B33" s="4" t="s">
        <v>103</v>
      </c>
      <c r="C33" s="4">
        <v>27</v>
      </c>
      <c r="D33" s="7">
        <v>71</v>
      </c>
      <c r="E33" s="7">
        <v>95</v>
      </c>
      <c r="F33" s="4" t="s">
        <v>20</v>
      </c>
      <c r="G33" s="7">
        <v>1180</v>
      </c>
      <c r="H33" s="7">
        <f t="shared" si="0"/>
        <v>2565</v>
      </c>
      <c r="I33" s="7">
        <f t="shared" si="1"/>
        <v>1917</v>
      </c>
      <c r="J33" s="7">
        <f t="shared" si="2"/>
        <v>648</v>
      </c>
    </row>
    <row r="34" spans="1:10" ht="14.25" customHeight="1" x14ac:dyDescent="0.2">
      <c r="A34" s="4" t="s">
        <v>107</v>
      </c>
      <c r="B34" s="4" t="s">
        <v>108</v>
      </c>
      <c r="C34" s="4">
        <v>38</v>
      </c>
      <c r="D34" s="7">
        <v>67</v>
      </c>
      <c r="E34" s="7">
        <v>80</v>
      </c>
      <c r="F34" s="4"/>
      <c r="G34" s="7">
        <v>0</v>
      </c>
      <c r="H34" s="7">
        <f t="shared" si="0"/>
        <v>3040</v>
      </c>
      <c r="I34" s="7">
        <f t="shared" si="1"/>
        <v>2546</v>
      </c>
      <c r="J34" s="7">
        <f t="shared" si="2"/>
        <v>494</v>
      </c>
    </row>
    <row r="35" spans="1:10" ht="14.25" customHeight="1" x14ac:dyDescent="0.2">
      <c r="A35" s="4" t="s">
        <v>107</v>
      </c>
      <c r="B35" s="4" t="s">
        <v>113</v>
      </c>
      <c r="C35" s="4">
        <v>38</v>
      </c>
      <c r="D35" s="7">
        <v>67</v>
      </c>
      <c r="E35" s="7">
        <v>80</v>
      </c>
      <c r="F35" s="4"/>
      <c r="G35" s="7">
        <v>0</v>
      </c>
      <c r="H35" s="7">
        <f t="shared" si="0"/>
        <v>3040</v>
      </c>
      <c r="I35" s="7">
        <f t="shared" si="1"/>
        <v>2546</v>
      </c>
      <c r="J35" s="7">
        <f t="shared" si="2"/>
        <v>494</v>
      </c>
    </row>
    <row r="36" spans="1:10" ht="14.25" customHeight="1" x14ac:dyDescent="0.2">
      <c r="A36" s="4" t="s">
        <v>120</v>
      </c>
      <c r="B36" s="4" t="s">
        <v>121</v>
      </c>
      <c r="C36" s="4">
        <v>237.5</v>
      </c>
      <c r="D36" s="7">
        <v>67</v>
      </c>
      <c r="E36" s="7">
        <v>77</v>
      </c>
      <c r="F36" s="4"/>
      <c r="G36" s="7">
        <v>0</v>
      </c>
      <c r="H36" s="7">
        <f t="shared" si="0"/>
        <v>18287.5</v>
      </c>
      <c r="I36" s="7">
        <f t="shared" si="1"/>
        <v>15912.5</v>
      </c>
      <c r="J36" s="7">
        <f t="shared" si="2"/>
        <v>2375</v>
      </c>
    </row>
    <row r="37" spans="1:10" ht="14.25" customHeight="1" x14ac:dyDescent="0.2">
      <c r="A37" s="4" t="s">
        <v>120</v>
      </c>
      <c r="B37" s="4" t="s">
        <v>125</v>
      </c>
      <c r="C37" s="4">
        <v>237.5</v>
      </c>
      <c r="D37" s="7">
        <v>67</v>
      </c>
      <c r="E37" s="7">
        <v>77</v>
      </c>
      <c r="F37" s="4"/>
      <c r="G37" s="7">
        <v>0</v>
      </c>
      <c r="H37" s="7">
        <f t="shared" si="0"/>
        <v>18287.5</v>
      </c>
      <c r="I37" s="7">
        <f t="shared" si="1"/>
        <v>15912.5</v>
      </c>
      <c r="J37" s="7">
        <f t="shared" si="2"/>
        <v>2375</v>
      </c>
    </row>
    <row r="38" spans="1:10" ht="14.25" customHeight="1" x14ac:dyDescent="0.2">
      <c r="A38" s="4" t="s">
        <v>134</v>
      </c>
      <c r="B38" s="4" t="s">
        <v>136</v>
      </c>
      <c r="C38" s="4">
        <v>267</v>
      </c>
      <c r="D38" s="7">
        <v>83</v>
      </c>
      <c r="E38" s="7">
        <v>105</v>
      </c>
      <c r="F38" s="4" t="s">
        <v>140</v>
      </c>
      <c r="G38" s="7">
        <v>1180</v>
      </c>
      <c r="H38" s="7">
        <f t="shared" si="0"/>
        <v>28035</v>
      </c>
      <c r="I38" s="7">
        <f t="shared" si="1"/>
        <v>22161</v>
      </c>
      <c r="J38" s="7">
        <f t="shared" si="2"/>
        <v>5874</v>
      </c>
    </row>
    <row r="39" spans="1:10" ht="14.25" customHeight="1" x14ac:dyDescent="0.2">
      <c r="A39" s="4" t="s">
        <v>134</v>
      </c>
      <c r="B39" s="4" t="s">
        <v>142</v>
      </c>
      <c r="C39" s="4">
        <v>259</v>
      </c>
      <c r="D39" s="7">
        <v>75</v>
      </c>
      <c r="E39" s="7">
        <v>100</v>
      </c>
      <c r="F39" s="4"/>
      <c r="G39" s="7">
        <v>0</v>
      </c>
      <c r="H39" s="7">
        <f t="shared" si="0"/>
        <v>25900</v>
      </c>
      <c r="I39" s="7">
        <f t="shared" si="1"/>
        <v>19425</v>
      </c>
      <c r="J39" s="7">
        <f t="shared" si="2"/>
        <v>6475</v>
      </c>
    </row>
    <row r="40" spans="1:10" ht="14.25" customHeight="1" x14ac:dyDescent="0.2">
      <c r="A40" s="4" t="s">
        <v>134</v>
      </c>
      <c r="B40" s="4" t="s">
        <v>146</v>
      </c>
      <c r="C40" s="4">
        <v>255</v>
      </c>
      <c r="D40" s="7">
        <v>80</v>
      </c>
      <c r="E40" s="7">
        <v>100</v>
      </c>
      <c r="F40" s="4"/>
      <c r="G40" s="7">
        <v>0</v>
      </c>
      <c r="H40" s="7">
        <f t="shared" si="0"/>
        <v>25500</v>
      </c>
      <c r="I40" s="7">
        <f t="shared" si="1"/>
        <v>20400</v>
      </c>
      <c r="J40" s="7">
        <f t="shared" si="2"/>
        <v>5100</v>
      </c>
    </row>
    <row r="41" spans="1:10" ht="14.25" customHeight="1" x14ac:dyDescent="0.2">
      <c r="A41" s="4" t="s">
        <v>134</v>
      </c>
      <c r="B41" s="4" t="s">
        <v>147</v>
      </c>
      <c r="C41" s="4">
        <v>231</v>
      </c>
      <c r="D41" s="7">
        <v>83</v>
      </c>
      <c r="E41" s="7">
        <v>100</v>
      </c>
      <c r="F41" s="4"/>
      <c r="G41" s="7">
        <v>0</v>
      </c>
      <c r="H41" s="7">
        <f t="shared" si="0"/>
        <v>23100</v>
      </c>
      <c r="I41" s="7">
        <f t="shared" si="1"/>
        <v>19173</v>
      </c>
      <c r="J41" s="7">
        <f t="shared" si="2"/>
        <v>3927</v>
      </c>
    </row>
    <row r="42" spans="1:10" ht="14.25" customHeight="1" x14ac:dyDescent="0.2">
      <c r="A42" s="4" t="s">
        <v>134</v>
      </c>
      <c r="B42" s="4" t="s">
        <v>152</v>
      </c>
      <c r="C42" s="4">
        <v>268</v>
      </c>
      <c r="D42" s="7">
        <v>77</v>
      </c>
      <c r="E42" s="7">
        <v>100</v>
      </c>
      <c r="F42" s="4"/>
      <c r="G42" s="7">
        <v>0</v>
      </c>
      <c r="H42" s="7">
        <f t="shared" si="0"/>
        <v>26800</v>
      </c>
      <c r="I42" s="7">
        <f t="shared" si="1"/>
        <v>20636</v>
      </c>
      <c r="J42" s="7">
        <f t="shared" si="2"/>
        <v>6164</v>
      </c>
    </row>
    <row r="43" spans="1:10" ht="14.25" customHeight="1" x14ac:dyDescent="0.2">
      <c r="A43" s="4" t="s">
        <v>134</v>
      </c>
      <c r="B43" s="4" t="s">
        <v>153</v>
      </c>
      <c r="C43" s="4">
        <v>244</v>
      </c>
      <c r="D43" s="7">
        <v>77</v>
      </c>
      <c r="E43" s="7">
        <v>105</v>
      </c>
      <c r="F43" s="4" t="s">
        <v>140</v>
      </c>
      <c r="G43" s="7">
        <v>1180</v>
      </c>
      <c r="H43" s="7">
        <f t="shared" si="0"/>
        <v>25620</v>
      </c>
      <c r="I43" s="7">
        <f t="shared" si="1"/>
        <v>18788</v>
      </c>
      <c r="J43" s="7">
        <f t="shared" si="2"/>
        <v>6832</v>
      </c>
    </row>
    <row r="44" spans="1:10" ht="14.25" customHeight="1" x14ac:dyDescent="0.2">
      <c r="A44" s="4" t="s">
        <v>149</v>
      </c>
      <c r="B44" s="4" t="s">
        <v>155</v>
      </c>
      <c r="C44" s="4">
        <v>101</v>
      </c>
      <c r="D44" s="7">
        <v>73</v>
      </c>
      <c r="E44" s="7">
        <v>90</v>
      </c>
      <c r="F44" s="4"/>
      <c r="G44" s="7">
        <v>0</v>
      </c>
      <c r="H44" s="7">
        <f t="shared" si="0"/>
        <v>9090</v>
      </c>
      <c r="I44" s="7">
        <f t="shared" si="1"/>
        <v>7373</v>
      </c>
      <c r="J44" s="7">
        <f t="shared" si="2"/>
        <v>1717</v>
      </c>
    </row>
    <row r="45" spans="1:10" ht="14.25" customHeight="1" x14ac:dyDescent="0.2">
      <c r="A45" s="4" t="s">
        <v>149</v>
      </c>
      <c r="B45" s="4" t="s">
        <v>156</v>
      </c>
      <c r="C45" s="4">
        <v>92</v>
      </c>
      <c r="D45" s="7">
        <v>73</v>
      </c>
      <c r="E45" s="7">
        <v>90</v>
      </c>
      <c r="F45" s="4"/>
      <c r="G45" s="7">
        <v>0</v>
      </c>
      <c r="H45" s="7">
        <f t="shared" si="0"/>
        <v>8280</v>
      </c>
      <c r="I45" s="7">
        <f t="shared" si="1"/>
        <v>6716</v>
      </c>
      <c r="J45" s="7">
        <f t="shared" si="2"/>
        <v>1564</v>
      </c>
    </row>
    <row r="46" spans="1:10" ht="14.25" customHeight="1" x14ac:dyDescent="0.2">
      <c r="A46" s="4" t="s">
        <v>149</v>
      </c>
      <c r="B46" s="4" t="s">
        <v>158</v>
      </c>
      <c r="C46" s="4">
        <v>101</v>
      </c>
      <c r="D46" s="7">
        <v>73</v>
      </c>
      <c r="E46" s="7">
        <v>95</v>
      </c>
      <c r="F46" s="4"/>
      <c r="G46" s="7">
        <v>0</v>
      </c>
      <c r="H46" s="7">
        <f t="shared" si="0"/>
        <v>9595</v>
      </c>
      <c r="I46" s="7">
        <f t="shared" si="1"/>
        <v>7373</v>
      </c>
      <c r="J46" s="7">
        <f t="shared" si="2"/>
        <v>2222</v>
      </c>
    </row>
    <row r="47" spans="1:10" ht="14.25" customHeight="1" x14ac:dyDescent="0.2">
      <c r="A47" s="4" t="s">
        <v>149</v>
      </c>
      <c r="B47" s="4" t="s">
        <v>159</v>
      </c>
      <c r="C47" s="4">
        <v>34.5</v>
      </c>
      <c r="D47" s="7">
        <v>73</v>
      </c>
      <c r="E47" s="7">
        <v>90</v>
      </c>
      <c r="F47" s="4"/>
      <c r="G47" s="7">
        <v>0</v>
      </c>
      <c r="H47" s="7">
        <f t="shared" si="0"/>
        <v>3105</v>
      </c>
      <c r="I47" s="7">
        <f t="shared" si="1"/>
        <v>2518.5</v>
      </c>
      <c r="J47" s="7">
        <f t="shared" si="2"/>
        <v>586.5</v>
      </c>
    </row>
    <row r="48" spans="1:10" ht="14.25" customHeight="1" x14ac:dyDescent="0.2">
      <c r="A48" s="4" t="s">
        <v>149</v>
      </c>
      <c r="B48" s="4" t="s">
        <v>162</v>
      </c>
      <c r="C48" s="4"/>
      <c r="D48" s="7"/>
      <c r="E48" s="7"/>
      <c r="F48" s="4"/>
      <c r="G48" s="7">
        <v>0</v>
      </c>
      <c r="H48" s="7">
        <v>5587.5</v>
      </c>
      <c r="I48" s="7">
        <v>0</v>
      </c>
      <c r="J48" s="7">
        <f t="shared" si="2"/>
        <v>5587.5</v>
      </c>
    </row>
    <row r="49" spans="1:10" ht="14.25" customHeight="1" x14ac:dyDescent="0.2">
      <c r="A49" s="4" t="s">
        <v>138</v>
      </c>
      <c r="B49" s="4" t="s">
        <v>163</v>
      </c>
      <c r="C49" s="4">
        <v>247</v>
      </c>
      <c r="D49" s="7">
        <v>73</v>
      </c>
      <c r="E49" s="7">
        <v>90</v>
      </c>
      <c r="F49" s="4" t="s">
        <v>20</v>
      </c>
      <c r="G49" s="7">
        <v>1180</v>
      </c>
      <c r="H49" s="7">
        <f t="shared" ref="H49:H53" si="3">C49*E49</f>
        <v>22230</v>
      </c>
      <c r="I49" s="7">
        <f t="shared" ref="I49:I53" si="4">C49*D49</f>
        <v>18031</v>
      </c>
      <c r="J49" s="7">
        <f t="shared" si="2"/>
        <v>4199</v>
      </c>
    </row>
    <row r="50" spans="1:10" ht="14.25" customHeight="1" x14ac:dyDescent="0.2">
      <c r="A50" s="4" t="s">
        <v>138</v>
      </c>
      <c r="B50" s="4" t="s">
        <v>164</v>
      </c>
      <c r="C50" s="4">
        <v>232.5</v>
      </c>
      <c r="D50" s="7">
        <v>73</v>
      </c>
      <c r="E50" s="7">
        <v>90</v>
      </c>
      <c r="F50" s="4" t="s">
        <v>20</v>
      </c>
      <c r="G50" s="7">
        <v>1180</v>
      </c>
      <c r="H50" s="7">
        <f t="shared" si="3"/>
        <v>20925</v>
      </c>
      <c r="I50" s="7">
        <f t="shared" si="4"/>
        <v>16972.5</v>
      </c>
      <c r="J50" s="7">
        <f t="shared" si="2"/>
        <v>3952.5</v>
      </c>
    </row>
    <row r="51" spans="1:10" ht="14.25" customHeight="1" x14ac:dyDescent="0.2">
      <c r="A51" s="4" t="s">
        <v>138</v>
      </c>
      <c r="B51" s="4" t="s">
        <v>165</v>
      </c>
      <c r="C51" s="4">
        <v>236</v>
      </c>
      <c r="D51" s="7">
        <v>70</v>
      </c>
      <c r="E51" s="7">
        <v>73</v>
      </c>
      <c r="F51" s="4"/>
      <c r="G51" s="7">
        <v>0</v>
      </c>
      <c r="H51" s="7">
        <f t="shared" si="3"/>
        <v>17228</v>
      </c>
      <c r="I51" s="7">
        <f t="shared" si="4"/>
        <v>16520</v>
      </c>
      <c r="J51" s="7">
        <f t="shared" si="2"/>
        <v>708</v>
      </c>
    </row>
    <row r="52" spans="1:10" ht="14.25" customHeight="1" x14ac:dyDescent="0.2">
      <c r="A52" s="4" t="s">
        <v>138</v>
      </c>
      <c r="B52" s="4" t="s">
        <v>166</v>
      </c>
      <c r="C52" s="4">
        <v>247.5</v>
      </c>
      <c r="D52" s="7">
        <v>73</v>
      </c>
      <c r="E52" s="7">
        <v>90</v>
      </c>
      <c r="F52" s="4" t="s">
        <v>20</v>
      </c>
      <c r="G52" s="7">
        <v>1180</v>
      </c>
      <c r="H52" s="7">
        <f t="shared" si="3"/>
        <v>22275</v>
      </c>
      <c r="I52" s="7">
        <f t="shared" si="4"/>
        <v>18067.5</v>
      </c>
      <c r="J52" s="7">
        <f t="shared" si="2"/>
        <v>4207.5</v>
      </c>
    </row>
    <row r="53" spans="1:10" ht="14.25" customHeight="1" x14ac:dyDescent="0.2">
      <c r="A53" s="4" t="s">
        <v>138</v>
      </c>
      <c r="B53" s="4" t="s">
        <v>93</v>
      </c>
      <c r="C53" s="4">
        <v>170</v>
      </c>
      <c r="D53" s="7">
        <v>70</v>
      </c>
      <c r="E53" s="7">
        <v>73</v>
      </c>
      <c r="F53" s="4"/>
      <c r="G53" s="7">
        <v>0</v>
      </c>
      <c r="H53" s="7">
        <f t="shared" si="3"/>
        <v>12410</v>
      </c>
      <c r="I53" s="7">
        <f t="shared" si="4"/>
        <v>11900</v>
      </c>
      <c r="J53" s="7">
        <f t="shared" si="2"/>
        <v>510</v>
      </c>
    </row>
    <row r="54" spans="1:10" ht="14.25" customHeight="1" x14ac:dyDescent="0.25">
      <c r="A54" s="8" t="s">
        <v>59</v>
      </c>
      <c r="B54" s="8"/>
      <c r="C54" s="8"/>
      <c r="D54" s="8"/>
      <c r="E54" s="8"/>
      <c r="F54" s="8"/>
      <c r="G54" s="9">
        <f t="shared" ref="G54:J54" si="5">SUM(G9:G53)</f>
        <v>17700</v>
      </c>
      <c r="H54" s="9">
        <f t="shared" si="5"/>
        <v>707644.75</v>
      </c>
      <c r="I54" s="9">
        <f t="shared" si="5"/>
        <v>590480</v>
      </c>
      <c r="J54" s="9">
        <f t="shared" si="5"/>
        <v>117164.75</v>
      </c>
    </row>
    <row r="55" spans="1:10" ht="14.25" customHeight="1" x14ac:dyDescent="0.2">
      <c r="A55" s="4"/>
      <c r="B55" s="4"/>
      <c r="C55" s="4"/>
      <c r="D55" s="4"/>
      <c r="E55" s="4"/>
      <c r="F55" s="4"/>
      <c r="G55" s="4"/>
      <c r="H55" s="4"/>
      <c r="I55" s="4"/>
      <c r="J55" s="4"/>
    </row>
    <row r="56" spans="1:10" ht="14.25" customHeight="1" x14ac:dyDescent="0.2">
      <c r="A56" s="4" t="s">
        <v>168</v>
      </c>
      <c r="B56" s="4"/>
      <c r="C56" s="4"/>
      <c r="D56" s="4"/>
      <c r="E56" s="4"/>
      <c r="F56" s="4"/>
      <c r="G56" s="4"/>
      <c r="H56" s="4"/>
      <c r="I56" s="4"/>
      <c r="J56" s="4"/>
    </row>
    <row r="57" spans="1:10" ht="14.25" customHeight="1" x14ac:dyDescent="0.2">
      <c r="A57" s="4" t="s">
        <v>169</v>
      </c>
      <c r="B57" s="4"/>
      <c r="C57" s="4"/>
      <c r="D57" s="4"/>
      <c r="E57" s="4"/>
      <c r="F57" s="4"/>
      <c r="G57" s="4"/>
      <c r="H57" s="4"/>
      <c r="I57" s="4"/>
      <c r="J57" s="4"/>
    </row>
    <row r="58" spans="1:10" ht="14.25" customHeight="1" x14ac:dyDescent="0.2"/>
    <row r="59" spans="1:10" ht="14.25" customHeight="1" x14ac:dyDescent="0.2"/>
    <row r="60" spans="1:10" ht="14.25" customHeight="1" x14ac:dyDescent="0.25">
      <c r="A60" s="25" t="s">
        <v>170</v>
      </c>
      <c r="B60" s="25"/>
      <c r="C60" s="25"/>
      <c r="D60" s="25"/>
      <c r="E60" s="25"/>
      <c r="F60" s="25"/>
      <c r="G60" s="25"/>
    </row>
    <row r="61" spans="1:10" ht="14.25" customHeight="1" x14ac:dyDescent="0.25">
      <c r="A61" s="26" t="s">
        <v>5</v>
      </c>
      <c r="B61" s="26" t="s">
        <v>131</v>
      </c>
      <c r="C61" s="26" t="s">
        <v>171</v>
      </c>
      <c r="D61" s="26" t="s">
        <v>132</v>
      </c>
      <c r="E61" s="26" t="s">
        <v>46</v>
      </c>
      <c r="F61" s="26" t="s">
        <v>25</v>
      </c>
      <c r="G61" s="26" t="s">
        <v>137</v>
      </c>
    </row>
    <row r="62" spans="1:10" ht="14.25" customHeight="1" x14ac:dyDescent="0.2">
      <c r="A62" s="27" t="s">
        <v>48</v>
      </c>
      <c r="B62" s="27">
        <f t="shared" ref="B62:B73" si="6">COUNTIFS($A$9:$A$53,A62,$C$9:$C$53,"&gt;0")</f>
        <v>4</v>
      </c>
      <c r="C62" s="27">
        <f t="shared" ref="C62:C73" si="7">SUMIF($A$9:$A$53,A62,$C$9:$C$53)</f>
        <v>953.5</v>
      </c>
      <c r="D62" s="28">
        <f t="shared" ref="D62:D73" si="8">SUMIF($A$9:$A$53,A62,$H$9:$H$53)</f>
        <v>88435</v>
      </c>
      <c r="E62" s="28">
        <f t="shared" ref="E62:E73" si="9">SUMIF($A$9:$A$53,A62,$I$9:$I$53)</f>
        <v>74373</v>
      </c>
      <c r="F62" s="28">
        <f t="shared" ref="F62:F73" si="10">D62-E62</f>
        <v>14062</v>
      </c>
      <c r="G62" s="29">
        <f t="shared" ref="G62:G73" si="11">IF(D62=0,"",F62/D62)</f>
        <v>0.15900944196302369</v>
      </c>
    </row>
    <row r="63" spans="1:10" ht="14.25" customHeight="1" x14ac:dyDescent="0.2">
      <c r="A63" s="27" t="s">
        <v>64</v>
      </c>
      <c r="B63" s="27">
        <f t="shared" si="6"/>
        <v>6</v>
      </c>
      <c r="C63" s="27">
        <f t="shared" si="7"/>
        <v>1390</v>
      </c>
      <c r="D63" s="28">
        <f t="shared" si="8"/>
        <v>107030</v>
      </c>
      <c r="E63" s="28">
        <f t="shared" si="9"/>
        <v>88960</v>
      </c>
      <c r="F63" s="28">
        <f t="shared" si="10"/>
        <v>18070</v>
      </c>
      <c r="G63" s="29">
        <f t="shared" si="11"/>
        <v>0.16883116883116883</v>
      </c>
    </row>
    <row r="64" spans="1:10" ht="14.25" customHeight="1" x14ac:dyDescent="0.2">
      <c r="A64" s="27" t="s">
        <v>77</v>
      </c>
      <c r="B64" s="27">
        <f t="shared" si="6"/>
        <v>3</v>
      </c>
      <c r="C64" s="27">
        <f t="shared" si="7"/>
        <v>481.5</v>
      </c>
      <c r="D64" s="28">
        <f t="shared" si="8"/>
        <v>44298</v>
      </c>
      <c r="E64" s="28">
        <f t="shared" si="9"/>
        <v>39459.5</v>
      </c>
      <c r="F64" s="28">
        <f t="shared" si="10"/>
        <v>4838.5</v>
      </c>
      <c r="G64" s="29">
        <f t="shared" si="11"/>
        <v>0.10922615016479299</v>
      </c>
    </row>
    <row r="65" spans="1:7" ht="14.25" customHeight="1" x14ac:dyDescent="0.2">
      <c r="A65" s="27" t="s">
        <v>81</v>
      </c>
      <c r="B65" s="27">
        <f t="shared" si="6"/>
        <v>2</v>
      </c>
      <c r="C65" s="27">
        <f t="shared" si="7"/>
        <v>402.75</v>
      </c>
      <c r="D65" s="28">
        <f t="shared" si="8"/>
        <v>30206.25</v>
      </c>
      <c r="E65" s="28">
        <f t="shared" si="9"/>
        <v>25776</v>
      </c>
      <c r="F65" s="28">
        <f t="shared" si="10"/>
        <v>4430.25</v>
      </c>
      <c r="G65" s="29">
        <f t="shared" si="11"/>
        <v>0.14666666666666667</v>
      </c>
    </row>
    <row r="66" spans="1:7" ht="14.25" customHeight="1" x14ac:dyDescent="0.2">
      <c r="A66" s="27" t="s">
        <v>84</v>
      </c>
      <c r="B66" s="27">
        <f t="shared" si="6"/>
        <v>6</v>
      </c>
      <c r="C66" s="27">
        <f t="shared" si="7"/>
        <v>1118</v>
      </c>
      <c r="D66" s="28">
        <f t="shared" si="8"/>
        <v>83850</v>
      </c>
      <c r="E66" s="28">
        <f t="shared" si="9"/>
        <v>78260</v>
      </c>
      <c r="F66" s="28">
        <f t="shared" si="10"/>
        <v>5590</v>
      </c>
      <c r="G66" s="29">
        <f t="shared" si="11"/>
        <v>6.6666666666666666E-2</v>
      </c>
    </row>
    <row r="67" spans="1:7" ht="14.25" customHeight="1" x14ac:dyDescent="0.2">
      <c r="A67" s="27" t="s">
        <v>96</v>
      </c>
      <c r="B67" s="27">
        <f t="shared" si="6"/>
        <v>1</v>
      </c>
      <c r="C67" s="27">
        <f t="shared" si="7"/>
        <v>220</v>
      </c>
      <c r="D67" s="28">
        <f t="shared" si="8"/>
        <v>16940</v>
      </c>
      <c r="E67" s="28">
        <f t="shared" si="9"/>
        <v>14300</v>
      </c>
      <c r="F67" s="28">
        <f t="shared" si="10"/>
        <v>2640</v>
      </c>
      <c r="G67" s="29">
        <f t="shared" si="11"/>
        <v>0.15584415584415584</v>
      </c>
    </row>
    <row r="68" spans="1:7" ht="14.25" customHeight="1" x14ac:dyDescent="0.2">
      <c r="A68" s="27" t="s">
        <v>99</v>
      </c>
      <c r="B68" s="27">
        <f t="shared" si="6"/>
        <v>3</v>
      </c>
      <c r="C68" s="27">
        <f t="shared" si="7"/>
        <v>90</v>
      </c>
      <c r="D68" s="28">
        <f t="shared" si="8"/>
        <v>8550</v>
      </c>
      <c r="E68" s="28">
        <f t="shared" si="9"/>
        <v>6380</v>
      </c>
      <c r="F68" s="28">
        <f t="shared" si="10"/>
        <v>2170</v>
      </c>
      <c r="G68" s="29">
        <f t="shared" si="11"/>
        <v>0.25380116959064325</v>
      </c>
    </row>
    <row r="69" spans="1:7" ht="14.25" customHeight="1" x14ac:dyDescent="0.2">
      <c r="A69" s="27" t="s">
        <v>107</v>
      </c>
      <c r="B69" s="27">
        <f t="shared" si="6"/>
        <v>2</v>
      </c>
      <c r="C69" s="27">
        <f t="shared" si="7"/>
        <v>76</v>
      </c>
      <c r="D69" s="28">
        <f t="shared" si="8"/>
        <v>6080</v>
      </c>
      <c r="E69" s="28">
        <f t="shared" si="9"/>
        <v>5092</v>
      </c>
      <c r="F69" s="28">
        <f t="shared" si="10"/>
        <v>988</v>
      </c>
      <c r="G69" s="29">
        <f t="shared" si="11"/>
        <v>0.16250000000000001</v>
      </c>
    </row>
    <row r="70" spans="1:7" ht="14.25" customHeight="1" x14ac:dyDescent="0.2">
      <c r="A70" s="27" t="s">
        <v>120</v>
      </c>
      <c r="B70" s="27">
        <f t="shared" si="6"/>
        <v>2</v>
      </c>
      <c r="C70" s="27">
        <f t="shared" si="7"/>
        <v>475</v>
      </c>
      <c r="D70" s="28">
        <f t="shared" si="8"/>
        <v>36575</v>
      </c>
      <c r="E70" s="28">
        <f t="shared" si="9"/>
        <v>31825</v>
      </c>
      <c r="F70" s="28">
        <f t="shared" si="10"/>
        <v>4750</v>
      </c>
      <c r="G70" s="29">
        <f t="shared" si="11"/>
        <v>0.12987012987012986</v>
      </c>
    </row>
    <row r="71" spans="1:7" ht="14.25" customHeight="1" x14ac:dyDescent="0.2">
      <c r="A71" s="27" t="s">
        <v>134</v>
      </c>
      <c r="B71" s="27">
        <f t="shared" si="6"/>
        <v>6</v>
      </c>
      <c r="C71" s="27">
        <f t="shared" si="7"/>
        <v>1524</v>
      </c>
      <c r="D71" s="28">
        <f t="shared" si="8"/>
        <v>154955</v>
      </c>
      <c r="E71" s="28">
        <f t="shared" si="9"/>
        <v>120583</v>
      </c>
      <c r="F71" s="28">
        <f t="shared" si="10"/>
        <v>34372</v>
      </c>
      <c r="G71" s="29">
        <f t="shared" si="11"/>
        <v>0.22181923784324481</v>
      </c>
    </row>
    <row r="72" spans="1:7" ht="14.25" customHeight="1" x14ac:dyDescent="0.2">
      <c r="A72" s="27" t="s">
        <v>149</v>
      </c>
      <c r="B72" s="27">
        <f t="shared" si="6"/>
        <v>4</v>
      </c>
      <c r="C72" s="27">
        <f t="shared" si="7"/>
        <v>328.5</v>
      </c>
      <c r="D72" s="28">
        <f t="shared" si="8"/>
        <v>35657.5</v>
      </c>
      <c r="E72" s="28">
        <f t="shared" si="9"/>
        <v>23980.5</v>
      </c>
      <c r="F72" s="28">
        <f t="shared" si="10"/>
        <v>11677</v>
      </c>
      <c r="G72" s="29">
        <f t="shared" si="11"/>
        <v>0.32747668793381479</v>
      </c>
    </row>
    <row r="73" spans="1:7" ht="14.25" customHeight="1" x14ac:dyDescent="0.2">
      <c r="A73" s="27" t="s">
        <v>138</v>
      </c>
      <c r="B73" s="27">
        <f t="shared" si="6"/>
        <v>5</v>
      </c>
      <c r="C73" s="27">
        <f t="shared" si="7"/>
        <v>1133</v>
      </c>
      <c r="D73" s="28">
        <f t="shared" si="8"/>
        <v>95068</v>
      </c>
      <c r="E73" s="28">
        <f t="shared" si="9"/>
        <v>81491</v>
      </c>
      <c r="F73" s="28">
        <f t="shared" si="10"/>
        <v>13577</v>
      </c>
      <c r="G73" s="29">
        <f t="shared" si="11"/>
        <v>0.14281356502713846</v>
      </c>
    </row>
    <row r="74" spans="1:7" ht="14.25" customHeight="1" x14ac:dyDescent="0.25">
      <c r="A74" s="32" t="s">
        <v>59</v>
      </c>
      <c r="B74" s="32">
        <f t="shared" ref="B74:F74" si="12">SUM(B62:B73)</f>
        <v>44</v>
      </c>
      <c r="C74" s="32">
        <f t="shared" si="12"/>
        <v>8192.25</v>
      </c>
      <c r="D74" s="33">
        <f t="shared" si="12"/>
        <v>707644.75</v>
      </c>
      <c r="E74" s="33">
        <f t="shared" si="12"/>
        <v>590480</v>
      </c>
      <c r="F74" s="33">
        <f t="shared" si="12"/>
        <v>117164.75</v>
      </c>
      <c r="G74" s="34">
        <f>F74/D74</f>
        <v>0.16557001235436283</v>
      </c>
    </row>
    <row r="75" spans="1:7" ht="14.25" customHeight="1" x14ac:dyDescent="0.2"/>
    <row r="76" spans="1:7" ht="14.25" customHeight="1" x14ac:dyDescent="0.2"/>
    <row r="77" spans="1:7" ht="14.25" customHeight="1" x14ac:dyDescent="0.2"/>
    <row r="78" spans="1:7" ht="14.25" customHeight="1" x14ac:dyDescent="0.2"/>
    <row r="79" spans="1:7" ht="14.25" customHeight="1" x14ac:dyDescent="0.2"/>
    <row r="80" spans="1:7"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conditionalFormatting sqref="A9:B53">
    <cfRule type="expression" dxfId="13" priority="2" stopIfTrue="1">
      <formula>AND($C9&lt;&gt;"",$C9&lt;230)</formula>
    </cfRule>
  </conditionalFormatting>
  <conditionalFormatting sqref="C9:C53">
    <cfRule type="expression" dxfId="12" priority="1" stopIfTrue="1">
      <formula>AND($C9&lt;&gt;"",$C9&lt;230)</formula>
    </cfRule>
  </conditionalFormatting>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AAF3D-8F28-4822-9F21-FC78F73B5384}">
  <sheetPr>
    <tabColor rgb="FFFFD966"/>
  </sheetPr>
  <dimension ref="A1:K17"/>
  <sheetViews>
    <sheetView rightToLeft="1" tabSelected="1" workbookViewId="0">
      <pane ySplit="3" topLeftCell="A4" activePane="bottomLeft" state="frozen"/>
      <selection pane="bottomLeft" activeCell="G25" sqref="G25"/>
    </sheetView>
  </sheetViews>
  <sheetFormatPr defaultRowHeight="14.25" x14ac:dyDescent="0.2"/>
  <cols>
    <col min="1" max="1" width="24.625" customWidth="1"/>
    <col min="2" max="2" width="20.625" customWidth="1"/>
    <col min="3" max="10" width="14.625" customWidth="1"/>
    <col min="11" max="11" width="52.625" customWidth="1"/>
  </cols>
  <sheetData>
    <row r="1" spans="1:11" ht="26.1" customHeight="1" x14ac:dyDescent="0.25">
      <c r="A1" s="41" t="s">
        <v>336</v>
      </c>
      <c r="B1" s="45"/>
      <c r="C1" s="45"/>
      <c r="D1" s="45"/>
      <c r="E1" s="45"/>
      <c r="F1" s="45"/>
      <c r="G1" s="45"/>
      <c r="H1" s="45"/>
      <c r="I1" s="45"/>
      <c r="J1" s="45"/>
      <c r="K1" s="45"/>
    </row>
    <row r="2" spans="1:11" ht="15" x14ac:dyDescent="0.2">
      <c r="A2" s="46"/>
      <c r="B2" s="46"/>
      <c r="C2" s="46"/>
      <c r="D2" s="46"/>
      <c r="E2" s="46"/>
      <c r="F2" s="46"/>
      <c r="G2" s="46"/>
      <c r="H2" s="46"/>
      <c r="I2" s="46"/>
      <c r="J2" s="46"/>
      <c r="K2" s="46"/>
    </row>
    <row r="3" spans="1:11" ht="15.75" x14ac:dyDescent="0.25">
      <c r="A3" s="54" t="s">
        <v>4</v>
      </c>
      <c r="B3" s="54" t="s">
        <v>5</v>
      </c>
      <c r="C3" s="54" t="s">
        <v>6</v>
      </c>
      <c r="D3" s="54" t="s">
        <v>7</v>
      </c>
      <c r="E3" s="54" t="s">
        <v>8</v>
      </c>
      <c r="F3" s="54" t="s">
        <v>9</v>
      </c>
      <c r="G3" s="54" t="s">
        <v>10</v>
      </c>
      <c r="H3" s="54" t="s">
        <v>11</v>
      </c>
      <c r="I3" s="54" t="s">
        <v>12</v>
      </c>
      <c r="J3" s="54" t="s">
        <v>13</v>
      </c>
      <c r="K3" s="54" t="s">
        <v>14</v>
      </c>
    </row>
    <row r="4" spans="1:11" ht="15" x14ac:dyDescent="0.2">
      <c r="A4" s="47" t="s">
        <v>18</v>
      </c>
      <c r="B4" s="47" t="s">
        <v>17</v>
      </c>
      <c r="C4" s="47">
        <v>2</v>
      </c>
      <c r="D4" s="48">
        <v>1180</v>
      </c>
      <c r="E4" s="48">
        <f t="shared" ref="E4:E9" si="0">C4*D4</f>
        <v>2360</v>
      </c>
      <c r="F4" s="48">
        <v>2500</v>
      </c>
      <c r="G4" s="48">
        <v>0</v>
      </c>
      <c r="H4" s="48">
        <v>0</v>
      </c>
      <c r="I4" s="48">
        <f t="shared" ref="I4:I14" si="1">SUM(F4:H4)</f>
        <v>2500</v>
      </c>
      <c r="J4" s="48">
        <f t="shared" ref="J4:J14" si="2">E4-I4</f>
        <v>-140</v>
      </c>
      <c r="K4" s="47" t="s">
        <v>337</v>
      </c>
    </row>
    <row r="5" spans="1:11" ht="15" x14ac:dyDescent="0.2">
      <c r="A5" s="47" t="s">
        <v>23</v>
      </c>
      <c r="B5" s="47" t="s">
        <v>17</v>
      </c>
      <c r="C5" s="47">
        <v>7</v>
      </c>
      <c r="D5" s="48">
        <v>1180</v>
      </c>
      <c r="E5" s="48">
        <f>C5*D5</f>
        <v>8260</v>
      </c>
      <c r="F5" s="48">
        <v>9600</v>
      </c>
      <c r="G5" s="48">
        <v>0</v>
      </c>
      <c r="H5" s="48">
        <v>0</v>
      </c>
      <c r="I5" s="48">
        <f t="shared" si="1"/>
        <v>9600</v>
      </c>
      <c r="J5" s="48">
        <f t="shared" si="2"/>
        <v>-1340</v>
      </c>
      <c r="K5" s="47" t="s">
        <v>338</v>
      </c>
    </row>
    <row r="6" spans="1:11" ht="15" x14ac:dyDescent="0.2">
      <c r="A6" s="47" t="s">
        <v>20</v>
      </c>
      <c r="B6" s="47" t="s">
        <v>17</v>
      </c>
      <c r="C6" s="47">
        <v>4</v>
      </c>
      <c r="D6" s="48">
        <v>1180</v>
      </c>
      <c r="E6" s="48">
        <f t="shared" si="0"/>
        <v>4720</v>
      </c>
      <c r="F6" s="48">
        <v>4000</v>
      </c>
      <c r="G6" s="48">
        <v>800</v>
      </c>
      <c r="H6" s="48">
        <v>0</v>
      </c>
      <c r="I6" s="48">
        <f t="shared" si="1"/>
        <v>4800</v>
      </c>
      <c r="J6" s="48">
        <f t="shared" si="2"/>
        <v>-80</v>
      </c>
      <c r="K6" s="47" t="s">
        <v>339</v>
      </c>
    </row>
    <row r="7" spans="1:11" ht="15" x14ac:dyDescent="0.2">
      <c r="A7" s="47" t="s">
        <v>26</v>
      </c>
      <c r="B7" s="47" t="s">
        <v>17</v>
      </c>
      <c r="C7" s="47">
        <v>5</v>
      </c>
      <c r="D7" s="48">
        <v>1180</v>
      </c>
      <c r="E7" s="48">
        <f t="shared" si="0"/>
        <v>5900</v>
      </c>
      <c r="F7" s="48">
        <f>7000*5/8</f>
        <v>4375</v>
      </c>
      <c r="G7" s="48">
        <v>1000</v>
      </c>
      <c r="H7" s="48">
        <v>200</v>
      </c>
      <c r="I7" s="48">
        <f t="shared" si="1"/>
        <v>5575</v>
      </c>
      <c r="J7" s="48">
        <f t="shared" si="2"/>
        <v>325</v>
      </c>
      <c r="K7" s="47" t="s">
        <v>340</v>
      </c>
    </row>
    <row r="8" spans="1:11" ht="15" x14ac:dyDescent="0.2">
      <c r="A8" s="47" t="s">
        <v>29</v>
      </c>
      <c r="B8" s="47" t="s">
        <v>31</v>
      </c>
      <c r="C8" s="47">
        <v>3</v>
      </c>
      <c r="D8" s="48">
        <v>1150</v>
      </c>
      <c r="E8" s="48">
        <f t="shared" si="0"/>
        <v>3450</v>
      </c>
      <c r="F8" s="48">
        <f>7000*3/8</f>
        <v>2625</v>
      </c>
      <c r="G8" s="48">
        <v>600</v>
      </c>
      <c r="H8" s="48">
        <v>300</v>
      </c>
      <c r="I8" s="48">
        <f t="shared" si="1"/>
        <v>3525</v>
      </c>
      <c r="J8" s="48">
        <f t="shared" si="2"/>
        <v>-75</v>
      </c>
      <c r="K8" s="47" t="s">
        <v>341</v>
      </c>
    </row>
    <row r="9" spans="1:11" ht="15" x14ac:dyDescent="0.2">
      <c r="A9" s="47" t="s">
        <v>16</v>
      </c>
      <c r="B9" s="47" t="s">
        <v>17</v>
      </c>
      <c r="C9" s="47">
        <v>2</v>
      </c>
      <c r="D9" s="48">
        <v>1180</v>
      </c>
      <c r="E9" s="48">
        <f t="shared" si="0"/>
        <v>2360</v>
      </c>
      <c r="F9" s="48">
        <v>3000</v>
      </c>
      <c r="G9" s="48">
        <v>400</v>
      </c>
      <c r="H9" s="48">
        <v>0</v>
      </c>
      <c r="I9" s="48">
        <f t="shared" si="1"/>
        <v>3400</v>
      </c>
      <c r="J9" s="48">
        <f t="shared" si="2"/>
        <v>-1040</v>
      </c>
      <c r="K9" s="47" t="s">
        <v>342</v>
      </c>
    </row>
    <row r="10" spans="1:11" ht="15" x14ac:dyDescent="0.2">
      <c r="A10" s="47" t="s">
        <v>41</v>
      </c>
      <c r="B10" s="47" t="s">
        <v>43</v>
      </c>
      <c r="C10" s="47"/>
      <c r="D10" s="48"/>
      <c r="E10" s="48">
        <v>13000</v>
      </c>
      <c r="F10" s="48">
        <v>7500</v>
      </c>
      <c r="G10" s="48">
        <v>0</v>
      </c>
      <c r="H10" s="48">
        <v>0</v>
      </c>
      <c r="I10" s="48">
        <f t="shared" si="1"/>
        <v>7500</v>
      </c>
      <c r="J10" s="48">
        <f t="shared" si="2"/>
        <v>5500</v>
      </c>
      <c r="K10" s="47" t="s">
        <v>56</v>
      </c>
    </row>
    <row r="11" spans="1:11" ht="15" x14ac:dyDescent="0.2">
      <c r="A11" s="47" t="s">
        <v>51</v>
      </c>
      <c r="B11" s="47" t="s">
        <v>43</v>
      </c>
      <c r="C11" s="47"/>
      <c r="D11" s="48"/>
      <c r="E11" s="48">
        <v>25000</v>
      </c>
      <c r="F11" s="48">
        <v>11000</v>
      </c>
      <c r="G11" s="48">
        <v>0</v>
      </c>
      <c r="H11" s="48">
        <v>0</v>
      </c>
      <c r="I11" s="48">
        <f t="shared" si="1"/>
        <v>11000</v>
      </c>
      <c r="J11" s="48">
        <f t="shared" si="2"/>
        <v>14000</v>
      </c>
      <c r="K11" s="47" t="s">
        <v>56</v>
      </c>
    </row>
    <row r="12" spans="1:11" ht="15" x14ac:dyDescent="0.2">
      <c r="A12" s="47" t="s">
        <v>60</v>
      </c>
      <c r="B12" s="47" t="s">
        <v>31</v>
      </c>
      <c r="C12" s="47">
        <v>1</v>
      </c>
      <c r="D12" s="48">
        <v>8816.66</v>
      </c>
      <c r="E12" s="48">
        <f>C12*D12</f>
        <v>8816.66</v>
      </c>
      <c r="F12" s="48">
        <v>4000</v>
      </c>
      <c r="G12" s="48">
        <v>0</v>
      </c>
      <c r="H12" s="48">
        <v>600</v>
      </c>
      <c r="I12" s="48">
        <f t="shared" si="1"/>
        <v>4600</v>
      </c>
      <c r="J12" s="48">
        <f t="shared" si="2"/>
        <v>4216.66</v>
      </c>
      <c r="K12" s="47" t="s">
        <v>62</v>
      </c>
    </row>
    <row r="13" spans="1:11" ht="15" x14ac:dyDescent="0.2">
      <c r="A13" s="47" t="s">
        <v>63</v>
      </c>
      <c r="B13" s="47" t="s">
        <v>54</v>
      </c>
      <c r="C13" s="47"/>
      <c r="D13" s="48"/>
      <c r="E13" s="48">
        <v>20000</v>
      </c>
      <c r="F13" s="48">
        <v>15500</v>
      </c>
      <c r="G13" s="48">
        <v>0</v>
      </c>
      <c r="H13" s="48">
        <v>0</v>
      </c>
      <c r="I13" s="48">
        <f t="shared" si="1"/>
        <v>15500</v>
      </c>
      <c r="J13" s="48">
        <f t="shared" si="2"/>
        <v>4500</v>
      </c>
      <c r="K13" s="47" t="s">
        <v>67</v>
      </c>
    </row>
    <row r="14" spans="1:11" ht="15" x14ac:dyDescent="0.2">
      <c r="A14" s="47" t="s">
        <v>35</v>
      </c>
      <c r="B14" s="47" t="s">
        <v>31</v>
      </c>
      <c r="C14" s="47">
        <v>1</v>
      </c>
      <c r="D14" s="48">
        <v>7283.33</v>
      </c>
      <c r="E14" s="48">
        <f>C14*D14</f>
        <v>7283.33</v>
      </c>
      <c r="F14" s="48">
        <v>4700</v>
      </c>
      <c r="G14" s="48">
        <v>1020</v>
      </c>
      <c r="H14" s="48">
        <v>600</v>
      </c>
      <c r="I14" s="48">
        <f t="shared" si="1"/>
        <v>6320</v>
      </c>
      <c r="J14" s="48">
        <f t="shared" si="2"/>
        <v>963.32999999999993</v>
      </c>
      <c r="K14" s="47" t="s">
        <v>70</v>
      </c>
    </row>
    <row r="15" spans="1:11" ht="15.75" x14ac:dyDescent="0.25">
      <c r="A15" s="49" t="s">
        <v>59</v>
      </c>
      <c r="B15" s="49"/>
      <c r="C15" s="49"/>
      <c r="D15" s="50"/>
      <c r="E15" s="50">
        <f t="shared" ref="E15:J15" si="3">SUM(E4:E14)</f>
        <v>101149.99</v>
      </c>
      <c r="F15" s="50">
        <f t="shared" si="3"/>
        <v>68800</v>
      </c>
      <c r="G15" s="50">
        <f t="shared" si="3"/>
        <v>3820</v>
      </c>
      <c r="H15" s="50">
        <f t="shared" si="3"/>
        <v>1700</v>
      </c>
      <c r="I15" s="50">
        <f t="shared" si="3"/>
        <v>74320</v>
      </c>
      <c r="J15" s="50">
        <f t="shared" si="3"/>
        <v>26829.989999999998</v>
      </c>
      <c r="K15" s="49"/>
    </row>
    <row r="17" spans="1:1" x14ac:dyDescent="0.2">
      <c r="A17" s="67" t="s">
        <v>343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1B5D6-255F-4B83-BA5F-B3A673EBA100}">
  <sheetPr>
    <tabColor rgb="FFFFD966"/>
  </sheetPr>
  <dimension ref="A1:K17"/>
  <sheetViews>
    <sheetView rightToLeft="1" workbookViewId="0">
      <pane ySplit="3" topLeftCell="A4" activePane="bottomLeft" state="frozen"/>
      <selection pane="bottomLeft" activeCell="G25" sqref="G25"/>
    </sheetView>
  </sheetViews>
  <sheetFormatPr defaultRowHeight="14.25" x14ac:dyDescent="0.2"/>
  <cols>
    <col min="1" max="1" width="24.625" customWidth="1"/>
    <col min="2" max="2" width="20.625" customWidth="1"/>
    <col min="3" max="10" width="14.625" customWidth="1"/>
    <col min="11" max="11" width="52.625" customWidth="1"/>
  </cols>
  <sheetData>
    <row r="1" spans="1:11" ht="26.1" customHeight="1" x14ac:dyDescent="0.25">
      <c r="A1" s="41" t="s">
        <v>252</v>
      </c>
      <c r="B1" s="45"/>
      <c r="C1" s="45"/>
      <c r="D1" s="45"/>
      <c r="E1" s="45"/>
      <c r="F1" s="45"/>
      <c r="G1" s="45"/>
      <c r="H1" s="45"/>
      <c r="I1" s="45"/>
      <c r="J1" s="45"/>
      <c r="K1" s="45"/>
    </row>
    <row r="2" spans="1:11" ht="15" x14ac:dyDescent="0.2">
      <c r="A2" s="46"/>
      <c r="B2" s="46"/>
      <c r="C2" s="46"/>
      <c r="D2" s="46"/>
      <c r="E2" s="46"/>
      <c r="F2" s="46"/>
      <c r="G2" s="46"/>
      <c r="H2" s="46"/>
      <c r="I2" s="46"/>
      <c r="J2" s="46"/>
      <c r="K2" s="46"/>
    </row>
    <row r="3" spans="1:11" ht="15.75" x14ac:dyDescent="0.25">
      <c r="A3" s="54" t="s">
        <v>4</v>
      </c>
      <c r="B3" s="54" t="s">
        <v>5</v>
      </c>
      <c r="C3" s="54" t="s">
        <v>6</v>
      </c>
      <c r="D3" s="54" t="s">
        <v>7</v>
      </c>
      <c r="E3" s="54" t="s">
        <v>8</v>
      </c>
      <c r="F3" s="54" t="s">
        <v>9</v>
      </c>
      <c r="G3" s="54" t="s">
        <v>10</v>
      </c>
      <c r="H3" s="54" t="s">
        <v>11</v>
      </c>
      <c r="I3" s="54" t="s">
        <v>12</v>
      </c>
      <c r="J3" s="54" t="s">
        <v>13</v>
      </c>
      <c r="K3" s="54" t="s">
        <v>14</v>
      </c>
    </row>
    <row r="4" spans="1:11" ht="15" x14ac:dyDescent="0.2">
      <c r="A4" s="47" t="s">
        <v>18</v>
      </c>
      <c r="B4" s="47" t="s">
        <v>17</v>
      </c>
      <c r="C4" s="47">
        <v>3</v>
      </c>
      <c r="D4" s="48">
        <v>1180</v>
      </c>
      <c r="E4" s="48">
        <f t="shared" ref="E4:E9" si="0">C4*D4</f>
        <v>3540</v>
      </c>
      <c r="F4" s="48">
        <v>2500</v>
      </c>
      <c r="G4" s="48">
        <v>0</v>
      </c>
      <c r="H4" s="48">
        <v>0</v>
      </c>
      <c r="I4" s="48">
        <f t="shared" ref="I4:I14" si="1">SUM(F4:H4)</f>
        <v>2500</v>
      </c>
      <c r="J4" s="48">
        <f t="shared" ref="J4:J14" si="2">E4-I4</f>
        <v>1040</v>
      </c>
      <c r="K4" s="47" t="s">
        <v>22</v>
      </c>
    </row>
    <row r="5" spans="1:11" ht="15" x14ac:dyDescent="0.2">
      <c r="A5" s="47" t="s">
        <v>23</v>
      </c>
      <c r="B5" s="47" t="s">
        <v>304</v>
      </c>
      <c r="C5" s="47">
        <v>12</v>
      </c>
      <c r="D5" s="48">
        <v>1180</v>
      </c>
      <c r="E5" s="48">
        <v>14887.8</v>
      </c>
      <c r="F5" s="48">
        <v>9600</v>
      </c>
      <c r="G5" s="48">
        <v>0</v>
      </c>
      <c r="H5" s="48">
        <v>0</v>
      </c>
      <c r="I5" s="48">
        <f t="shared" si="1"/>
        <v>9600</v>
      </c>
      <c r="J5" s="48">
        <f t="shared" si="2"/>
        <v>5287.7999999999993</v>
      </c>
      <c r="K5" s="47" t="s">
        <v>305</v>
      </c>
    </row>
    <row r="6" spans="1:11" ht="15" x14ac:dyDescent="0.2">
      <c r="A6" s="47" t="s">
        <v>20</v>
      </c>
      <c r="B6" s="47" t="s">
        <v>17</v>
      </c>
      <c r="C6" s="47">
        <v>4</v>
      </c>
      <c r="D6" s="48">
        <v>1180</v>
      </c>
      <c r="E6" s="48">
        <f t="shared" si="0"/>
        <v>4720</v>
      </c>
      <c r="F6" s="48">
        <v>4000</v>
      </c>
      <c r="G6" s="48">
        <v>800</v>
      </c>
      <c r="H6" s="48">
        <v>0</v>
      </c>
      <c r="I6" s="48">
        <f t="shared" si="1"/>
        <v>4800</v>
      </c>
      <c r="J6" s="48">
        <f t="shared" si="2"/>
        <v>-80</v>
      </c>
      <c r="K6" s="47" t="s">
        <v>254</v>
      </c>
    </row>
    <row r="7" spans="1:11" ht="15" x14ac:dyDescent="0.2">
      <c r="A7" s="47" t="s">
        <v>26</v>
      </c>
      <c r="B7" s="47" t="s">
        <v>17</v>
      </c>
      <c r="C7" s="47">
        <v>6</v>
      </c>
      <c r="D7" s="48">
        <v>1180</v>
      </c>
      <c r="E7" s="48">
        <f t="shared" si="0"/>
        <v>7080</v>
      </c>
      <c r="F7" s="48">
        <f>7000*6/9</f>
        <v>4666.666666666667</v>
      </c>
      <c r="G7" s="48">
        <v>1200</v>
      </c>
      <c r="H7" s="48">
        <v>200</v>
      </c>
      <c r="I7" s="48">
        <f t="shared" si="1"/>
        <v>6066.666666666667</v>
      </c>
      <c r="J7" s="48">
        <f t="shared" si="2"/>
        <v>1013.333333333333</v>
      </c>
      <c r="K7" s="47" t="s">
        <v>257</v>
      </c>
    </row>
    <row r="8" spans="1:11" ht="15" x14ac:dyDescent="0.2">
      <c r="A8" s="47" t="s">
        <v>29</v>
      </c>
      <c r="B8" s="47" t="s">
        <v>31</v>
      </c>
      <c r="C8" s="47">
        <v>3</v>
      </c>
      <c r="D8" s="48">
        <v>1150</v>
      </c>
      <c r="E8" s="48">
        <f t="shared" si="0"/>
        <v>3450</v>
      </c>
      <c r="F8" s="48">
        <f>7000*3/9</f>
        <v>2333.3333333333335</v>
      </c>
      <c r="G8" s="48">
        <v>600</v>
      </c>
      <c r="H8" s="48">
        <v>300</v>
      </c>
      <c r="I8" s="48">
        <f t="shared" si="1"/>
        <v>3233.3333333333335</v>
      </c>
      <c r="J8" s="48">
        <f t="shared" si="2"/>
        <v>216.66666666666652</v>
      </c>
      <c r="K8" s="47" t="s">
        <v>255</v>
      </c>
    </row>
    <row r="9" spans="1:11" ht="15" x14ac:dyDescent="0.2">
      <c r="A9" s="47" t="s">
        <v>16</v>
      </c>
      <c r="B9" s="47" t="s">
        <v>17</v>
      </c>
      <c r="C9" s="47">
        <v>4</v>
      </c>
      <c r="D9" s="48">
        <v>1180</v>
      </c>
      <c r="E9" s="48">
        <f t="shared" si="0"/>
        <v>4720</v>
      </c>
      <c r="F9" s="48">
        <v>3000</v>
      </c>
      <c r="G9" s="48">
        <v>800</v>
      </c>
      <c r="H9" s="48">
        <v>0</v>
      </c>
      <c r="I9" s="48">
        <f t="shared" si="1"/>
        <v>3800</v>
      </c>
      <c r="J9" s="48">
        <f t="shared" si="2"/>
        <v>920</v>
      </c>
      <c r="K9" s="47" t="s">
        <v>256</v>
      </c>
    </row>
    <row r="10" spans="1:11" ht="15" x14ac:dyDescent="0.2">
      <c r="A10" s="47" t="s">
        <v>41</v>
      </c>
      <c r="B10" s="47" t="s">
        <v>43</v>
      </c>
      <c r="C10" s="47"/>
      <c r="D10" s="48"/>
      <c r="E10" s="48">
        <v>13000</v>
      </c>
      <c r="F10" s="48">
        <v>7500</v>
      </c>
      <c r="G10" s="48">
        <v>0</v>
      </c>
      <c r="H10" s="48">
        <v>0</v>
      </c>
      <c r="I10" s="48">
        <f t="shared" si="1"/>
        <v>7500</v>
      </c>
      <c r="J10" s="48">
        <f t="shared" si="2"/>
        <v>5500</v>
      </c>
      <c r="K10" s="47" t="s">
        <v>56</v>
      </c>
    </row>
    <row r="11" spans="1:11" ht="15" x14ac:dyDescent="0.2">
      <c r="A11" s="47" t="s">
        <v>51</v>
      </c>
      <c r="B11" s="47" t="s">
        <v>43</v>
      </c>
      <c r="C11" s="47"/>
      <c r="D11" s="48"/>
      <c r="E11" s="48">
        <v>25000</v>
      </c>
      <c r="F11" s="48">
        <v>11000</v>
      </c>
      <c r="G11" s="48">
        <v>0</v>
      </c>
      <c r="H11" s="48">
        <v>0</v>
      </c>
      <c r="I11" s="48">
        <f t="shared" si="1"/>
        <v>11000</v>
      </c>
      <c r="J11" s="48">
        <f t="shared" si="2"/>
        <v>14000</v>
      </c>
      <c r="K11" s="47" t="s">
        <v>56</v>
      </c>
    </row>
    <row r="12" spans="1:11" ht="15" x14ac:dyDescent="0.2">
      <c r="A12" s="47" t="s">
        <v>60</v>
      </c>
      <c r="B12" s="47" t="s">
        <v>31</v>
      </c>
      <c r="C12" s="47">
        <v>1</v>
      </c>
      <c r="D12" s="48">
        <v>8816.66</v>
      </c>
      <c r="E12" s="48">
        <f>C12*D12</f>
        <v>8816.66</v>
      </c>
      <c r="F12" s="48">
        <v>4000</v>
      </c>
      <c r="G12" s="48">
        <v>0</v>
      </c>
      <c r="H12" s="48">
        <v>600</v>
      </c>
      <c r="I12" s="48">
        <f t="shared" si="1"/>
        <v>4600</v>
      </c>
      <c r="J12" s="48">
        <f t="shared" si="2"/>
        <v>4216.66</v>
      </c>
      <c r="K12" s="47" t="s">
        <v>62</v>
      </c>
    </row>
    <row r="13" spans="1:11" ht="15" x14ac:dyDescent="0.2">
      <c r="A13" s="47" t="s">
        <v>63</v>
      </c>
      <c r="B13" s="47" t="s">
        <v>54</v>
      </c>
      <c r="C13" s="47"/>
      <c r="D13" s="48"/>
      <c r="E13" s="48">
        <v>20000</v>
      </c>
      <c r="F13" s="48">
        <v>15500</v>
      </c>
      <c r="G13" s="48">
        <v>0</v>
      </c>
      <c r="H13" s="48">
        <v>0</v>
      </c>
      <c r="I13" s="48">
        <f t="shared" si="1"/>
        <v>15500</v>
      </c>
      <c r="J13" s="48">
        <f t="shared" si="2"/>
        <v>4500</v>
      </c>
      <c r="K13" s="47" t="s">
        <v>67</v>
      </c>
    </row>
    <row r="14" spans="1:11" ht="15" x14ac:dyDescent="0.2">
      <c r="A14" s="47" t="s">
        <v>35</v>
      </c>
      <c r="B14" s="47" t="s">
        <v>31</v>
      </c>
      <c r="C14" s="47">
        <v>1</v>
      </c>
      <c r="D14" s="48">
        <v>7283.33</v>
      </c>
      <c r="E14" s="48">
        <f>C14*D14</f>
        <v>7283.33</v>
      </c>
      <c r="F14" s="48">
        <v>4700</v>
      </c>
      <c r="G14" s="48">
        <v>1020</v>
      </c>
      <c r="H14" s="48">
        <v>600</v>
      </c>
      <c r="I14" s="48">
        <f t="shared" si="1"/>
        <v>6320</v>
      </c>
      <c r="J14" s="48">
        <f t="shared" si="2"/>
        <v>963.32999999999993</v>
      </c>
      <c r="K14" s="47" t="s">
        <v>70</v>
      </c>
    </row>
    <row r="15" spans="1:11" ht="15.75" x14ac:dyDescent="0.25">
      <c r="A15" s="49" t="s">
        <v>59</v>
      </c>
      <c r="B15" s="49"/>
      <c r="C15" s="49"/>
      <c r="D15" s="50"/>
      <c r="E15" s="50">
        <f t="shared" ref="E15:J15" si="3">SUM(E4:E14)</f>
        <v>112497.79000000001</v>
      </c>
      <c r="F15" s="50">
        <f t="shared" si="3"/>
        <v>68800</v>
      </c>
      <c r="G15" s="50">
        <f t="shared" si="3"/>
        <v>4420</v>
      </c>
      <c r="H15" s="50">
        <f t="shared" si="3"/>
        <v>1700</v>
      </c>
      <c r="I15" s="50">
        <f t="shared" si="3"/>
        <v>74920</v>
      </c>
      <c r="J15" s="50">
        <f t="shared" si="3"/>
        <v>37577.79</v>
      </c>
      <c r="K15" s="49"/>
    </row>
    <row r="17" spans="1:1" x14ac:dyDescent="0.2">
      <c r="A17" s="67" t="s">
        <v>253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D966"/>
  </sheetPr>
  <dimension ref="A1:K1000"/>
  <sheetViews>
    <sheetView showGridLines="0" rightToLeft="1" workbookViewId="0">
      <pane ySplit="3" topLeftCell="A4" activePane="bottomLeft" state="frozen"/>
      <selection pane="bottomLeft" activeCell="B5" sqref="B5"/>
    </sheetView>
  </sheetViews>
  <sheetFormatPr defaultColWidth="12.625" defaultRowHeight="15" customHeight="1" x14ac:dyDescent="0.2"/>
  <cols>
    <col min="1" max="1" width="34.625" customWidth="1"/>
    <col min="2" max="2" width="14.875" customWidth="1"/>
    <col min="11" max="11" width="28.375" customWidth="1"/>
    <col min="12" max="26" width="8.625" customWidth="1"/>
  </cols>
  <sheetData>
    <row r="1" spans="1:11" ht="14.25" customHeight="1" x14ac:dyDescent="0.25">
      <c r="A1" s="1" t="s">
        <v>0</v>
      </c>
      <c r="B1" s="3"/>
      <c r="C1" s="3"/>
      <c r="D1" s="3"/>
      <c r="E1" s="3"/>
      <c r="F1" s="3"/>
      <c r="G1" s="3"/>
      <c r="H1" s="3"/>
      <c r="I1" s="3"/>
      <c r="J1" s="3"/>
      <c r="K1" s="3"/>
    </row>
    <row r="2" spans="1:11" ht="14.25" customHeight="1" x14ac:dyDescent="0.2">
      <c r="A2" s="4"/>
      <c r="B2" s="4"/>
      <c r="C2" s="4"/>
      <c r="D2" s="4"/>
      <c r="E2" s="4"/>
      <c r="F2" s="4"/>
      <c r="G2" s="4"/>
      <c r="H2" s="4"/>
      <c r="I2" s="4"/>
      <c r="J2" s="4"/>
      <c r="K2" s="4"/>
    </row>
    <row r="3" spans="1:11" ht="14.25" customHeight="1" x14ac:dyDescent="0.25">
      <c r="A3" s="6" t="s">
        <v>4</v>
      </c>
      <c r="B3" s="6" t="s">
        <v>5</v>
      </c>
      <c r="C3" s="6" t="s">
        <v>6</v>
      </c>
      <c r="D3" s="6" t="s">
        <v>7</v>
      </c>
      <c r="E3" s="6" t="s">
        <v>8</v>
      </c>
      <c r="F3" s="6" t="s">
        <v>9</v>
      </c>
      <c r="G3" s="6" t="s">
        <v>10</v>
      </c>
      <c r="H3" s="6" t="s">
        <v>11</v>
      </c>
      <c r="I3" s="6" t="s">
        <v>12</v>
      </c>
      <c r="J3" s="6" t="s">
        <v>13</v>
      </c>
      <c r="K3" s="6" t="s">
        <v>14</v>
      </c>
    </row>
    <row r="4" spans="1:11" ht="14.25" customHeight="1" x14ac:dyDescent="0.2">
      <c r="A4" s="4" t="s">
        <v>18</v>
      </c>
      <c r="B4" s="4" t="s">
        <v>17</v>
      </c>
      <c r="C4" s="4">
        <v>3</v>
      </c>
      <c r="D4" s="7">
        <v>1180</v>
      </c>
      <c r="E4" s="7">
        <f t="shared" ref="E4:E9" si="0">C4*D4</f>
        <v>3540</v>
      </c>
      <c r="F4" s="7">
        <v>2500</v>
      </c>
      <c r="G4" s="7">
        <v>0</v>
      </c>
      <c r="H4" s="7">
        <v>0</v>
      </c>
      <c r="I4" s="7">
        <f t="shared" ref="I4:I14" si="1">SUM(F4:H4)</f>
        <v>2500</v>
      </c>
      <c r="J4" s="7">
        <f t="shared" ref="J4:J14" si="2">E4-I4</f>
        <v>1040</v>
      </c>
      <c r="K4" s="4" t="s">
        <v>22</v>
      </c>
    </row>
    <row r="5" spans="1:11" ht="14.25" customHeight="1" x14ac:dyDescent="0.2">
      <c r="A5" s="4" t="s">
        <v>23</v>
      </c>
      <c r="B5" s="4" t="s">
        <v>17</v>
      </c>
      <c r="C5" s="4">
        <v>10</v>
      </c>
      <c r="D5" s="7">
        <v>1180</v>
      </c>
      <c r="E5" s="7">
        <f t="shared" si="0"/>
        <v>11800</v>
      </c>
      <c r="F5" s="7">
        <f>9600+MAX(0,C5-12)*800</f>
        <v>9600</v>
      </c>
      <c r="G5" s="7">
        <v>0</v>
      </c>
      <c r="H5" s="7">
        <v>0</v>
      </c>
      <c r="I5" s="7">
        <f t="shared" si="1"/>
        <v>9600</v>
      </c>
      <c r="J5" s="7">
        <f t="shared" si="2"/>
        <v>2200</v>
      </c>
      <c r="K5" s="4" t="s">
        <v>27</v>
      </c>
    </row>
    <row r="6" spans="1:11" ht="14.25" customHeight="1" x14ac:dyDescent="0.2">
      <c r="A6" s="4" t="s">
        <v>20</v>
      </c>
      <c r="B6" s="4" t="s">
        <v>17</v>
      </c>
      <c r="C6" s="4">
        <v>6</v>
      </c>
      <c r="D6" s="7">
        <v>1180</v>
      </c>
      <c r="E6" s="7">
        <f t="shared" si="0"/>
        <v>7080</v>
      </c>
      <c r="F6" s="7">
        <v>4000</v>
      </c>
      <c r="G6" s="7">
        <v>1200</v>
      </c>
      <c r="H6" s="7">
        <v>0</v>
      </c>
      <c r="I6" s="7">
        <f t="shared" si="1"/>
        <v>5200</v>
      </c>
      <c r="J6" s="7">
        <f t="shared" si="2"/>
        <v>1880</v>
      </c>
      <c r="K6" s="4" t="s">
        <v>32</v>
      </c>
    </row>
    <row r="7" spans="1:11" ht="14.25" customHeight="1" x14ac:dyDescent="0.2">
      <c r="A7" s="4" t="s">
        <v>26</v>
      </c>
      <c r="B7" s="4" t="s">
        <v>17</v>
      </c>
      <c r="C7" s="4">
        <v>10</v>
      </c>
      <c r="D7" s="7">
        <v>1180</v>
      </c>
      <c r="E7" s="7">
        <f t="shared" si="0"/>
        <v>11800</v>
      </c>
      <c r="F7" s="7">
        <f>7000*10/13</f>
        <v>5384.6153846153848</v>
      </c>
      <c r="G7" s="7">
        <v>2000</v>
      </c>
      <c r="H7" s="7">
        <v>200</v>
      </c>
      <c r="I7" s="7">
        <f t="shared" si="1"/>
        <v>7584.6153846153848</v>
      </c>
      <c r="J7" s="7">
        <f t="shared" si="2"/>
        <v>4215.3846153846152</v>
      </c>
      <c r="K7" s="4" t="s">
        <v>258</v>
      </c>
    </row>
    <row r="8" spans="1:11" ht="14.25" customHeight="1" x14ac:dyDescent="0.2">
      <c r="A8" s="4" t="s">
        <v>29</v>
      </c>
      <c r="B8" s="4" t="s">
        <v>31</v>
      </c>
      <c r="C8" s="4">
        <v>3</v>
      </c>
      <c r="D8" s="7">
        <v>1150</v>
      </c>
      <c r="E8" s="7">
        <f t="shared" si="0"/>
        <v>3450</v>
      </c>
      <c r="F8" s="7">
        <f>7000*3/13</f>
        <v>1615.3846153846155</v>
      </c>
      <c r="G8" s="7">
        <v>600</v>
      </c>
      <c r="H8" s="7">
        <v>300</v>
      </c>
      <c r="I8" s="7">
        <f t="shared" si="1"/>
        <v>2515.3846153846152</v>
      </c>
      <c r="J8" s="7">
        <f t="shared" si="2"/>
        <v>934.61538461538476</v>
      </c>
      <c r="K8" s="4" t="s">
        <v>47</v>
      </c>
    </row>
    <row r="9" spans="1:11" ht="14.25" customHeight="1" x14ac:dyDescent="0.2">
      <c r="A9" s="4" t="s">
        <v>16</v>
      </c>
      <c r="B9" s="4" t="s">
        <v>17</v>
      </c>
      <c r="C9" s="4">
        <v>4</v>
      </c>
      <c r="D9" s="7">
        <v>1180</v>
      </c>
      <c r="E9" s="7">
        <f t="shared" si="0"/>
        <v>4720</v>
      </c>
      <c r="F9" s="7">
        <v>3000</v>
      </c>
      <c r="G9" s="7">
        <v>800</v>
      </c>
      <c r="H9" s="7">
        <v>0</v>
      </c>
      <c r="I9" s="7">
        <f t="shared" si="1"/>
        <v>3800</v>
      </c>
      <c r="J9" s="7">
        <f t="shared" si="2"/>
        <v>920</v>
      </c>
      <c r="K9" s="4" t="s">
        <v>52</v>
      </c>
    </row>
    <row r="10" spans="1:11" ht="14.25" customHeight="1" x14ac:dyDescent="0.2">
      <c r="A10" s="4" t="s">
        <v>41</v>
      </c>
      <c r="B10" s="4" t="s">
        <v>43</v>
      </c>
      <c r="C10" s="4"/>
      <c r="D10" s="7"/>
      <c r="E10" s="7">
        <v>13000</v>
      </c>
      <c r="F10" s="7">
        <v>7500</v>
      </c>
      <c r="G10" s="7">
        <v>0</v>
      </c>
      <c r="H10" s="7">
        <v>0</v>
      </c>
      <c r="I10" s="7">
        <f t="shared" si="1"/>
        <v>7500</v>
      </c>
      <c r="J10" s="7">
        <f t="shared" si="2"/>
        <v>5500</v>
      </c>
      <c r="K10" s="4" t="s">
        <v>56</v>
      </c>
    </row>
    <row r="11" spans="1:11" ht="14.25" customHeight="1" x14ac:dyDescent="0.2">
      <c r="A11" s="4" t="s">
        <v>51</v>
      </c>
      <c r="B11" s="4" t="s">
        <v>43</v>
      </c>
      <c r="C11" s="4"/>
      <c r="D11" s="7"/>
      <c r="E11" s="7">
        <v>25000</v>
      </c>
      <c r="F11" s="7">
        <v>11000</v>
      </c>
      <c r="G11" s="7">
        <v>0</v>
      </c>
      <c r="H11" s="7">
        <v>0</v>
      </c>
      <c r="I11" s="7">
        <f t="shared" si="1"/>
        <v>11000</v>
      </c>
      <c r="J11" s="7">
        <f t="shared" si="2"/>
        <v>14000</v>
      </c>
      <c r="K11" s="4" t="s">
        <v>56</v>
      </c>
    </row>
    <row r="12" spans="1:11" ht="14.25" customHeight="1" x14ac:dyDescent="0.2">
      <c r="A12" s="4" t="s">
        <v>60</v>
      </c>
      <c r="B12" s="4" t="s">
        <v>31</v>
      </c>
      <c r="C12" s="4">
        <v>1</v>
      </c>
      <c r="D12" s="7">
        <v>8816.66</v>
      </c>
      <c r="E12" s="7">
        <f>C12*D12</f>
        <v>8816.66</v>
      </c>
      <c r="F12" s="7">
        <v>4000</v>
      </c>
      <c r="G12" s="7">
        <v>0</v>
      </c>
      <c r="H12" s="7">
        <v>600</v>
      </c>
      <c r="I12" s="7">
        <f t="shared" si="1"/>
        <v>4600</v>
      </c>
      <c r="J12" s="7">
        <f t="shared" si="2"/>
        <v>4216.66</v>
      </c>
      <c r="K12" s="4" t="s">
        <v>62</v>
      </c>
    </row>
    <row r="13" spans="1:11" ht="14.25" customHeight="1" x14ac:dyDescent="0.2">
      <c r="A13" s="4" t="s">
        <v>63</v>
      </c>
      <c r="B13" s="4" t="s">
        <v>54</v>
      </c>
      <c r="C13" s="4"/>
      <c r="D13" s="7"/>
      <c r="E13" s="7">
        <v>20000</v>
      </c>
      <c r="F13" s="7">
        <v>15500</v>
      </c>
      <c r="G13" s="7">
        <v>0</v>
      </c>
      <c r="H13" s="7">
        <v>0</v>
      </c>
      <c r="I13" s="7">
        <f t="shared" si="1"/>
        <v>15500</v>
      </c>
      <c r="J13" s="7">
        <f t="shared" si="2"/>
        <v>4500</v>
      </c>
      <c r="K13" s="4" t="s">
        <v>67</v>
      </c>
    </row>
    <row r="14" spans="1:11" ht="14.25" customHeight="1" x14ac:dyDescent="0.2">
      <c r="A14" s="4" t="s">
        <v>35</v>
      </c>
      <c r="B14" s="4" t="s">
        <v>31</v>
      </c>
      <c r="C14" s="4">
        <v>1</v>
      </c>
      <c r="D14" s="7">
        <v>7283.33</v>
      </c>
      <c r="E14" s="7">
        <f>C14*D14</f>
        <v>7283.33</v>
      </c>
      <c r="F14" s="7">
        <v>4700</v>
      </c>
      <c r="G14" s="7">
        <v>1020</v>
      </c>
      <c r="H14" s="7">
        <v>600</v>
      </c>
      <c r="I14" s="7">
        <f t="shared" si="1"/>
        <v>6320</v>
      </c>
      <c r="J14" s="7">
        <f t="shared" si="2"/>
        <v>963.32999999999993</v>
      </c>
      <c r="K14" s="4" t="s">
        <v>70</v>
      </c>
    </row>
    <row r="15" spans="1:11" ht="14.25" customHeight="1" x14ac:dyDescent="0.25">
      <c r="A15" s="8" t="s">
        <v>59</v>
      </c>
      <c r="B15" s="8"/>
      <c r="C15" s="8"/>
      <c r="D15" s="9"/>
      <c r="E15" s="9">
        <f t="shared" ref="E15:J15" si="3">SUM(E4:E14)</f>
        <v>116489.99</v>
      </c>
      <c r="F15" s="9">
        <f t="shared" si="3"/>
        <v>68800</v>
      </c>
      <c r="G15" s="9">
        <f t="shared" si="3"/>
        <v>5620</v>
      </c>
      <c r="H15" s="9">
        <f t="shared" si="3"/>
        <v>1700</v>
      </c>
      <c r="I15" s="9">
        <f t="shared" si="3"/>
        <v>76120</v>
      </c>
      <c r="J15" s="9">
        <f t="shared" si="3"/>
        <v>40369.990000000005</v>
      </c>
      <c r="K15" s="8"/>
    </row>
    <row r="16" spans="1:11"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D966"/>
  </sheetPr>
  <dimension ref="A1:K1000"/>
  <sheetViews>
    <sheetView rightToLeft="1" workbookViewId="0"/>
  </sheetViews>
  <sheetFormatPr defaultColWidth="12.625" defaultRowHeight="15" customHeight="1" x14ac:dyDescent="0.2"/>
  <cols>
    <col min="1" max="2" width="20.625" customWidth="1"/>
    <col min="11" max="11" width="30.625" customWidth="1"/>
    <col min="12" max="26" width="8.625" customWidth="1"/>
  </cols>
  <sheetData>
    <row r="1" spans="1:11" ht="14.25" customHeight="1" x14ac:dyDescent="0.25">
      <c r="A1" s="2" t="s">
        <v>2</v>
      </c>
      <c r="B1" s="3"/>
      <c r="C1" s="3"/>
      <c r="D1" s="3"/>
      <c r="E1" s="3"/>
      <c r="F1" s="3"/>
      <c r="G1" s="3"/>
      <c r="H1" s="3"/>
      <c r="I1" s="3"/>
      <c r="J1" s="3"/>
      <c r="K1" s="3"/>
    </row>
    <row r="2" spans="1:11" ht="14.25" customHeight="1" x14ac:dyDescent="0.2">
      <c r="A2" s="4"/>
      <c r="B2" s="4"/>
      <c r="C2" s="4"/>
      <c r="D2" s="4"/>
      <c r="E2" s="4"/>
      <c r="F2" s="4"/>
      <c r="G2" s="4"/>
      <c r="H2" s="4"/>
      <c r="I2" s="4"/>
      <c r="J2" s="4"/>
      <c r="K2" s="4"/>
    </row>
    <row r="3" spans="1:11" ht="14.25" customHeight="1" x14ac:dyDescent="0.25">
      <c r="A3" s="5" t="s">
        <v>4</v>
      </c>
      <c r="B3" s="5" t="s">
        <v>5</v>
      </c>
      <c r="C3" s="5" t="s">
        <v>6</v>
      </c>
      <c r="D3" s="5" t="s">
        <v>7</v>
      </c>
      <c r="E3" s="5" t="s">
        <v>8</v>
      </c>
      <c r="F3" s="5" t="s">
        <v>9</v>
      </c>
      <c r="G3" s="5" t="s">
        <v>10</v>
      </c>
      <c r="H3" s="5" t="s">
        <v>11</v>
      </c>
      <c r="I3" s="5" t="s">
        <v>12</v>
      </c>
      <c r="J3" s="5" t="s">
        <v>13</v>
      </c>
      <c r="K3" s="5" t="s">
        <v>14</v>
      </c>
    </row>
    <row r="4" spans="1:11" ht="14.25" customHeight="1" x14ac:dyDescent="0.2">
      <c r="A4" s="4" t="s">
        <v>16</v>
      </c>
      <c r="B4" s="4" t="s">
        <v>17</v>
      </c>
      <c r="C4" s="4">
        <v>4</v>
      </c>
      <c r="D4" s="7">
        <v>1180</v>
      </c>
      <c r="E4" s="7">
        <v>4720</v>
      </c>
      <c r="F4" s="7">
        <v>3000</v>
      </c>
      <c r="G4" s="7">
        <v>800</v>
      </c>
      <c r="H4" s="7">
        <v>0</v>
      </c>
      <c r="I4" s="7">
        <f t="shared" ref="I4:I13" si="0">SUM(F4:H4)</f>
        <v>3800</v>
      </c>
      <c r="J4" s="7">
        <f t="shared" ref="J4:J13" si="1">E4-I4</f>
        <v>920</v>
      </c>
      <c r="K4" s="4" t="s">
        <v>19</v>
      </c>
    </row>
    <row r="5" spans="1:11" ht="14.25" customHeight="1" x14ac:dyDescent="0.2">
      <c r="A5" s="4" t="s">
        <v>20</v>
      </c>
      <c r="B5" s="4" t="s">
        <v>17</v>
      </c>
      <c r="C5" s="4">
        <v>5</v>
      </c>
      <c r="D5" s="7">
        <v>1180</v>
      </c>
      <c r="E5" s="7">
        <v>5900</v>
      </c>
      <c r="F5" s="7">
        <v>4000</v>
      </c>
      <c r="G5" s="7">
        <v>1000</v>
      </c>
      <c r="H5" s="7">
        <v>0</v>
      </c>
      <c r="I5" s="7">
        <f t="shared" si="0"/>
        <v>5000</v>
      </c>
      <c r="J5" s="7">
        <f t="shared" si="1"/>
        <v>900</v>
      </c>
      <c r="K5" s="4" t="s">
        <v>24</v>
      </c>
    </row>
    <row r="6" spans="1:11" ht="14.25" customHeight="1" x14ac:dyDescent="0.2">
      <c r="A6" s="4" t="s">
        <v>26</v>
      </c>
      <c r="B6" s="4" t="s">
        <v>17</v>
      </c>
      <c r="C6" s="4">
        <v>4</v>
      </c>
      <c r="D6" s="7">
        <v>1180</v>
      </c>
      <c r="E6" s="7">
        <v>4720</v>
      </c>
      <c r="F6" s="7">
        <f>7000*4/6</f>
        <v>4666.666666666667</v>
      </c>
      <c r="G6" s="7">
        <v>800</v>
      </c>
      <c r="H6" s="7">
        <v>0</v>
      </c>
      <c r="I6" s="7">
        <f t="shared" si="0"/>
        <v>5466.666666666667</v>
      </c>
      <c r="J6" s="7">
        <f t="shared" si="1"/>
        <v>-746.66666666666697</v>
      </c>
      <c r="K6" s="4" t="s">
        <v>28</v>
      </c>
    </row>
    <row r="7" spans="1:11" ht="14.25" customHeight="1" x14ac:dyDescent="0.2">
      <c r="A7" s="4" t="s">
        <v>29</v>
      </c>
      <c r="B7" s="4" t="s">
        <v>31</v>
      </c>
      <c r="C7" s="4">
        <v>2</v>
      </c>
      <c r="D7" s="7">
        <v>1100</v>
      </c>
      <c r="E7" s="7">
        <v>2200</v>
      </c>
      <c r="F7" s="7">
        <f>7000*2/6</f>
        <v>2333.3333333333335</v>
      </c>
      <c r="G7" s="7">
        <v>400</v>
      </c>
      <c r="H7" s="7">
        <v>0</v>
      </c>
      <c r="I7" s="7">
        <f t="shared" si="0"/>
        <v>2733.3333333333335</v>
      </c>
      <c r="J7" s="7">
        <f t="shared" si="1"/>
        <v>-533.33333333333348</v>
      </c>
      <c r="K7" s="4" t="s">
        <v>33</v>
      </c>
    </row>
    <row r="8" spans="1:11" ht="14.25" customHeight="1" x14ac:dyDescent="0.2">
      <c r="A8" s="4" t="s">
        <v>34</v>
      </c>
      <c r="B8" s="4" t="s">
        <v>31</v>
      </c>
      <c r="C8" s="4"/>
      <c r="D8" s="7"/>
      <c r="E8" s="7">
        <v>8625</v>
      </c>
      <c r="F8" s="7">
        <v>4000</v>
      </c>
      <c r="G8" s="7">
        <v>0</v>
      </c>
      <c r="H8" s="7">
        <v>900</v>
      </c>
      <c r="I8" s="7">
        <f t="shared" si="0"/>
        <v>4900</v>
      </c>
      <c r="J8" s="7">
        <f t="shared" si="1"/>
        <v>3725</v>
      </c>
      <c r="K8" s="4"/>
    </row>
    <row r="9" spans="1:11" ht="14.25" customHeight="1" x14ac:dyDescent="0.2">
      <c r="A9" s="4" t="s">
        <v>35</v>
      </c>
      <c r="B9" s="4" t="s">
        <v>31</v>
      </c>
      <c r="C9" s="4">
        <v>10</v>
      </c>
      <c r="D9" s="7"/>
      <c r="E9" s="7">
        <v>11500</v>
      </c>
      <c r="F9" s="7">
        <v>4700</v>
      </c>
      <c r="G9" s="7">
        <v>1700</v>
      </c>
      <c r="H9" s="7">
        <v>1000</v>
      </c>
      <c r="I9" s="7">
        <f t="shared" si="0"/>
        <v>7400</v>
      </c>
      <c r="J9" s="7">
        <f t="shared" si="1"/>
        <v>4100</v>
      </c>
      <c r="K9" s="4" t="s">
        <v>39</v>
      </c>
    </row>
    <row r="10" spans="1:11" ht="14.25" customHeight="1" x14ac:dyDescent="0.2">
      <c r="A10" s="4" t="s">
        <v>41</v>
      </c>
      <c r="B10" s="4" t="s">
        <v>43</v>
      </c>
      <c r="C10" s="4"/>
      <c r="D10" s="7"/>
      <c r="E10" s="7">
        <v>13000</v>
      </c>
      <c r="F10" s="7">
        <v>7500</v>
      </c>
      <c r="G10" s="7">
        <v>0</v>
      </c>
      <c r="H10" s="7">
        <v>0</v>
      </c>
      <c r="I10" s="7">
        <f t="shared" si="0"/>
        <v>7500</v>
      </c>
      <c r="J10" s="7">
        <f t="shared" si="1"/>
        <v>5500</v>
      </c>
      <c r="K10" s="4" t="s">
        <v>50</v>
      </c>
    </row>
    <row r="11" spans="1:11" ht="14.25" customHeight="1" x14ac:dyDescent="0.2">
      <c r="A11" s="4" t="s">
        <v>51</v>
      </c>
      <c r="B11" s="4" t="s">
        <v>43</v>
      </c>
      <c r="C11" s="4"/>
      <c r="D11" s="7"/>
      <c r="E11" s="7">
        <v>25000</v>
      </c>
      <c r="F11" s="7">
        <v>11000</v>
      </c>
      <c r="G11" s="7">
        <v>0</v>
      </c>
      <c r="H11" s="7">
        <v>0</v>
      </c>
      <c r="I11" s="7">
        <f t="shared" si="0"/>
        <v>11000</v>
      </c>
      <c r="J11" s="7">
        <f t="shared" si="1"/>
        <v>14000</v>
      </c>
      <c r="K11" s="4" t="s">
        <v>50</v>
      </c>
    </row>
    <row r="12" spans="1:11" ht="14.25" customHeight="1" x14ac:dyDescent="0.2">
      <c r="A12" s="4" t="s">
        <v>53</v>
      </c>
      <c r="B12" s="4" t="s">
        <v>54</v>
      </c>
      <c r="C12" s="4"/>
      <c r="D12" s="7"/>
      <c r="E12" s="7">
        <v>20000</v>
      </c>
      <c r="F12" s="7">
        <v>15500</v>
      </c>
      <c r="G12" s="7">
        <v>0</v>
      </c>
      <c r="H12" s="7">
        <v>0</v>
      </c>
      <c r="I12" s="7">
        <f t="shared" si="0"/>
        <v>15500</v>
      </c>
      <c r="J12" s="7">
        <f t="shared" si="1"/>
        <v>4500</v>
      </c>
      <c r="K12" s="4" t="s">
        <v>50</v>
      </c>
    </row>
    <row r="13" spans="1:11" ht="14.25" customHeight="1" x14ac:dyDescent="0.2">
      <c r="A13" s="4" t="s">
        <v>18</v>
      </c>
      <c r="B13" s="4" t="s">
        <v>17</v>
      </c>
      <c r="C13" s="4">
        <v>2</v>
      </c>
      <c r="D13" s="7">
        <v>1250</v>
      </c>
      <c r="E13" s="7">
        <v>2500</v>
      </c>
      <c r="F13" s="7">
        <v>2500</v>
      </c>
      <c r="G13" s="7">
        <v>0</v>
      </c>
      <c r="H13" s="7">
        <v>0</v>
      </c>
      <c r="I13" s="7">
        <f t="shared" si="0"/>
        <v>2500</v>
      </c>
      <c r="J13" s="7">
        <f t="shared" si="1"/>
        <v>0</v>
      </c>
      <c r="K13" s="4" t="s">
        <v>57</v>
      </c>
    </row>
    <row r="14" spans="1:11" ht="14.25" customHeight="1" x14ac:dyDescent="0.25">
      <c r="A14" s="8" t="s">
        <v>59</v>
      </c>
      <c r="B14" s="8"/>
      <c r="C14" s="8"/>
      <c r="D14" s="9"/>
      <c r="E14" s="9">
        <f t="shared" ref="E14:J14" si="2">SUM(E4:E13)</f>
        <v>98165</v>
      </c>
      <c r="F14" s="9">
        <f t="shared" si="2"/>
        <v>59200</v>
      </c>
      <c r="G14" s="9">
        <f t="shared" si="2"/>
        <v>4700</v>
      </c>
      <c r="H14" s="9">
        <f t="shared" si="2"/>
        <v>1900</v>
      </c>
      <c r="I14" s="9">
        <f t="shared" si="2"/>
        <v>65800</v>
      </c>
      <c r="J14" s="9">
        <f t="shared" si="2"/>
        <v>32365</v>
      </c>
      <c r="K14" s="8"/>
    </row>
    <row r="15" spans="1:11" ht="14.25" customHeight="1" x14ac:dyDescent="0.2">
      <c r="A15" s="4"/>
      <c r="B15" s="4"/>
      <c r="C15" s="4"/>
      <c r="D15" s="4"/>
      <c r="E15" s="4"/>
      <c r="F15" s="4"/>
      <c r="G15" s="4"/>
      <c r="H15" s="4"/>
      <c r="I15" s="4"/>
      <c r="J15" s="4"/>
      <c r="K15" s="4"/>
    </row>
    <row r="16" spans="1:11" ht="14.25" customHeight="1" x14ac:dyDescent="0.2">
      <c r="A16" s="4" t="s">
        <v>65</v>
      </c>
      <c r="B16" s="4"/>
      <c r="C16" s="4"/>
      <c r="D16" s="4"/>
      <c r="E16" s="4"/>
      <c r="F16" s="4"/>
      <c r="G16" s="4"/>
      <c r="H16" s="4"/>
      <c r="I16" s="4"/>
      <c r="J16" s="4"/>
      <c r="K16" s="4"/>
    </row>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548235"/>
  </sheetPr>
  <dimension ref="A1:G1020"/>
  <sheetViews>
    <sheetView showGridLines="0" rightToLeft="1" topLeftCell="A76" workbookViewId="0">
      <selection activeCell="A96" sqref="A96:F96"/>
    </sheetView>
  </sheetViews>
  <sheetFormatPr defaultColWidth="12.625" defaultRowHeight="15" customHeight="1" x14ac:dyDescent="0.2"/>
  <cols>
    <col min="1" max="1" width="40.625" customWidth="1"/>
    <col min="2" max="4" width="16.625" customWidth="1"/>
    <col min="5" max="5" width="58.625" customWidth="1"/>
    <col min="6" max="7" width="16.625" customWidth="1"/>
    <col min="8" max="26" width="8.625" customWidth="1"/>
  </cols>
  <sheetData>
    <row r="1" spans="1:2" ht="14.25" customHeight="1" x14ac:dyDescent="0.25">
      <c r="A1" s="1" t="s">
        <v>95</v>
      </c>
      <c r="B1" s="3"/>
    </row>
    <row r="2" spans="1:2" ht="14.25" customHeight="1" x14ac:dyDescent="0.2">
      <c r="A2" s="4"/>
      <c r="B2" s="4"/>
    </row>
    <row r="3" spans="1:2" ht="14.25" customHeight="1" x14ac:dyDescent="0.2">
      <c r="A3" s="4" t="s">
        <v>97</v>
      </c>
      <c r="B3" s="7">
        <f>'עובדים זרים - יולי'!B3</f>
        <v>971024.5</v>
      </c>
    </row>
    <row r="4" spans="1:2" ht="14.25" customHeight="1" x14ac:dyDescent="0.2">
      <c r="A4" s="4" t="s">
        <v>100</v>
      </c>
      <c r="B4" s="7">
        <f>'עובדים זרים - יולי'!B4</f>
        <v>795551.25</v>
      </c>
    </row>
    <row r="5" spans="1:2" ht="14.25" customHeight="1" x14ac:dyDescent="0.25">
      <c r="A5" s="8" t="s">
        <v>101</v>
      </c>
      <c r="B5" s="9">
        <f>'עובדים זרים - יולי'!B5</f>
        <v>175473.25</v>
      </c>
    </row>
    <row r="6" spans="1:2" ht="14.25" customHeight="1" x14ac:dyDescent="0.2">
      <c r="A6" s="11"/>
      <c r="B6" s="12"/>
    </row>
    <row r="7" spans="1:2" ht="14.25" customHeight="1" x14ac:dyDescent="0.2">
      <c r="A7" s="4"/>
      <c r="B7" s="7"/>
    </row>
    <row r="8" spans="1:2" ht="14.25" customHeight="1" x14ac:dyDescent="0.2">
      <c r="A8" s="4" t="s">
        <v>104</v>
      </c>
      <c r="B8" s="7">
        <f>'דירות - שירותי קרקע'!E15</f>
        <v>116489.99</v>
      </c>
    </row>
    <row r="9" spans="1:2" ht="14.25" customHeight="1" x14ac:dyDescent="0.2">
      <c r="A9" s="4" t="s">
        <v>106</v>
      </c>
      <c r="B9" s="7">
        <f>'דירות - שירותי קרקע'!I15</f>
        <v>76120</v>
      </c>
    </row>
    <row r="10" spans="1:2" ht="14.25" customHeight="1" x14ac:dyDescent="0.25">
      <c r="A10" s="8" t="s">
        <v>109</v>
      </c>
      <c r="B10" s="9">
        <f>B8-B9</f>
        <v>40369.990000000005</v>
      </c>
    </row>
    <row r="11" spans="1:2" ht="14.25" customHeight="1" x14ac:dyDescent="0.2">
      <c r="A11" s="4" t="s">
        <v>111</v>
      </c>
      <c r="B11" s="7">
        <f>('דירות - שירותי קרקע'!E4+'דירות - שירותי קרקע'!E5+'דירות - שירותי קרקע'!E6+'דירות - שירותי קרקע'!E7+'דירות - שירותי קרקע'!E9)-('דירות - שירותי קרקע'!I4+'דירות - שירותי קרקע'!I5+'דירות - שירותי קרקע'!I6+'דירות - שירותי קרקע'!I7+'דירות - שירותי קרקע'!I9)</f>
        <v>10255.384615384617</v>
      </c>
    </row>
    <row r="12" spans="1:2" ht="14.25" customHeight="1" x14ac:dyDescent="0.25">
      <c r="A12" s="13" t="s">
        <v>116</v>
      </c>
      <c r="B12" s="14">
        <f>B10-B11</f>
        <v>30114.605384615388</v>
      </c>
    </row>
    <row r="13" spans="1:2" ht="14.25" customHeight="1" x14ac:dyDescent="0.2">
      <c r="A13" s="4"/>
      <c r="B13" s="7"/>
    </row>
    <row r="14" spans="1:2" ht="14.25" customHeight="1" x14ac:dyDescent="0.25">
      <c r="A14" s="8" t="s">
        <v>122</v>
      </c>
      <c r="B14" s="9">
        <f>B5+B10</f>
        <v>215843.24</v>
      </c>
    </row>
    <row r="15" spans="1:2" ht="14.25" customHeight="1" x14ac:dyDescent="0.2">
      <c r="A15" s="4" t="s">
        <v>123</v>
      </c>
      <c r="B15" s="7">
        <f>E37</f>
        <v>7400</v>
      </c>
    </row>
    <row r="16" spans="1:2" ht="14.25" customHeight="1" x14ac:dyDescent="0.2">
      <c r="A16" s="4" t="s">
        <v>259</v>
      </c>
      <c r="B16" s="7">
        <f>C94</f>
        <v>926</v>
      </c>
    </row>
    <row r="17" spans="1:7" ht="14.25" customHeight="1" x14ac:dyDescent="0.2">
      <c r="A17" s="4" t="s">
        <v>124</v>
      </c>
      <c r="B17" s="7">
        <f>'הוצאות תפעוליות'!D15</f>
        <v>68946.565000000002</v>
      </c>
    </row>
    <row r="18" spans="1:7" ht="14.25" customHeight="1" x14ac:dyDescent="0.2">
      <c r="A18" s="4"/>
      <c r="B18" s="7"/>
    </row>
    <row r="19" spans="1:7" ht="14.25" customHeight="1" x14ac:dyDescent="0.25">
      <c r="A19" s="8" t="s">
        <v>126</v>
      </c>
      <c r="B19" s="9">
        <f>B14-B15-B16-B17</f>
        <v>138570.67499999999</v>
      </c>
    </row>
    <row r="20" spans="1:7" ht="14.25" customHeight="1" x14ac:dyDescent="0.2"/>
    <row r="21" spans="1:7" ht="14.25" customHeight="1" x14ac:dyDescent="0.25">
      <c r="A21" s="17" t="s">
        <v>129</v>
      </c>
      <c r="B21" s="18"/>
      <c r="C21" s="18"/>
      <c r="D21" s="18"/>
      <c r="E21" s="18"/>
      <c r="F21" s="18"/>
      <c r="G21" s="18"/>
    </row>
    <row r="22" spans="1:7" ht="14.25" customHeight="1" x14ac:dyDescent="0.25">
      <c r="A22" s="5" t="s">
        <v>5</v>
      </c>
      <c r="B22" s="5" t="s">
        <v>131</v>
      </c>
      <c r="C22" s="5" t="s">
        <v>132</v>
      </c>
      <c r="D22" s="5" t="s">
        <v>46</v>
      </c>
      <c r="E22" s="5" t="s">
        <v>135</v>
      </c>
      <c r="F22" s="5" t="s">
        <v>25</v>
      </c>
      <c r="G22" s="5" t="s">
        <v>137</v>
      </c>
    </row>
    <row r="23" spans="1:7" ht="14.25" customHeight="1" x14ac:dyDescent="0.2">
      <c r="A23" s="19" t="s">
        <v>138</v>
      </c>
      <c r="B23" s="19">
        <v>18</v>
      </c>
      <c r="C23" s="20">
        <v>239146</v>
      </c>
      <c r="D23" s="20">
        <v>182207.25</v>
      </c>
      <c r="E23" s="20">
        <v>1800</v>
      </c>
      <c r="F23" s="20">
        <f t="shared" ref="F23:F36" si="0">C23-D23-E23</f>
        <v>55138.75</v>
      </c>
      <c r="G23" s="21">
        <f t="shared" ref="G23:G37" si="1">F23/C23</f>
        <v>0.23056521957298051</v>
      </c>
    </row>
    <row r="24" spans="1:7" ht="14.25" customHeight="1" x14ac:dyDescent="0.2">
      <c r="A24" s="19" t="s">
        <v>134</v>
      </c>
      <c r="B24" s="19">
        <v>6</v>
      </c>
      <c r="C24" s="20">
        <v>155360</v>
      </c>
      <c r="D24" s="20">
        <v>122360</v>
      </c>
      <c r="E24" s="20">
        <v>0</v>
      </c>
      <c r="F24" s="20">
        <f t="shared" si="0"/>
        <v>33000</v>
      </c>
      <c r="G24" s="21">
        <f t="shared" si="1"/>
        <v>0.21240988671472708</v>
      </c>
    </row>
    <row r="25" spans="1:7" ht="14.25" customHeight="1" x14ac:dyDescent="0.2">
      <c r="A25" s="19" t="s">
        <v>84</v>
      </c>
      <c r="B25" s="19">
        <v>8</v>
      </c>
      <c r="C25" s="20">
        <v>135000</v>
      </c>
      <c r="D25" s="20">
        <v>126310.5</v>
      </c>
      <c r="E25" s="20">
        <v>0</v>
      </c>
      <c r="F25" s="20">
        <f t="shared" si="0"/>
        <v>8689.5</v>
      </c>
      <c r="G25" s="21">
        <f t="shared" si="1"/>
        <v>6.4366666666666669E-2</v>
      </c>
    </row>
    <row r="26" spans="1:7" ht="14.25" customHeight="1" x14ac:dyDescent="0.2">
      <c r="A26" s="19" t="s">
        <v>64</v>
      </c>
      <c r="B26" s="19">
        <v>8</v>
      </c>
      <c r="C26" s="20">
        <v>94017</v>
      </c>
      <c r="D26" s="20">
        <v>71553.5</v>
      </c>
      <c r="E26" s="20">
        <v>800</v>
      </c>
      <c r="F26" s="20">
        <f t="shared" si="0"/>
        <v>21663.5</v>
      </c>
      <c r="G26" s="21">
        <f t="shared" si="1"/>
        <v>0.2304210940574577</v>
      </c>
    </row>
    <row r="27" spans="1:7" ht="14.25" customHeight="1" x14ac:dyDescent="0.2">
      <c r="A27" s="19" t="s">
        <v>48</v>
      </c>
      <c r="B27" s="19">
        <v>4</v>
      </c>
      <c r="C27" s="20">
        <v>88602.5</v>
      </c>
      <c r="D27" s="20">
        <v>74646</v>
      </c>
      <c r="E27" s="20">
        <v>2400</v>
      </c>
      <c r="F27" s="20">
        <f t="shared" si="0"/>
        <v>11556.5</v>
      </c>
      <c r="G27" s="21">
        <f t="shared" si="1"/>
        <v>0.13043085691712988</v>
      </c>
    </row>
    <row r="28" spans="1:7" ht="14.25" customHeight="1" x14ac:dyDescent="0.2">
      <c r="A28" s="19" t="s">
        <v>149</v>
      </c>
      <c r="B28" s="19">
        <v>5</v>
      </c>
      <c r="C28" s="20">
        <v>87238</v>
      </c>
      <c r="D28" s="20">
        <v>73711</v>
      </c>
      <c r="E28" s="20">
        <v>800</v>
      </c>
      <c r="F28" s="20">
        <f t="shared" si="0"/>
        <v>12727</v>
      </c>
      <c r="G28" s="21">
        <f t="shared" si="1"/>
        <v>0.1458882597033403</v>
      </c>
    </row>
    <row r="29" spans="1:7" ht="14.25" customHeight="1" x14ac:dyDescent="0.2">
      <c r="A29" s="19" t="s">
        <v>77</v>
      </c>
      <c r="B29" s="19">
        <v>3</v>
      </c>
      <c r="C29" s="20">
        <v>42872</v>
      </c>
      <c r="D29" s="20">
        <v>38164</v>
      </c>
      <c r="E29" s="20">
        <v>0</v>
      </c>
      <c r="F29" s="20">
        <f t="shared" si="0"/>
        <v>4708</v>
      </c>
      <c r="G29" s="21">
        <f t="shared" si="1"/>
        <v>0.10981526404179884</v>
      </c>
    </row>
    <row r="30" spans="1:7" ht="14.25" customHeight="1" x14ac:dyDescent="0.2">
      <c r="A30" s="19" t="s">
        <v>120</v>
      </c>
      <c r="B30" s="19">
        <v>2</v>
      </c>
      <c r="C30" s="20">
        <v>34419</v>
      </c>
      <c r="D30" s="20">
        <v>29949</v>
      </c>
      <c r="E30" s="20">
        <v>800</v>
      </c>
      <c r="F30" s="20">
        <f t="shared" si="0"/>
        <v>3670</v>
      </c>
      <c r="G30" s="21">
        <f t="shared" si="1"/>
        <v>0.10662715360701938</v>
      </c>
    </row>
    <row r="31" spans="1:7" ht="14.25" customHeight="1" x14ac:dyDescent="0.2">
      <c r="A31" s="19" t="s">
        <v>81</v>
      </c>
      <c r="B31" s="19">
        <v>2</v>
      </c>
      <c r="C31" s="20">
        <v>30750</v>
      </c>
      <c r="D31" s="20">
        <v>26445</v>
      </c>
      <c r="E31" s="20">
        <v>800</v>
      </c>
      <c r="F31" s="20">
        <f t="shared" si="0"/>
        <v>3505</v>
      </c>
      <c r="G31" s="21">
        <f t="shared" si="1"/>
        <v>0.11398373983739837</v>
      </c>
    </row>
    <row r="32" spans="1:7" ht="14.25" customHeight="1" x14ac:dyDescent="0.2">
      <c r="A32" s="19" t="s">
        <v>99</v>
      </c>
      <c r="B32" s="19">
        <v>3</v>
      </c>
      <c r="C32" s="20">
        <v>18050</v>
      </c>
      <c r="D32" s="20">
        <v>13403</v>
      </c>
      <c r="E32" s="20">
        <v>0</v>
      </c>
      <c r="F32" s="20">
        <f t="shared" si="0"/>
        <v>4647</v>
      </c>
      <c r="G32" s="21">
        <f t="shared" si="1"/>
        <v>0.25745152354570638</v>
      </c>
    </row>
    <row r="33" spans="1:7" ht="14.25" customHeight="1" x14ac:dyDescent="0.2">
      <c r="A33" s="19" t="s">
        <v>96</v>
      </c>
      <c r="B33" s="19">
        <v>1</v>
      </c>
      <c r="C33" s="20">
        <v>16170</v>
      </c>
      <c r="D33" s="20">
        <v>13650</v>
      </c>
      <c r="E33" s="20">
        <v>0</v>
      </c>
      <c r="F33" s="20">
        <f t="shared" si="0"/>
        <v>2520</v>
      </c>
      <c r="G33" s="21">
        <f t="shared" si="1"/>
        <v>0.15584415584415584</v>
      </c>
    </row>
    <row r="34" spans="1:7" ht="14.25" customHeight="1" x14ac:dyDescent="0.2">
      <c r="A34" s="19" t="s">
        <v>107</v>
      </c>
      <c r="B34" s="19">
        <v>2</v>
      </c>
      <c r="C34" s="20">
        <v>13920</v>
      </c>
      <c r="D34" s="20">
        <v>11658</v>
      </c>
      <c r="E34" s="20">
        <v>0</v>
      </c>
      <c r="F34" s="20">
        <f t="shared" si="0"/>
        <v>2262</v>
      </c>
      <c r="G34" s="21">
        <f t="shared" si="1"/>
        <v>0.16250000000000001</v>
      </c>
    </row>
    <row r="35" spans="1:7" ht="14.25" customHeight="1" x14ac:dyDescent="0.2">
      <c r="A35" s="19" t="s">
        <v>86</v>
      </c>
      <c r="B35" s="19">
        <v>2</v>
      </c>
      <c r="C35" s="20">
        <v>8550</v>
      </c>
      <c r="D35" s="20">
        <v>6615</v>
      </c>
      <c r="E35" s="20">
        <v>0</v>
      </c>
      <c r="F35" s="20">
        <f t="shared" si="0"/>
        <v>1935</v>
      </c>
      <c r="G35" s="21">
        <f t="shared" si="1"/>
        <v>0.22631578947368422</v>
      </c>
    </row>
    <row r="36" spans="1:7" ht="14.25" customHeight="1" x14ac:dyDescent="0.2">
      <c r="A36" s="19" t="s">
        <v>157</v>
      </c>
      <c r="B36" s="19">
        <v>2</v>
      </c>
      <c r="C36" s="20">
        <v>6930</v>
      </c>
      <c r="D36" s="20">
        <v>5805</v>
      </c>
      <c r="E36" s="20">
        <v>0</v>
      </c>
      <c r="F36" s="20">
        <f t="shared" si="0"/>
        <v>1125</v>
      </c>
      <c r="G36" s="21">
        <f t="shared" si="1"/>
        <v>0.16233766233766234</v>
      </c>
    </row>
    <row r="37" spans="1:7" ht="14.25" customHeight="1" x14ac:dyDescent="0.25">
      <c r="A37" s="8" t="s">
        <v>59</v>
      </c>
      <c r="B37" s="8">
        <f t="shared" ref="B37:F37" si="2">SUM(B23:B36)</f>
        <v>66</v>
      </c>
      <c r="C37" s="9">
        <f t="shared" si="2"/>
        <v>971024.5</v>
      </c>
      <c r="D37" s="9">
        <f t="shared" si="2"/>
        <v>796477.25</v>
      </c>
      <c r="E37" s="9">
        <f t="shared" si="2"/>
        <v>7400</v>
      </c>
      <c r="F37" s="9">
        <f t="shared" si="2"/>
        <v>167147.25</v>
      </c>
      <c r="G37" s="10">
        <f t="shared" si="1"/>
        <v>0.17213494613163727</v>
      </c>
    </row>
    <row r="38" spans="1:7" ht="14.25" customHeight="1" x14ac:dyDescent="0.2">
      <c r="A38" s="18"/>
      <c r="B38" s="18"/>
      <c r="C38" s="18"/>
      <c r="D38" s="18"/>
      <c r="E38" s="18"/>
      <c r="F38" s="18"/>
      <c r="G38" s="18"/>
    </row>
    <row r="39" spans="1:7" ht="14.25" customHeight="1" x14ac:dyDescent="0.2">
      <c r="A39" s="24" t="s">
        <v>160</v>
      </c>
      <c r="B39" s="18"/>
      <c r="C39" s="18"/>
      <c r="D39" s="18"/>
      <c r="E39" s="18"/>
      <c r="F39" s="18"/>
      <c r="G39" s="18"/>
    </row>
    <row r="40" spans="1:7" ht="14.25" customHeight="1" x14ac:dyDescent="0.2"/>
    <row r="41" spans="1:7" ht="14.25" customHeight="1" x14ac:dyDescent="0.25">
      <c r="A41" s="17" t="s">
        <v>161</v>
      </c>
      <c r="B41" s="18"/>
      <c r="C41" s="18"/>
      <c r="D41" s="18"/>
      <c r="E41" s="18"/>
      <c r="F41" s="18"/>
      <c r="G41" s="18"/>
    </row>
    <row r="42" spans="1:7" ht="14.25" customHeight="1" x14ac:dyDescent="0.25">
      <c r="A42" s="5" t="s">
        <v>5</v>
      </c>
      <c r="B42" s="5" t="s">
        <v>131</v>
      </c>
      <c r="C42" s="5" t="s">
        <v>132</v>
      </c>
      <c r="D42" s="5" t="s">
        <v>46</v>
      </c>
      <c r="E42" s="5" t="s">
        <v>135</v>
      </c>
      <c r="F42" s="5" t="s">
        <v>25</v>
      </c>
      <c r="G42" s="5" t="s">
        <v>137</v>
      </c>
    </row>
    <row r="43" spans="1:7" ht="14.25" customHeight="1" x14ac:dyDescent="0.2">
      <c r="A43" s="19" t="s">
        <v>138</v>
      </c>
      <c r="B43" s="19">
        <v>5</v>
      </c>
      <c r="C43" s="20">
        <v>95068</v>
      </c>
      <c r="D43" s="20">
        <v>81491</v>
      </c>
      <c r="E43" s="20">
        <v>1800</v>
      </c>
      <c r="F43" s="20">
        <f t="shared" ref="F43:F54" si="3">C43-D43-E43</f>
        <v>11777</v>
      </c>
      <c r="G43" s="21">
        <f t="shared" ref="G43:G55" si="4">F43/C43</f>
        <v>0.12387974923212858</v>
      </c>
    </row>
    <row r="44" spans="1:7" ht="14.25" customHeight="1" x14ac:dyDescent="0.2">
      <c r="A44" s="19" t="s">
        <v>134</v>
      </c>
      <c r="B44" s="19">
        <v>6</v>
      </c>
      <c r="C44" s="20">
        <v>154955</v>
      </c>
      <c r="D44" s="20">
        <v>120583</v>
      </c>
      <c r="E44" s="20">
        <v>0</v>
      </c>
      <c r="F44" s="20">
        <f t="shared" si="3"/>
        <v>34372</v>
      </c>
      <c r="G44" s="21">
        <f t="shared" si="4"/>
        <v>0.22181923784324481</v>
      </c>
    </row>
    <row r="45" spans="1:7" ht="14.25" customHeight="1" x14ac:dyDescent="0.2">
      <c r="A45" s="19" t="s">
        <v>84</v>
      </c>
      <c r="B45" s="19">
        <v>6</v>
      </c>
      <c r="C45" s="20">
        <v>83850</v>
      </c>
      <c r="D45" s="20">
        <v>78260</v>
      </c>
      <c r="E45" s="20">
        <v>0</v>
      </c>
      <c r="F45" s="20">
        <f t="shared" si="3"/>
        <v>5590</v>
      </c>
      <c r="G45" s="21">
        <f t="shared" si="4"/>
        <v>6.6666666666666666E-2</v>
      </c>
    </row>
    <row r="46" spans="1:7" ht="14.25" customHeight="1" x14ac:dyDescent="0.2">
      <c r="A46" s="19" t="s">
        <v>64</v>
      </c>
      <c r="B46" s="19">
        <v>6</v>
      </c>
      <c r="C46" s="20">
        <v>107030</v>
      </c>
      <c r="D46" s="20">
        <v>88960</v>
      </c>
      <c r="E46" s="20">
        <v>2400</v>
      </c>
      <c r="F46" s="20">
        <f t="shared" si="3"/>
        <v>15670</v>
      </c>
      <c r="G46" s="21">
        <f t="shared" si="4"/>
        <v>0.14640754928524713</v>
      </c>
    </row>
    <row r="47" spans="1:7" ht="14.25" customHeight="1" x14ac:dyDescent="0.2">
      <c r="A47" s="19" t="s">
        <v>48</v>
      </c>
      <c r="B47" s="19">
        <v>4</v>
      </c>
      <c r="C47" s="20">
        <v>88435</v>
      </c>
      <c r="D47" s="20">
        <v>74373</v>
      </c>
      <c r="E47" s="20">
        <v>2400</v>
      </c>
      <c r="F47" s="20">
        <f t="shared" si="3"/>
        <v>11662</v>
      </c>
      <c r="G47" s="21">
        <f t="shared" si="4"/>
        <v>0.13187086560750835</v>
      </c>
    </row>
    <row r="48" spans="1:7" ht="14.25" customHeight="1" x14ac:dyDescent="0.2">
      <c r="A48" s="19" t="s">
        <v>149</v>
      </c>
      <c r="B48" s="19">
        <v>4</v>
      </c>
      <c r="C48" s="20">
        <v>35657.5</v>
      </c>
      <c r="D48" s="20">
        <v>23980.5</v>
      </c>
      <c r="E48" s="20">
        <v>0</v>
      </c>
      <c r="F48" s="20">
        <f t="shared" si="3"/>
        <v>11677</v>
      </c>
      <c r="G48" s="21">
        <f t="shared" si="4"/>
        <v>0.32747668793381479</v>
      </c>
    </row>
    <row r="49" spans="1:7" ht="14.25" customHeight="1" x14ac:dyDescent="0.2">
      <c r="A49" s="19" t="s">
        <v>77</v>
      </c>
      <c r="B49" s="19">
        <v>3</v>
      </c>
      <c r="C49" s="20">
        <v>44298</v>
      </c>
      <c r="D49" s="20">
        <v>39459.5</v>
      </c>
      <c r="E49" s="20">
        <v>0</v>
      </c>
      <c r="F49" s="20">
        <f t="shared" si="3"/>
        <v>4838.5</v>
      </c>
      <c r="G49" s="21">
        <f t="shared" si="4"/>
        <v>0.10922615016479299</v>
      </c>
    </row>
    <row r="50" spans="1:7" ht="14.25" customHeight="1" x14ac:dyDescent="0.2">
      <c r="A50" s="19" t="s">
        <v>120</v>
      </c>
      <c r="B50" s="19">
        <v>2</v>
      </c>
      <c r="C50" s="20">
        <v>36575</v>
      </c>
      <c r="D50" s="20">
        <v>31825</v>
      </c>
      <c r="E50" s="20">
        <v>800</v>
      </c>
      <c r="F50" s="20">
        <f t="shared" si="3"/>
        <v>3950</v>
      </c>
      <c r="G50" s="21">
        <f t="shared" si="4"/>
        <v>0.10799726589200273</v>
      </c>
    </row>
    <row r="51" spans="1:7" ht="14.25" customHeight="1" x14ac:dyDescent="0.2">
      <c r="A51" s="19" t="s">
        <v>81</v>
      </c>
      <c r="B51" s="19">
        <v>2</v>
      </c>
      <c r="C51" s="20">
        <v>30206.25</v>
      </c>
      <c r="D51" s="20">
        <v>25776</v>
      </c>
      <c r="E51" s="20">
        <v>0</v>
      </c>
      <c r="F51" s="20">
        <f t="shared" si="3"/>
        <v>4430.25</v>
      </c>
      <c r="G51" s="21">
        <f t="shared" si="4"/>
        <v>0.14666666666666667</v>
      </c>
    </row>
    <row r="52" spans="1:7" ht="14.25" customHeight="1" x14ac:dyDescent="0.2">
      <c r="A52" s="19" t="s">
        <v>99</v>
      </c>
      <c r="B52" s="19">
        <v>3</v>
      </c>
      <c r="C52" s="20">
        <v>8550</v>
      </c>
      <c r="D52" s="20">
        <v>6380</v>
      </c>
      <c r="E52" s="20">
        <v>0</v>
      </c>
      <c r="F52" s="20">
        <f t="shared" si="3"/>
        <v>2170</v>
      </c>
      <c r="G52" s="21">
        <f t="shared" si="4"/>
        <v>0.25380116959064325</v>
      </c>
    </row>
    <row r="53" spans="1:7" ht="14.25" customHeight="1" x14ac:dyDescent="0.2">
      <c r="A53" s="19" t="s">
        <v>96</v>
      </c>
      <c r="B53" s="19">
        <v>1</v>
      </c>
      <c r="C53" s="20">
        <v>16940</v>
      </c>
      <c r="D53" s="20">
        <v>14300</v>
      </c>
      <c r="E53" s="20">
        <v>0</v>
      </c>
      <c r="F53" s="20">
        <f t="shared" si="3"/>
        <v>2640</v>
      </c>
      <c r="G53" s="21">
        <f t="shared" si="4"/>
        <v>0.15584415584415584</v>
      </c>
    </row>
    <row r="54" spans="1:7" ht="14.25" customHeight="1" x14ac:dyDescent="0.2">
      <c r="A54" s="19" t="s">
        <v>107</v>
      </c>
      <c r="B54" s="19">
        <v>2</v>
      </c>
      <c r="C54" s="20">
        <v>6080</v>
      </c>
      <c r="D54" s="20">
        <v>5092</v>
      </c>
      <c r="E54" s="20">
        <v>800</v>
      </c>
      <c r="F54" s="20">
        <f t="shared" si="3"/>
        <v>188</v>
      </c>
      <c r="G54" s="21">
        <f t="shared" si="4"/>
        <v>3.0921052631578946E-2</v>
      </c>
    </row>
    <row r="55" spans="1:7" ht="14.25" customHeight="1" x14ac:dyDescent="0.25">
      <c r="A55" s="8" t="s">
        <v>59</v>
      </c>
      <c r="B55" s="8">
        <f t="shared" ref="B55:D55" si="5">SUM(B43:B54)</f>
        <v>44</v>
      </c>
      <c r="C55" s="9">
        <f t="shared" si="5"/>
        <v>707644.75</v>
      </c>
      <c r="D55" s="9">
        <f t="shared" si="5"/>
        <v>590480</v>
      </c>
      <c r="E55" s="9">
        <f>SUM(E43:E54)</f>
        <v>8200</v>
      </c>
      <c r="F55" s="9">
        <f>SUM(F43:F54)</f>
        <v>108964.75</v>
      </c>
      <c r="G55" s="10">
        <f t="shared" si="4"/>
        <v>0.15398227712422088</v>
      </c>
    </row>
    <row r="56" spans="1:7" ht="14.25" customHeight="1" x14ac:dyDescent="0.25">
      <c r="A56" s="68" t="s">
        <v>260</v>
      </c>
      <c r="B56" s="71"/>
      <c r="C56" s="71"/>
      <c r="D56" s="71"/>
      <c r="E56" s="71"/>
      <c r="F56" s="71"/>
      <c r="G56" s="71"/>
    </row>
    <row r="57" spans="1:7" ht="14.25" customHeight="1" x14ac:dyDescent="0.25">
      <c r="A57" s="69" t="s">
        <v>5</v>
      </c>
      <c r="B57" s="70" t="s">
        <v>131</v>
      </c>
      <c r="C57" s="70" t="s">
        <v>132</v>
      </c>
      <c r="D57" s="70" t="s">
        <v>46</v>
      </c>
      <c r="E57" s="70" t="s">
        <v>135</v>
      </c>
      <c r="F57" s="70" t="s">
        <v>25</v>
      </c>
      <c r="G57" s="70" t="s">
        <v>137</v>
      </c>
    </row>
    <row r="58" spans="1:7" ht="14.25" customHeight="1" x14ac:dyDescent="0.2">
      <c r="A58" s="47" t="s">
        <v>138</v>
      </c>
      <c r="B58" s="47">
        <v>11</v>
      </c>
      <c r="C58" s="48">
        <v>243091</v>
      </c>
      <c r="D58" s="48">
        <v>185899.5</v>
      </c>
      <c r="E58" s="48">
        <v>1800</v>
      </c>
      <c r="F58" s="48">
        <f t="shared" ref="F58:F70" si="6">C58-D58-E58</f>
        <v>55391.5</v>
      </c>
      <c r="G58" s="72">
        <f t="shared" ref="G58:G71" si="7">F58/C58</f>
        <v>0.22786322817381147</v>
      </c>
    </row>
    <row r="59" spans="1:7" ht="14.25" customHeight="1" x14ac:dyDescent="0.2">
      <c r="A59" s="47" t="s">
        <v>84</v>
      </c>
      <c r="B59" s="47">
        <v>14</v>
      </c>
      <c r="C59" s="48">
        <v>244762.5</v>
      </c>
      <c r="D59" s="48">
        <v>230046.75</v>
      </c>
      <c r="E59" s="48">
        <v>0</v>
      </c>
      <c r="F59" s="48">
        <f t="shared" si="6"/>
        <v>14715.75</v>
      </c>
      <c r="G59" s="72">
        <f t="shared" si="7"/>
        <v>6.0122567795311783E-2</v>
      </c>
    </row>
    <row r="60" spans="1:7" ht="14.25" customHeight="1" x14ac:dyDescent="0.2">
      <c r="A60" s="47" t="s">
        <v>134</v>
      </c>
      <c r="B60" s="47">
        <v>6</v>
      </c>
      <c r="C60" s="48">
        <v>109700</v>
      </c>
      <c r="D60" s="48">
        <v>87208</v>
      </c>
      <c r="E60" s="48">
        <v>0</v>
      </c>
      <c r="F60" s="48">
        <f t="shared" si="6"/>
        <v>22492</v>
      </c>
      <c r="G60" s="72">
        <f t="shared" si="7"/>
        <v>0.20503190519598907</v>
      </c>
    </row>
    <row r="61" spans="1:7" ht="14.25" customHeight="1" x14ac:dyDescent="0.2">
      <c r="A61" s="47" t="s">
        <v>48</v>
      </c>
      <c r="B61" s="47">
        <v>4</v>
      </c>
      <c r="C61" s="48">
        <v>94052.5</v>
      </c>
      <c r="D61" s="48">
        <v>79248</v>
      </c>
      <c r="E61" s="48">
        <v>2400</v>
      </c>
      <c r="F61" s="48">
        <f t="shared" si="6"/>
        <v>12404.5</v>
      </c>
      <c r="G61" s="72">
        <f t="shared" si="7"/>
        <v>0.13188910448951383</v>
      </c>
    </row>
    <row r="62" spans="1:7" ht="14.25" customHeight="1" x14ac:dyDescent="0.2">
      <c r="A62" s="47" t="s">
        <v>149</v>
      </c>
      <c r="B62" s="47">
        <v>6</v>
      </c>
      <c r="C62" s="48">
        <v>83245.5</v>
      </c>
      <c r="D62" s="48">
        <v>70166</v>
      </c>
      <c r="E62" s="48">
        <v>0</v>
      </c>
      <c r="F62" s="48">
        <f t="shared" si="6"/>
        <v>13079.5</v>
      </c>
      <c r="G62" s="72">
        <f t="shared" si="7"/>
        <v>0.15711960406268208</v>
      </c>
    </row>
    <row r="63" spans="1:7" ht="14.25" customHeight="1" x14ac:dyDescent="0.2">
      <c r="A63" s="47" t="s">
        <v>64</v>
      </c>
      <c r="B63" s="47">
        <v>4</v>
      </c>
      <c r="C63" s="48">
        <v>77539</v>
      </c>
      <c r="D63" s="48">
        <v>64951.5</v>
      </c>
      <c r="E63" s="48">
        <v>800</v>
      </c>
      <c r="F63" s="48">
        <f t="shared" si="6"/>
        <v>11787.5</v>
      </c>
      <c r="G63" s="72">
        <f t="shared" si="7"/>
        <v>0.15202027366873444</v>
      </c>
    </row>
    <row r="64" spans="1:7" ht="14.25" customHeight="1" x14ac:dyDescent="0.2">
      <c r="A64" s="47" t="s">
        <v>86</v>
      </c>
      <c r="B64" s="47">
        <v>4</v>
      </c>
      <c r="C64" s="48">
        <v>56057.5</v>
      </c>
      <c r="D64" s="48">
        <v>43311.75</v>
      </c>
      <c r="E64" s="48">
        <v>1200</v>
      </c>
      <c r="F64" s="48">
        <f t="shared" si="6"/>
        <v>11545.75</v>
      </c>
      <c r="G64" s="72">
        <f t="shared" si="7"/>
        <v>0.20596262765910003</v>
      </c>
    </row>
    <row r="65" spans="1:7" ht="14.25" customHeight="1" x14ac:dyDescent="0.2">
      <c r="A65" s="47" t="s">
        <v>120</v>
      </c>
      <c r="B65" s="47">
        <v>2</v>
      </c>
      <c r="C65" s="48">
        <v>34804</v>
      </c>
      <c r="D65" s="48">
        <v>30284</v>
      </c>
      <c r="E65" s="48">
        <v>800</v>
      </c>
      <c r="F65" s="48">
        <f t="shared" si="6"/>
        <v>3720</v>
      </c>
      <c r="G65" s="72">
        <f t="shared" si="7"/>
        <v>0.10688426617630158</v>
      </c>
    </row>
    <row r="66" spans="1:7" ht="14.25" customHeight="1" x14ac:dyDescent="0.2">
      <c r="A66" s="47" t="s">
        <v>77</v>
      </c>
      <c r="B66" s="47">
        <v>2</v>
      </c>
      <c r="C66" s="48">
        <v>36248</v>
      </c>
      <c r="D66" s="48">
        <v>32346</v>
      </c>
      <c r="E66" s="48">
        <v>0</v>
      </c>
      <c r="F66" s="48">
        <f t="shared" si="6"/>
        <v>3902</v>
      </c>
      <c r="G66" s="72">
        <f t="shared" si="7"/>
        <v>0.10764731847274332</v>
      </c>
    </row>
    <row r="67" spans="1:7" ht="14.25" customHeight="1" x14ac:dyDescent="0.2">
      <c r="A67" s="47" t="s">
        <v>233</v>
      </c>
      <c r="B67" s="47">
        <v>2</v>
      </c>
      <c r="C67" s="48">
        <v>21175</v>
      </c>
      <c r="D67" s="48">
        <v>18011.5</v>
      </c>
      <c r="E67" s="48">
        <v>800</v>
      </c>
      <c r="F67" s="48">
        <f t="shared" si="6"/>
        <v>2363.5</v>
      </c>
      <c r="G67" s="72">
        <f t="shared" si="7"/>
        <v>0.11161747343565526</v>
      </c>
    </row>
    <row r="68" spans="1:7" ht="14.25" customHeight="1" x14ac:dyDescent="0.2">
      <c r="A68" s="47" t="s">
        <v>81</v>
      </c>
      <c r="B68" s="47">
        <v>2</v>
      </c>
      <c r="C68" s="48">
        <v>19635</v>
      </c>
      <c r="D68" s="48">
        <v>16447.5</v>
      </c>
      <c r="E68" s="48">
        <v>400</v>
      </c>
      <c r="F68" s="48">
        <f t="shared" si="6"/>
        <v>2787.5</v>
      </c>
      <c r="G68" s="72">
        <f t="shared" si="7"/>
        <v>0.1419658772599949</v>
      </c>
    </row>
    <row r="69" spans="1:7" ht="14.25" customHeight="1" x14ac:dyDescent="0.2">
      <c r="A69" s="47" t="s">
        <v>157</v>
      </c>
      <c r="B69" s="47">
        <v>1</v>
      </c>
      <c r="C69" s="48">
        <v>16093</v>
      </c>
      <c r="D69" s="48">
        <v>13480.5</v>
      </c>
      <c r="E69" s="48">
        <v>0</v>
      </c>
      <c r="F69" s="48">
        <f t="shared" si="6"/>
        <v>2612.5</v>
      </c>
      <c r="G69" s="72">
        <f t="shared" si="7"/>
        <v>0.16233766233766234</v>
      </c>
    </row>
    <row r="70" spans="1:7" ht="14.25" customHeight="1" x14ac:dyDescent="0.2">
      <c r="A70" s="47" t="s">
        <v>230</v>
      </c>
      <c r="B70" s="47">
        <v>1</v>
      </c>
      <c r="C70" s="48">
        <v>10741.5</v>
      </c>
      <c r="D70" s="48">
        <v>9765</v>
      </c>
      <c r="E70" s="48">
        <v>0</v>
      </c>
      <c r="F70" s="48">
        <f t="shared" si="6"/>
        <v>976.5</v>
      </c>
      <c r="G70" s="72">
        <f t="shared" si="7"/>
        <v>9.0909090909090912E-2</v>
      </c>
    </row>
    <row r="71" spans="1:7" ht="14.25" customHeight="1" x14ac:dyDescent="0.25">
      <c r="A71" s="49" t="s">
        <v>59</v>
      </c>
      <c r="B71" s="49">
        <f>SUM(B58:B70)</f>
        <v>59</v>
      </c>
      <c r="C71" s="50">
        <f>SUM(C58:C70)</f>
        <v>1047144.5</v>
      </c>
      <c r="D71" s="50">
        <f>SUM(D58:D70)</f>
        <v>881166</v>
      </c>
      <c r="E71" s="50">
        <f>SUM(E58:E70)</f>
        <v>8200</v>
      </c>
      <c r="F71" s="50">
        <f>SUM(F58:F70)</f>
        <v>157778.5</v>
      </c>
      <c r="G71" s="51">
        <f t="shared" si="7"/>
        <v>0.15067500235163342</v>
      </c>
    </row>
    <row r="72" spans="1:7" ht="14.25" customHeight="1" x14ac:dyDescent="0.25">
      <c r="A72" s="68" t="s">
        <v>344</v>
      </c>
      <c r="B72" s="71"/>
      <c r="C72" s="71"/>
      <c r="D72" s="71"/>
      <c r="E72" s="71"/>
      <c r="F72" s="71"/>
      <c r="G72" s="71"/>
    </row>
    <row r="73" spans="1:7" ht="14.25" customHeight="1" x14ac:dyDescent="0.25">
      <c r="A73" s="69" t="s">
        <v>5</v>
      </c>
      <c r="B73" s="70" t="s">
        <v>131</v>
      </c>
      <c r="C73" s="70" t="s">
        <v>132</v>
      </c>
      <c r="D73" s="70" t="s">
        <v>46</v>
      </c>
      <c r="E73" s="70" t="s">
        <v>135</v>
      </c>
      <c r="F73" s="70" t="s">
        <v>25</v>
      </c>
      <c r="G73" s="70" t="s">
        <v>137</v>
      </c>
    </row>
    <row r="74" spans="1:7" ht="14.25" customHeight="1" x14ac:dyDescent="0.2">
      <c r="A74" s="47" t="s">
        <v>138</v>
      </c>
      <c r="B74" s="47">
        <f>COUNTIF('עובדים זרים - ספטמבר'!$A$9:$A$58,A74)</f>
        <v>9</v>
      </c>
      <c r="C74" s="48">
        <f>SUMIF('עובדים זרים - ספטמבר'!$A$9:$A$58,A74,'עובדים זרים - ספטמבר'!$H$9:$H$58)</f>
        <v>132545</v>
      </c>
      <c r="D74" s="48">
        <f>SUMIF('עובדים זרים - ספטמבר'!$A$9:$A$58,A74,'עובדים זרים - ספטמבר'!$I$9:$I$58)</f>
        <v>101094</v>
      </c>
      <c r="E74" s="48">
        <v>1200</v>
      </c>
      <c r="F74" s="48">
        <f t="shared" ref="F74:F85" si="8">C74-D74-E74</f>
        <v>30251</v>
      </c>
      <c r="G74" s="72">
        <f t="shared" ref="G74:G86" si="9">F74/C74</f>
        <v>0.22823192123429778</v>
      </c>
    </row>
    <row r="75" spans="1:7" ht="14.25" customHeight="1" x14ac:dyDescent="0.2">
      <c r="A75" s="47" t="s">
        <v>84</v>
      </c>
      <c r="B75" s="47">
        <f>COUNTIF('עובדים זרים - ספטמבר'!$A$9:$A$58,A75)</f>
        <v>12</v>
      </c>
      <c r="C75" s="48">
        <f>SUMIF('עובדים זרים - ספטמבר'!$A$9:$A$58,A75,'עובדים זרים - ספטמבר'!$H$9:$H$58)</f>
        <v>135600</v>
      </c>
      <c r="D75" s="48">
        <f>SUMIF('עובדים זרים - ספטמבר'!$A$9:$A$58,A75,'עובדים זרים - ספטמבר'!$I$9:$I$58)</f>
        <v>126485</v>
      </c>
      <c r="E75" s="48">
        <v>0</v>
      </c>
      <c r="F75" s="48">
        <f t="shared" si="8"/>
        <v>9115</v>
      </c>
      <c r="G75" s="72">
        <f t="shared" si="9"/>
        <v>6.721976401179941E-2</v>
      </c>
    </row>
    <row r="76" spans="1:7" ht="14.25" customHeight="1" x14ac:dyDescent="0.2">
      <c r="A76" s="47" t="s">
        <v>134</v>
      </c>
      <c r="B76" s="47">
        <f>COUNTIF('עובדים זרים - ספטמבר'!$A$9:$A$58,A76)</f>
        <v>6</v>
      </c>
      <c r="C76" s="48">
        <f>SUMIF('עובדים זרים - ספטמבר'!$A$9:$A$58,A76,'עובדים זרים - ספטמבר'!$H$9:$H$58)</f>
        <v>94950</v>
      </c>
      <c r="D76" s="48">
        <f>SUMIF('עובדים זרים - ספטמבר'!$A$9:$A$58,A76,'עובדים זרים - ספטמבר'!$I$9:$I$58)</f>
        <v>75535.5</v>
      </c>
      <c r="E76" s="48">
        <v>0</v>
      </c>
      <c r="F76" s="48">
        <f t="shared" si="8"/>
        <v>19414.5</v>
      </c>
      <c r="G76" s="72">
        <f t="shared" si="9"/>
        <v>0.20447077409162717</v>
      </c>
    </row>
    <row r="77" spans="1:7" ht="14.25" customHeight="1" x14ac:dyDescent="0.2">
      <c r="A77" s="47" t="s">
        <v>86</v>
      </c>
      <c r="B77" s="47">
        <f>COUNTIF('עובדים זרים - ספטמבר'!$A$9:$A$58,A77)</f>
        <v>4</v>
      </c>
      <c r="C77" s="48">
        <f>SUMIF('עובדים זרים - ספטמבר'!$A$9:$A$58,A77,'עובדים זרים - ספטמבר'!$H$9:$H$58)</f>
        <v>70775</v>
      </c>
      <c r="D77" s="48">
        <f>SUMIF('עובדים זרים - ספטמבר'!$A$9:$A$58,A77,'עובדים זרים - ספטמבר'!$I$9:$I$58)</f>
        <v>53788.5</v>
      </c>
      <c r="E77" s="48">
        <v>1800</v>
      </c>
      <c r="F77" s="48">
        <f t="shared" si="8"/>
        <v>15186.5</v>
      </c>
      <c r="G77" s="72">
        <f t="shared" si="9"/>
        <v>0.21457435535146591</v>
      </c>
    </row>
    <row r="78" spans="1:7" ht="14.25" customHeight="1" x14ac:dyDescent="0.2">
      <c r="A78" s="47" t="s">
        <v>149</v>
      </c>
      <c r="B78" s="47">
        <f>COUNTIF('עובדים זרים - ספטמבר'!$A$9:$A$58,A78)</f>
        <v>4</v>
      </c>
      <c r="C78" s="48">
        <f>SUMIF('עובדים זרים - ספטמבר'!$A$9:$A$58,A78,'עובדים זרים - ספטמבר'!$H$9:$H$58)</f>
        <v>65490</v>
      </c>
      <c r="D78" s="48">
        <f>SUMIF('עובדים זרים - ספטמבר'!$A$9:$A$58,A78,'עובדים זרים - ספטמבר'!$I$9:$I$58)</f>
        <v>57499</v>
      </c>
      <c r="E78" s="48">
        <v>0</v>
      </c>
      <c r="F78" s="48">
        <f t="shared" si="8"/>
        <v>7991</v>
      </c>
      <c r="G78" s="72">
        <f t="shared" si="9"/>
        <v>0.12201862879828981</v>
      </c>
    </row>
    <row r="79" spans="1:7" ht="14.25" customHeight="1" x14ac:dyDescent="0.2">
      <c r="A79" s="47" t="s">
        <v>48</v>
      </c>
      <c r="B79" s="47">
        <f>COUNTIF('עובדים זרים - ספטמבר'!$A$9:$A$58,A79)</f>
        <v>4</v>
      </c>
      <c r="C79" s="48">
        <f>SUMIF('עובדים זרים - ספטמבר'!$A$9:$A$58,A79,'עובדים זרים - ספטמבר'!$H$9:$H$58)</f>
        <v>56417.5</v>
      </c>
      <c r="D79" s="48">
        <f>SUMIF('עובדים זרים - ספטמבר'!$A$9:$A$58,A79,'עובדים זרים - ספטמבר'!$I$9:$I$58)</f>
        <v>47502</v>
      </c>
      <c r="E79" s="48">
        <v>2400</v>
      </c>
      <c r="F79" s="48">
        <f t="shared" si="8"/>
        <v>6515.5</v>
      </c>
      <c r="G79" s="72">
        <f t="shared" si="9"/>
        <v>0.11548721584614703</v>
      </c>
    </row>
    <row r="80" spans="1:7" ht="14.25" customHeight="1" x14ac:dyDescent="0.2">
      <c r="A80" s="47" t="s">
        <v>64</v>
      </c>
      <c r="B80" s="47">
        <f>COUNTIF('עובדים זרים - ספטמבר'!$A$9:$A$58,A80)</f>
        <v>4</v>
      </c>
      <c r="C80" s="48">
        <f>SUMIF('עובדים זרים - ספטמבר'!$A$9:$A$58,A80,'עובדים זרים - ספטמבר'!$H$9:$H$58)</f>
        <v>47316.5</v>
      </c>
      <c r="D80" s="48">
        <f>SUMIF('עובדים זרים - ספטמבר'!$A$9:$A$58,A80,'עובדים זרים - ספטמבר'!$I$9:$I$58)</f>
        <v>39635.25</v>
      </c>
      <c r="E80" s="48">
        <v>800</v>
      </c>
      <c r="F80" s="48">
        <f t="shared" si="8"/>
        <v>6881.25</v>
      </c>
      <c r="G80" s="72">
        <f t="shared" si="9"/>
        <v>0.14543024103642493</v>
      </c>
    </row>
    <row r="81" spans="1:7" ht="14.25" customHeight="1" x14ac:dyDescent="0.2">
      <c r="A81" s="47" t="s">
        <v>120</v>
      </c>
      <c r="B81" s="47">
        <f>COUNTIF('עובדים זרים - ספטמבר'!$A$9:$A$58,A81)</f>
        <v>2</v>
      </c>
      <c r="C81" s="48">
        <f>SUMIF('עובדים זרים - ספטמבר'!$A$9:$A$58,A81,'עובדים זרים - ספטמבר'!$H$9:$H$58)</f>
        <v>29337</v>
      </c>
      <c r="D81" s="48">
        <f>SUMIF('עובדים זרים - ספטמבר'!$A$9:$A$58,A81,'עובדים זרים - ספטמבר'!$I$9:$I$58)</f>
        <v>25527</v>
      </c>
      <c r="E81" s="48">
        <v>800</v>
      </c>
      <c r="F81" s="48">
        <f t="shared" si="8"/>
        <v>3010</v>
      </c>
      <c r="G81" s="72">
        <f t="shared" si="9"/>
        <v>0.10260081126222859</v>
      </c>
    </row>
    <row r="82" spans="1:7" ht="14.25" customHeight="1" x14ac:dyDescent="0.2">
      <c r="A82" s="47" t="s">
        <v>233</v>
      </c>
      <c r="B82" s="47">
        <f>COUNTIF('עובדים זרים - ספטמבר'!$A$9:$A$58,A82)</f>
        <v>2</v>
      </c>
      <c r="C82" s="48">
        <f>SUMIF('עובדים זרים - ספטמבר'!$A$9:$A$58,A82,'עובדים זרים - ספטמבר'!$H$9:$H$58)</f>
        <v>16247</v>
      </c>
      <c r="D82" s="48">
        <f>SUMIF('עובדים זרים - ספטמבר'!$A$9:$A$58,A82,'עובדים זרים - ספטמבר'!$I$9:$I$58)</f>
        <v>13609.5</v>
      </c>
      <c r="E82" s="48">
        <v>800</v>
      </c>
      <c r="F82" s="48">
        <f t="shared" si="8"/>
        <v>1837.5</v>
      </c>
      <c r="G82" s="72">
        <f t="shared" si="9"/>
        <v>0.11309780267126239</v>
      </c>
    </row>
    <row r="83" spans="1:7" ht="14.25" customHeight="1" x14ac:dyDescent="0.2">
      <c r="A83" s="47" t="s">
        <v>157</v>
      </c>
      <c r="B83" s="47">
        <f>COUNTIF('עובדים זרים - ספטמבר'!$A$9:$A$58,A83)</f>
        <v>1</v>
      </c>
      <c r="C83" s="48">
        <f>SUMIF('עובדים זרים - ספטמבר'!$A$9:$A$58,A83,'עובדים זרים - ספטמבר'!$H$9:$H$58)</f>
        <v>13898.5</v>
      </c>
      <c r="D83" s="48">
        <f>SUMIF('עובדים זרים - ספטמבר'!$A$9:$A$58,A83,'עובדים זרים - ספטמבר'!$I$9:$I$58)</f>
        <v>11642.25</v>
      </c>
      <c r="E83" s="48">
        <v>0</v>
      </c>
      <c r="F83" s="48">
        <f t="shared" si="8"/>
        <v>2256.25</v>
      </c>
      <c r="G83" s="72">
        <f t="shared" si="9"/>
        <v>0.16233766233766234</v>
      </c>
    </row>
    <row r="84" spans="1:7" ht="14.25" customHeight="1" x14ac:dyDescent="0.2">
      <c r="A84" s="47" t="s">
        <v>77</v>
      </c>
      <c r="B84" s="47">
        <f>COUNTIF('עובדים זרים - ספטמבר'!$A$9:$A$58,A84)</f>
        <v>1</v>
      </c>
      <c r="C84" s="48">
        <f>SUMIF('עובדים זרים - ספטמבר'!$A$9:$A$58,A84,'עובדים זרים - ספטמבר'!$H$9:$H$58)</f>
        <v>13340</v>
      </c>
      <c r="D84" s="48">
        <f>SUMIF('עובדים זרים - ספטמבר'!$A$9:$A$58,A84,'עובדים זרים - ספטמבר'!$I$9:$I$58)</f>
        <v>12035</v>
      </c>
      <c r="E84" s="48">
        <v>0</v>
      </c>
      <c r="F84" s="48">
        <f t="shared" si="8"/>
        <v>1305</v>
      </c>
      <c r="G84" s="72">
        <f t="shared" si="9"/>
        <v>9.7826086956521743E-2</v>
      </c>
    </row>
    <row r="85" spans="1:7" ht="14.25" customHeight="1" x14ac:dyDescent="0.2">
      <c r="A85" s="47" t="s">
        <v>81</v>
      </c>
      <c r="B85" s="47">
        <f>COUNTIF('עובדים זרים - ספטמבר'!$A$9:$A$58,A85)</f>
        <v>1</v>
      </c>
      <c r="C85" s="48">
        <f>SUMIF('עובדים זרים - ספטמבר'!$A$9:$A$58,A85,'עובדים זרים - ספטמבר'!$H$9:$H$58)</f>
        <v>6545</v>
      </c>
      <c r="D85" s="48">
        <f>SUMIF('עובדים זרים - ספטמבר'!$A$9:$A$58,A85,'עובדים זרים - ספטמבר'!$I$9:$I$58)</f>
        <v>5482.5</v>
      </c>
      <c r="E85" s="48">
        <v>400</v>
      </c>
      <c r="F85" s="48">
        <f t="shared" si="8"/>
        <v>662.5</v>
      </c>
      <c r="G85" s="72">
        <f t="shared" si="9"/>
        <v>0.10122230710466004</v>
      </c>
    </row>
    <row r="86" spans="1:7" ht="14.25" customHeight="1" x14ac:dyDescent="0.25">
      <c r="A86" s="49" t="s">
        <v>59</v>
      </c>
      <c r="B86" s="49">
        <f>SUM(B74:B85)</f>
        <v>50</v>
      </c>
      <c r="C86" s="50">
        <f>SUM(C74:C85)</f>
        <v>682461.5</v>
      </c>
      <c r="D86" s="50">
        <f>SUM(D74:D85)</f>
        <v>569835.5</v>
      </c>
      <c r="E86" s="50">
        <f>SUM(E74:E85)</f>
        <v>8200</v>
      </c>
      <c r="F86" s="50">
        <f>SUM(F74:F85)</f>
        <v>104426</v>
      </c>
      <c r="G86" s="51">
        <f t="shared" si="9"/>
        <v>0.15301375975055004</v>
      </c>
    </row>
    <row r="87" spans="1:7" ht="14.25" customHeight="1" x14ac:dyDescent="0.25">
      <c r="A87" s="84" t="s">
        <v>345</v>
      </c>
      <c r="B87" s="81"/>
      <c r="C87" s="82"/>
      <c r="D87" s="82"/>
      <c r="E87" s="82"/>
      <c r="F87" s="82"/>
      <c r="G87" s="83"/>
    </row>
    <row r="88" spans="1:7" ht="14.25" customHeight="1" x14ac:dyDescent="0.25">
      <c r="A88" s="81"/>
      <c r="B88" s="81"/>
      <c r="C88" s="82"/>
      <c r="D88" s="82"/>
      <c r="E88" s="82"/>
      <c r="F88" s="82"/>
      <c r="G88" s="83"/>
    </row>
    <row r="89" spans="1:7" ht="14.25" customHeight="1" x14ac:dyDescent="0.2"/>
    <row r="90" spans="1:7" ht="14.25" customHeight="1" x14ac:dyDescent="0.2"/>
    <row r="91" spans="1:7" ht="14.25" customHeight="1" x14ac:dyDescent="0.25">
      <c r="A91" s="52" t="s">
        <v>262</v>
      </c>
      <c r="B91" s="46"/>
      <c r="C91" s="46"/>
      <c r="D91" s="46"/>
      <c r="E91" s="46"/>
    </row>
    <row r="92" spans="1:7" ht="14.25" customHeight="1" x14ac:dyDescent="0.25">
      <c r="A92" s="73" t="s">
        <v>263</v>
      </c>
      <c r="B92" s="73" t="s">
        <v>175</v>
      </c>
      <c r="C92" s="73" t="s">
        <v>176</v>
      </c>
      <c r="D92" s="73" t="s">
        <v>244</v>
      </c>
      <c r="E92" s="73" t="s">
        <v>346</v>
      </c>
      <c r="F92" s="73" t="s">
        <v>264</v>
      </c>
    </row>
    <row r="93" spans="1:7" ht="14.25" customHeight="1" x14ac:dyDescent="0.2">
      <c r="A93" s="47" t="s">
        <v>265</v>
      </c>
      <c r="B93" s="48">
        <v>8200</v>
      </c>
      <c r="C93" s="48">
        <v>7400</v>
      </c>
      <c r="D93" s="48">
        <v>8200</v>
      </c>
      <c r="E93" s="48">
        <v>8200</v>
      </c>
      <c r="F93" s="47" t="s">
        <v>266</v>
      </c>
    </row>
    <row r="94" spans="1:7" ht="14.25" customHeight="1" x14ac:dyDescent="0.2">
      <c r="A94" s="47" t="s">
        <v>267</v>
      </c>
      <c r="B94" s="48">
        <v>1426</v>
      </c>
      <c r="C94" s="48">
        <v>926</v>
      </c>
      <c r="D94" s="48">
        <v>998</v>
      </c>
      <c r="E94" s="48">
        <f>2*('עובדים זרים - ספטמבר'!C37+'עובדים זרים - ספטמבר'!C38+'עובדים זרים - ספטמבר'!C50)</f>
        <v>802</v>
      </c>
      <c r="F94" s="47" t="s">
        <v>349</v>
      </c>
    </row>
    <row r="95" spans="1:7" ht="14.25" customHeight="1" x14ac:dyDescent="0.2">
      <c r="A95" s="47" t="s">
        <v>268</v>
      </c>
      <c r="B95" s="48">
        <v>1900</v>
      </c>
      <c r="C95" s="48">
        <v>1700</v>
      </c>
      <c r="D95" s="48">
        <v>1700</v>
      </c>
      <c r="E95" s="48">
        <v>1700</v>
      </c>
      <c r="F95" s="47" t="s">
        <v>269</v>
      </c>
    </row>
    <row r="96" spans="1:7" ht="14.25" customHeight="1" x14ac:dyDescent="0.2">
      <c r="A96" s="47" t="s">
        <v>347</v>
      </c>
      <c r="B96" s="48">
        <v>0</v>
      </c>
      <c r="C96" s="48">
        <v>0</v>
      </c>
      <c r="D96" s="48">
        <v>0</v>
      </c>
      <c r="E96" s="48">
        <f>'עובדים זרים - ספטמבר'!O59</f>
        <v>3339</v>
      </c>
      <c r="F96" s="47" t="s">
        <v>348</v>
      </c>
    </row>
    <row r="97" spans="1:6" ht="14.25" customHeight="1" x14ac:dyDescent="0.25">
      <c r="A97" s="49" t="s">
        <v>270</v>
      </c>
      <c r="B97" s="50">
        <f>SUM(B93:B96)</f>
        <v>11526</v>
      </c>
      <c r="C97" s="50">
        <f>SUM(C93:C96)</f>
        <v>10026</v>
      </c>
      <c r="D97" s="50">
        <f>SUM(D93:D96)</f>
        <v>10898</v>
      </c>
      <c r="E97" s="50">
        <f>SUM(E93:E96)</f>
        <v>14041</v>
      </c>
      <c r="F97" s="49"/>
    </row>
    <row r="98" spans="1:6" ht="14.25" customHeight="1" x14ac:dyDescent="0.2"/>
    <row r="99" spans="1:6" ht="14.25" customHeight="1" x14ac:dyDescent="0.2"/>
    <row r="100" spans="1:6" ht="14.25" customHeight="1" x14ac:dyDescent="0.2"/>
    <row r="101" spans="1:6" ht="14.25" customHeight="1" x14ac:dyDescent="0.2"/>
    <row r="102" spans="1:6" ht="14.25" customHeight="1" x14ac:dyDescent="0.2"/>
    <row r="103" spans="1:6" ht="14.25" customHeight="1" x14ac:dyDescent="0.2"/>
    <row r="104" spans="1:6" ht="14.25" customHeight="1" x14ac:dyDescent="0.2"/>
    <row r="105" spans="1:6" ht="14.25" customHeight="1" x14ac:dyDescent="0.2"/>
    <row r="106" spans="1:6" ht="14.25" customHeight="1" x14ac:dyDescent="0.2"/>
    <row r="107" spans="1:6" ht="14.25" customHeight="1" x14ac:dyDescent="0.2"/>
    <row r="108" spans="1:6" ht="14.25" customHeight="1" x14ac:dyDescent="0.2"/>
    <row r="109" spans="1:6" ht="14.25" customHeight="1" x14ac:dyDescent="0.2"/>
    <row r="110" spans="1:6" ht="14.25" customHeight="1" x14ac:dyDescent="0.2"/>
    <row r="111" spans="1:6" ht="14.25" customHeight="1" x14ac:dyDescent="0.2"/>
    <row r="112" spans="1:6"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sheetData>
  <pageMargins left="0.7" right="0.7" top="0.75" bottom="0.75" header="0" footer="0"/>
  <pageSetup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B9E1B"/>
  </sheetPr>
  <dimension ref="A1:E1001"/>
  <sheetViews>
    <sheetView showGridLines="0" rightToLeft="1" workbookViewId="0">
      <pane ySplit="4" topLeftCell="A35" activePane="bottomLeft" state="frozen"/>
      <selection pane="bottomLeft" activeCell="A49" sqref="A49:E65"/>
    </sheetView>
  </sheetViews>
  <sheetFormatPr defaultColWidth="12.625" defaultRowHeight="15" customHeight="1" x14ac:dyDescent="0.2"/>
  <cols>
    <col min="1" max="1" width="36.25" customWidth="1"/>
    <col min="3" max="3" width="17.625" customWidth="1"/>
    <col min="4" max="4" width="21.75" customWidth="1"/>
    <col min="5" max="5" width="9.625" customWidth="1"/>
    <col min="6" max="26" width="8.625" customWidth="1"/>
  </cols>
  <sheetData>
    <row r="1" spans="1:5" ht="14.25" customHeight="1" x14ac:dyDescent="0.25">
      <c r="A1" s="1" t="s">
        <v>105</v>
      </c>
      <c r="B1" s="3"/>
      <c r="C1" s="3"/>
      <c r="D1" s="3"/>
    </row>
    <row r="2" spans="1:5" ht="14.25" customHeight="1" x14ac:dyDescent="0.2">
      <c r="A2" s="4" t="s">
        <v>110</v>
      </c>
      <c r="B2" s="4"/>
      <c r="C2" s="4"/>
      <c r="D2" s="4"/>
    </row>
    <row r="3" spans="1:5" ht="14.25" customHeight="1" x14ac:dyDescent="0.2">
      <c r="A3" s="4"/>
      <c r="B3" s="4"/>
      <c r="C3" s="4"/>
      <c r="D3" s="4"/>
    </row>
    <row r="4" spans="1:5" ht="14.25" customHeight="1" x14ac:dyDescent="0.25">
      <c r="A4" s="6" t="s">
        <v>114</v>
      </c>
      <c r="B4" s="6" t="s">
        <v>115</v>
      </c>
      <c r="C4" s="6" t="s">
        <v>117</v>
      </c>
      <c r="D4" s="6" t="s">
        <v>118</v>
      </c>
    </row>
    <row r="5" spans="1:5" ht="14.25" customHeight="1" x14ac:dyDescent="0.2">
      <c r="A5" s="4" t="s">
        <v>119</v>
      </c>
      <c r="B5" s="7">
        <v>9547.1299999999992</v>
      </c>
      <c r="C5" s="15">
        <v>0.5</v>
      </c>
      <c r="D5" s="16">
        <f t="shared" ref="D5:D13" si="0">B5*C5</f>
        <v>4773.5649999999996</v>
      </c>
    </row>
    <row r="6" spans="1:5" ht="14.25" customHeight="1" x14ac:dyDescent="0.2">
      <c r="A6" s="4" t="s">
        <v>127</v>
      </c>
      <c r="B6" s="7">
        <v>1357</v>
      </c>
      <c r="C6" s="15">
        <v>1</v>
      </c>
      <c r="D6" s="16">
        <f t="shared" si="0"/>
        <v>1357</v>
      </c>
    </row>
    <row r="7" spans="1:5" ht="14.25" customHeight="1" x14ac:dyDescent="0.2">
      <c r="A7" s="4" t="s">
        <v>130</v>
      </c>
      <c r="B7" s="7">
        <v>3540</v>
      </c>
      <c r="C7" s="15">
        <v>0.5</v>
      </c>
      <c r="D7" s="16">
        <f t="shared" si="0"/>
        <v>1770</v>
      </c>
    </row>
    <row r="8" spans="1:5" ht="14.25" customHeight="1" x14ac:dyDescent="0.2">
      <c r="A8" s="4" t="s">
        <v>133</v>
      </c>
      <c r="B8" s="7">
        <v>6811</v>
      </c>
      <c r="C8" s="15">
        <v>1</v>
      </c>
      <c r="D8" s="16">
        <f t="shared" si="0"/>
        <v>6811</v>
      </c>
    </row>
    <row r="9" spans="1:5" ht="14.25" customHeight="1" x14ac:dyDescent="0.2">
      <c r="A9" s="4" t="s">
        <v>139</v>
      </c>
      <c r="B9" s="7">
        <v>11850</v>
      </c>
      <c r="C9" s="15">
        <v>1</v>
      </c>
      <c r="D9" s="16">
        <f t="shared" si="0"/>
        <v>11850</v>
      </c>
    </row>
    <row r="10" spans="1:5" ht="14.25" customHeight="1" x14ac:dyDescent="0.2">
      <c r="A10" s="4" t="s">
        <v>141</v>
      </c>
      <c r="B10" s="7">
        <v>19193</v>
      </c>
      <c r="C10" s="15">
        <v>1</v>
      </c>
      <c r="D10" s="16">
        <f t="shared" si="0"/>
        <v>19193</v>
      </c>
    </row>
    <row r="11" spans="1:5" ht="14.25" customHeight="1" x14ac:dyDescent="0.2">
      <c r="A11" s="4" t="s">
        <v>143</v>
      </c>
      <c r="B11" s="7">
        <v>11533</v>
      </c>
      <c r="C11" s="15">
        <v>1</v>
      </c>
      <c r="D11" s="16">
        <f t="shared" si="0"/>
        <v>11533</v>
      </c>
    </row>
    <row r="12" spans="1:5" ht="14.25" customHeight="1" x14ac:dyDescent="0.2">
      <c r="A12" s="4" t="s">
        <v>144</v>
      </c>
      <c r="B12" s="7">
        <v>14000</v>
      </c>
      <c r="C12" s="15">
        <v>0.5</v>
      </c>
      <c r="D12" s="16">
        <f t="shared" si="0"/>
        <v>7000</v>
      </c>
    </row>
    <row r="13" spans="1:5" ht="14.25" customHeight="1" x14ac:dyDescent="0.2">
      <c r="A13" s="4" t="s">
        <v>145</v>
      </c>
      <c r="B13" s="7">
        <v>2832</v>
      </c>
      <c r="C13" s="15">
        <v>1</v>
      </c>
      <c r="D13" s="16">
        <f t="shared" si="0"/>
        <v>2832</v>
      </c>
    </row>
    <row r="14" spans="1:5" ht="14.25" customHeight="1" x14ac:dyDescent="0.2">
      <c r="A14" s="4" t="s">
        <v>289</v>
      </c>
      <c r="B14" s="7">
        <v>1827</v>
      </c>
      <c r="C14" s="15">
        <v>1</v>
      </c>
      <c r="D14" s="16">
        <f>B14*C14</f>
        <v>1827</v>
      </c>
      <c r="E14" t="s">
        <v>290</v>
      </c>
    </row>
    <row r="15" spans="1:5" ht="14.25" customHeight="1" x14ac:dyDescent="0.25">
      <c r="A15" s="8" t="s">
        <v>59</v>
      </c>
      <c r="B15" s="9"/>
      <c r="C15" s="22"/>
      <c r="D15" s="22">
        <f>SUM(D5:D14)</f>
        <v>68946.565000000002</v>
      </c>
    </row>
    <row r="16" spans="1:5" ht="14.25" customHeight="1" x14ac:dyDescent="0.2"/>
    <row r="17" spans="1:4" ht="14.25" customHeight="1" x14ac:dyDescent="0.2">
      <c r="A17" s="23" t="s">
        <v>150</v>
      </c>
    </row>
    <row r="18" spans="1:4" ht="14.25" customHeight="1" x14ac:dyDescent="0.2">
      <c r="A18" s="23" t="s">
        <v>151</v>
      </c>
    </row>
    <row r="19" spans="1:4" ht="14.25" customHeight="1" x14ac:dyDescent="0.2"/>
    <row r="20" spans="1:4" ht="14.25" customHeight="1" x14ac:dyDescent="0.2"/>
    <row r="21" spans="1:4" ht="14.25" customHeight="1" x14ac:dyDescent="0.25">
      <c r="A21" s="77" t="s">
        <v>287</v>
      </c>
    </row>
    <row r="22" spans="1:4" ht="14.25" customHeight="1" x14ac:dyDescent="0.2">
      <c r="A22" s="67" t="s">
        <v>291</v>
      </c>
    </row>
    <row r="23" spans="1:4" ht="14.25" customHeight="1" x14ac:dyDescent="0.2">
      <c r="A23" s="67" t="s">
        <v>288</v>
      </c>
    </row>
    <row r="24" spans="1:4" ht="14.25" customHeight="1" x14ac:dyDescent="0.2"/>
    <row r="25" spans="1:4" ht="14.25" customHeight="1" x14ac:dyDescent="0.25">
      <c r="A25" s="77" t="s">
        <v>306</v>
      </c>
    </row>
    <row r="26" spans="1:4" ht="14.25" customHeight="1" x14ac:dyDescent="0.2">
      <c r="A26" s="67" t="s">
        <v>307</v>
      </c>
    </row>
    <row r="27" spans="1:4" ht="14.25" customHeight="1" x14ac:dyDescent="0.2">
      <c r="A27" s="67" t="s">
        <v>308</v>
      </c>
    </row>
    <row r="28" spans="1:4" ht="14.25" customHeight="1" x14ac:dyDescent="0.2"/>
    <row r="29" spans="1:4" ht="14.25" customHeight="1" x14ac:dyDescent="0.2"/>
    <row r="30" spans="1:4" ht="14.25" customHeight="1" x14ac:dyDescent="0.25">
      <c r="A30" s="1" t="s">
        <v>309</v>
      </c>
      <c r="B30" s="3"/>
      <c r="C30" s="3"/>
      <c r="D30" s="3"/>
    </row>
    <row r="31" spans="1:4" ht="14.25" customHeight="1" x14ac:dyDescent="0.2">
      <c r="A31" s="4" t="s">
        <v>110</v>
      </c>
      <c r="B31" s="4"/>
      <c r="C31" s="4"/>
      <c r="D31" s="4"/>
    </row>
    <row r="32" spans="1:4" ht="14.25" customHeight="1" x14ac:dyDescent="0.2">
      <c r="A32" s="4"/>
      <c r="B32" s="4"/>
      <c r="C32" s="4"/>
      <c r="D32" s="4"/>
    </row>
    <row r="33" spans="1:5" ht="14.25" customHeight="1" x14ac:dyDescent="0.25">
      <c r="A33" s="6" t="s">
        <v>114</v>
      </c>
      <c r="B33" s="6" t="s">
        <v>115</v>
      </c>
      <c r="C33" s="6" t="s">
        <v>117</v>
      </c>
      <c r="D33" s="6" t="s">
        <v>118</v>
      </c>
    </row>
    <row r="34" spans="1:5" ht="14.25" customHeight="1" x14ac:dyDescent="0.2">
      <c r="A34" s="4" t="s">
        <v>119</v>
      </c>
      <c r="B34" s="7"/>
      <c r="C34" s="15">
        <v>0.5</v>
      </c>
      <c r="D34" s="16">
        <f t="shared" ref="D34:D42" si="1">B34*C34</f>
        <v>0</v>
      </c>
    </row>
    <row r="35" spans="1:5" ht="14.25" customHeight="1" x14ac:dyDescent="0.2">
      <c r="A35" s="4" t="s">
        <v>127</v>
      </c>
      <c r="B35" s="7"/>
      <c r="C35" s="15">
        <v>1</v>
      </c>
      <c r="D35" s="16">
        <f t="shared" si="1"/>
        <v>0</v>
      </c>
    </row>
    <row r="36" spans="1:5" ht="14.25" customHeight="1" x14ac:dyDescent="0.2">
      <c r="A36" s="4" t="s">
        <v>130</v>
      </c>
      <c r="B36" s="7"/>
      <c r="C36" s="15">
        <v>0.5</v>
      </c>
      <c r="D36" s="16">
        <f t="shared" si="1"/>
        <v>0</v>
      </c>
    </row>
    <row r="37" spans="1:5" ht="14.25" customHeight="1" x14ac:dyDescent="0.2">
      <c r="A37" s="4" t="s">
        <v>133</v>
      </c>
      <c r="B37" s="7">
        <v>17017</v>
      </c>
      <c r="C37" s="15">
        <v>1</v>
      </c>
      <c r="D37" s="16">
        <f t="shared" si="1"/>
        <v>17017</v>
      </c>
      <c r="E37" t="s">
        <v>310</v>
      </c>
    </row>
    <row r="38" spans="1:5" ht="14.25" customHeight="1" x14ac:dyDescent="0.2">
      <c r="A38" s="4" t="s">
        <v>139</v>
      </c>
      <c r="B38" s="7">
        <v>14323</v>
      </c>
      <c r="C38" s="15">
        <v>1</v>
      </c>
      <c r="D38" s="16">
        <f t="shared" si="1"/>
        <v>14323</v>
      </c>
      <c r="E38" t="s">
        <v>311</v>
      </c>
    </row>
    <row r="39" spans="1:5" ht="14.25" customHeight="1" x14ac:dyDescent="0.2">
      <c r="A39" s="4" t="s">
        <v>141</v>
      </c>
      <c r="B39" s="7"/>
      <c r="C39" s="15">
        <v>1</v>
      </c>
      <c r="D39" s="16">
        <f t="shared" si="1"/>
        <v>0</v>
      </c>
    </row>
    <row r="40" spans="1:5" ht="14.25" customHeight="1" x14ac:dyDescent="0.2">
      <c r="A40" s="4" t="s">
        <v>143</v>
      </c>
      <c r="B40" s="7"/>
      <c r="C40" s="15">
        <v>1</v>
      </c>
      <c r="D40" s="16">
        <f t="shared" si="1"/>
        <v>0</v>
      </c>
    </row>
    <row r="41" spans="1:5" ht="14.25" customHeight="1" x14ac:dyDescent="0.2">
      <c r="A41" s="4" t="s">
        <v>144</v>
      </c>
      <c r="B41" s="7"/>
      <c r="C41" s="15">
        <v>0.5</v>
      </c>
      <c r="D41" s="16">
        <f t="shared" si="1"/>
        <v>0</v>
      </c>
    </row>
    <row r="42" spans="1:5" ht="14.25" customHeight="1" x14ac:dyDescent="0.2">
      <c r="A42" s="4" t="s">
        <v>312</v>
      </c>
      <c r="B42" s="7">
        <v>3461.86</v>
      </c>
      <c r="C42" s="15">
        <v>1</v>
      </c>
      <c r="D42" s="16">
        <f t="shared" si="1"/>
        <v>3461.86</v>
      </c>
      <c r="E42" t="s">
        <v>313</v>
      </c>
    </row>
    <row r="43" spans="1:5" ht="14.25" customHeight="1" x14ac:dyDescent="0.2">
      <c r="A43" s="4" t="s">
        <v>289</v>
      </c>
      <c r="B43" s="7">
        <v>0</v>
      </c>
      <c r="C43" s="15">
        <v>1</v>
      </c>
      <c r="D43" s="16">
        <f>B43*C43</f>
        <v>0</v>
      </c>
      <c r="E43" t="s">
        <v>314</v>
      </c>
    </row>
    <row r="44" spans="1:5" ht="14.25" customHeight="1" x14ac:dyDescent="0.25">
      <c r="A44" s="8" t="s">
        <v>315</v>
      </c>
      <c r="B44" s="9"/>
      <c r="C44" s="22"/>
      <c r="D44" s="22">
        <f>SUM(D34:D43)</f>
        <v>34801.86</v>
      </c>
    </row>
    <row r="45" spans="1:5" ht="14.25" customHeight="1" x14ac:dyDescent="0.2"/>
    <row r="46" spans="1:5" ht="14.25" customHeight="1" x14ac:dyDescent="0.2">
      <c r="A46" t="s">
        <v>316</v>
      </c>
    </row>
    <row r="47" spans="1:5" ht="14.25" customHeight="1" x14ac:dyDescent="0.2"/>
    <row r="48" spans="1:5" ht="14.25" customHeight="1" x14ac:dyDescent="0.2"/>
    <row r="49" spans="1:5" ht="14.25" customHeight="1" x14ac:dyDescent="0.25">
      <c r="A49" s="1" t="s">
        <v>350</v>
      </c>
      <c r="B49" s="3"/>
      <c r="C49" s="3"/>
      <c r="D49" s="3"/>
    </row>
    <row r="50" spans="1:5" ht="14.25" customHeight="1" x14ac:dyDescent="0.2">
      <c r="A50" s="4" t="s">
        <v>110</v>
      </c>
      <c r="B50" s="4"/>
      <c r="C50" s="4"/>
      <c r="D50" s="4"/>
    </row>
    <row r="51" spans="1:5" ht="14.25" customHeight="1" x14ac:dyDescent="0.2">
      <c r="A51" s="4"/>
      <c r="B51" s="4"/>
      <c r="C51" s="4"/>
      <c r="D51" s="4"/>
    </row>
    <row r="52" spans="1:5" ht="14.25" customHeight="1" x14ac:dyDescent="0.25">
      <c r="A52" s="6" t="s">
        <v>114</v>
      </c>
      <c r="B52" s="6" t="s">
        <v>115</v>
      </c>
      <c r="C52" s="6" t="s">
        <v>117</v>
      </c>
      <c r="D52" s="6" t="s">
        <v>118</v>
      </c>
    </row>
    <row r="53" spans="1:5" ht="14.25" customHeight="1" x14ac:dyDescent="0.2">
      <c r="A53" s="4" t="s">
        <v>119</v>
      </c>
      <c r="B53" s="7"/>
      <c r="C53" s="15">
        <v>0.5</v>
      </c>
      <c r="D53" s="16">
        <f t="shared" ref="D53:D61" si="2">B53*C53</f>
        <v>0</v>
      </c>
    </row>
    <row r="54" spans="1:5" ht="14.25" customHeight="1" x14ac:dyDescent="0.2">
      <c r="A54" s="4" t="s">
        <v>127</v>
      </c>
      <c r="B54" s="7">
        <v>1357</v>
      </c>
      <c r="C54" s="15">
        <v>1</v>
      </c>
      <c r="D54" s="16">
        <f t="shared" si="2"/>
        <v>1357</v>
      </c>
      <c r="E54" t="s">
        <v>351</v>
      </c>
    </row>
    <row r="55" spans="1:5" ht="14.25" customHeight="1" x14ac:dyDescent="0.2">
      <c r="A55" s="4" t="s">
        <v>130</v>
      </c>
      <c r="B55" s="7">
        <v>3540</v>
      </c>
      <c r="C55" s="15">
        <v>0.5</v>
      </c>
      <c r="D55" s="16">
        <f t="shared" si="2"/>
        <v>1770</v>
      </c>
      <c r="E55" t="s">
        <v>352</v>
      </c>
    </row>
    <row r="56" spans="1:5" ht="14.25" customHeight="1" x14ac:dyDescent="0.2">
      <c r="A56" s="4" t="s">
        <v>133</v>
      </c>
      <c r="B56" s="7"/>
      <c r="C56" s="15">
        <v>1</v>
      </c>
      <c r="D56" s="16">
        <f t="shared" si="2"/>
        <v>0</v>
      </c>
    </row>
    <row r="57" spans="1:5" ht="14.25" customHeight="1" x14ac:dyDescent="0.2">
      <c r="A57" s="4" t="s">
        <v>139</v>
      </c>
      <c r="B57" s="7"/>
      <c r="C57" s="15">
        <v>1</v>
      </c>
      <c r="D57" s="16">
        <f t="shared" si="2"/>
        <v>0</v>
      </c>
    </row>
    <row r="58" spans="1:5" ht="14.25" customHeight="1" x14ac:dyDescent="0.2">
      <c r="A58" s="4" t="s">
        <v>141</v>
      </c>
      <c r="B58" s="7"/>
      <c r="C58" s="15">
        <v>1</v>
      </c>
      <c r="D58" s="16">
        <f t="shared" si="2"/>
        <v>0</v>
      </c>
    </row>
    <row r="59" spans="1:5" ht="14.25" customHeight="1" x14ac:dyDescent="0.2">
      <c r="A59" s="4" t="s">
        <v>143</v>
      </c>
      <c r="B59" s="7"/>
      <c r="C59" s="15">
        <v>1</v>
      </c>
      <c r="D59" s="16">
        <f t="shared" si="2"/>
        <v>0</v>
      </c>
    </row>
    <row r="60" spans="1:5" ht="14.25" customHeight="1" x14ac:dyDescent="0.2">
      <c r="A60" s="4" t="s">
        <v>144</v>
      </c>
      <c r="B60" s="7"/>
      <c r="C60" s="15">
        <v>0.5</v>
      </c>
      <c r="D60" s="16">
        <f t="shared" si="2"/>
        <v>0</v>
      </c>
    </row>
    <row r="61" spans="1:5" ht="14.25" customHeight="1" x14ac:dyDescent="0.2">
      <c r="A61" s="4" t="s">
        <v>353</v>
      </c>
      <c r="B61" s="7">
        <v>0</v>
      </c>
      <c r="C61" s="15">
        <v>1</v>
      </c>
      <c r="D61" s="16">
        <f t="shared" si="2"/>
        <v>0</v>
      </c>
    </row>
    <row r="62" spans="1:5" ht="14.25" customHeight="1" x14ac:dyDescent="0.2">
      <c r="A62" s="4" t="s">
        <v>289</v>
      </c>
      <c r="B62" s="7">
        <v>0</v>
      </c>
      <c r="C62" s="15">
        <v>1</v>
      </c>
      <c r="D62" s="16">
        <f>B62*C62</f>
        <v>0</v>
      </c>
      <c r="E62" t="s">
        <v>314</v>
      </c>
    </row>
    <row r="63" spans="1:5" ht="14.25" customHeight="1" x14ac:dyDescent="0.25">
      <c r="A63" s="8" t="s">
        <v>354</v>
      </c>
      <c r="B63" s="9"/>
      <c r="C63" s="22"/>
      <c r="D63" s="22">
        <f>SUM(D53:D62)</f>
        <v>3127</v>
      </c>
    </row>
    <row r="64" spans="1:5" ht="14.25" customHeight="1" x14ac:dyDescent="0.2"/>
    <row r="65" spans="1:1" ht="14.25" customHeight="1" x14ac:dyDescent="0.2">
      <c r="A65" t="s">
        <v>355</v>
      </c>
    </row>
    <row r="66" spans="1:1" ht="14.25" customHeight="1" x14ac:dyDescent="0.2"/>
    <row r="67" spans="1:1" ht="14.25" customHeight="1" x14ac:dyDescent="0.2"/>
    <row r="68" spans="1:1" ht="14.25" customHeight="1" x14ac:dyDescent="0.2"/>
    <row r="69" spans="1:1" ht="14.25" customHeight="1" x14ac:dyDescent="0.2"/>
    <row r="70" spans="1:1" ht="14.25" customHeight="1" x14ac:dyDescent="0.2"/>
    <row r="71" spans="1:1" ht="14.25" customHeight="1" x14ac:dyDescent="0.2"/>
    <row r="72" spans="1:1" ht="14.25" customHeight="1" x14ac:dyDescent="0.2"/>
    <row r="73" spans="1:1" ht="14.25" customHeight="1" x14ac:dyDescent="0.2"/>
    <row r="74" spans="1:1" ht="14.25" customHeight="1" x14ac:dyDescent="0.2"/>
    <row r="75" spans="1:1" ht="14.25" customHeight="1" x14ac:dyDescent="0.2"/>
    <row r="76" spans="1:1" ht="14.25" customHeight="1" x14ac:dyDescent="0.2"/>
    <row r="77" spans="1:1" ht="14.25" customHeight="1" x14ac:dyDescent="0.2"/>
    <row r="78" spans="1:1" ht="14.25" customHeight="1" x14ac:dyDescent="0.2"/>
    <row r="79" spans="1:1" ht="14.25" customHeight="1" x14ac:dyDescent="0.2"/>
    <row r="80" spans="1:1"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sheetData>
  <pageMargins left="0.7" right="0.7" top="0.75" bottom="0.75" header="0" footer="0"/>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C6AC8"/>
  </sheetPr>
  <dimension ref="A1:E1009"/>
  <sheetViews>
    <sheetView showGridLines="0" rightToLeft="1" workbookViewId="0">
      <pane ySplit="4" topLeftCell="A5" activePane="bottomLeft" state="frozen"/>
      <selection pane="bottomLeft" activeCell="A9" sqref="A9:XFD9"/>
    </sheetView>
  </sheetViews>
  <sheetFormatPr defaultColWidth="12.625" defaultRowHeight="15" customHeight="1" x14ac:dyDescent="0.2"/>
  <cols>
    <col min="1" max="1" width="32.625" customWidth="1"/>
    <col min="2" max="4" width="17.625" customWidth="1"/>
    <col min="5" max="5" width="52.625" customWidth="1"/>
    <col min="6" max="6" width="9.875" customWidth="1"/>
    <col min="7" max="26" width="8.625" customWidth="1"/>
  </cols>
  <sheetData>
    <row r="1" spans="1:5" ht="14.25" customHeight="1" x14ac:dyDescent="0.25">
      <c r="A1" s="65" t="s">
        <v>245</v>
      </c>
      <c r="B1" s="66"/>
      <c r="C1" s="66"/>
      <c r="D1" s="66"/>
      <c r="E1" s="45"/>
    </row>
    <row r="2" spans="1:5" ht="14.25" customHeight="1" x14ac:dyDescent="0.2">
      <c r="A2" s="46" t="s">
        <v>303</v>
      </c>
      <c r="B2" s="46"/>
      <c r="C2" s="46"/>
      <c r="D2" s="46"/>
      <c r="E2" s="46"/>
    </row>
    <row r="3" spans="1:5" ht="14.25" customHeight="1" x14ac:dyDescent="0.2">
      <c r="A3" s="46"/>
      <c r="B3" s="46"/>
      <c r="C3" s="46"/>
      <c r="D3" s="46"/>
      <c r="E3" s="46"/>
    </row>
    <row r="4" spans="1:5" ht="14.25" customHeight="1" x14ac:dyDescent="0.25">
      <c r="A4" s="54" t="s">
        <v>5</v>
      </c>
      <c r="B4" s="54" t="s">
        <v>246</v>
      </c>
      <c r="C4" s="54" t="s">
        <v>247</v>
      </c>
      <c r="D4" s="54" t="s">
        <v>248</v>
      </c>
      <c r="E4" s="54" t="s">
        <v>14</v>
      </c>
    </row>
    <row r="5" spans="1:5" ht="14.25" customHeight="1" x14ac:dyDescent="0.2">
      <c r="A5" s="47" t="s">
        <v>84</v>
      </c>
      <c r="B5" s="48">
        <v>159300</v>
      </c>
      <c r="C5" s="48">
        <v>52488</v>
      </c>
      <c r="D5" s="48">
        <f t="shared" ref="D5:D18" si="0">B5-C5</f>
        <v>106812</v>
      </c>
      <c r="E5" s="47" t="s">
        <v>249</v>
      </c>
    </row>
    <row r="6" spans="1:5" ht="14.25" customHeight="1" x14ac:dyDescent="0.2">
      <c r="A6" s="47" t="s">
        <v>99</v>
      </c>
      <c r="B6" s="48">
        <v>21299</v>
      </c>
      <c r="C6" s="48">
        <v>4000</v>
      </c>
      <c r="D6" s="48">
        <f t="shared" si="0"/>
        <v>17299</v>
      </c>
      <c r="E6" s="47" t="s">
        <v>284</v>
      </c>
    </row>
    <row r="7" spans="1:5" ht="14.25" customHeight="1" x14ac:dyDescent="0.2">
      <c r="A7" s="47" t="s">
        <v>250</v>
      </c>
      <c r="B7" s="48">
        <v>1504.8</v>
      </c>
      <c r="C7" s="48">
        <v>0</v>
      </c>
      <c r="D7" s="48">
        <f t="shared" si="0"/>
        <v>1504.8</v>
      </c>
      <c r="E7" s="47"/>
    </row>
    <row r="8" spans="1:5" ht="14.25" customHeight="1" x14ac:dyDescent="0.2">
      <c r="A8" s="78" t="s">
        <v>292</v>
      </c>
      <c r="B8" s="79">
        <v>286847</v>
      </c>
      <c r="C8" s="79">
        <v>0</v>
      </c>
      <c r="D8" s="79">
        <f t="shared" si="0"/>
        <v>286847</v>
      </c>
      <c r="E8" s="47"/>
    </row>
    <row r="9" spans="1:5" ht="14.25" customHeight="1" x14ac:dyDescent="0.2">
      <c r="A9" s="78" t="s">
        <v>293</v>
      </c>
      <c r="B9" s="79">
        <v>248597</v>
      </c>
      <c r="C9" s="79">
        <v>0</v>
      </c>
      <c r="D9" s="79">
        <f t="shared" si="0"/>
        <v>248597</v>
      </c>
      <c r="E9" s="47"/>
    </row>
    <row r="10" spans="1:5" ht="14.25" customHeight="1" x14ac:dyDescent="0.2">
      <c r="A10" s="78" t="s">
        <v>294</v>
      </c>
      <c r="B10" s="79">
        <v>129446</v>
      </c>
      <c r="C10" s="79">
        <v>0</v>
      </c>
      <c r="D10" s="79">
        <f t="shared" si="0"/>
        <v>129446</v>
      </c>
      <c r="E10" s="47"/>
    </row>
    <row r="11" spans="1:5" ht="14.25" customHeight="1" x14ac:dyDescent="0.2">
      <c r="A11" s="78" t="s">
        <v>295</v>
      </c>
      <c r="B11" s="79">
        <v>113425</v>
      </c>
      <c r="C11" s="79">
        <v>0</v>
      </c>
      <c r="D11" s="79">
        <f t="shared" si="0"/>
        <v>113425</v>
      </c>
      <c r="E11" s="47"/>
    </row>
    <row r="12" spans="1:5" ht="14.25" customHeight="1" x14ac:dyDescent="0.2">
      <c r="A12" s="78" t="s">
        <v>296</v>
      </c>
      <c r="B12" s="79">
        <v>98230</v>
      </c>
      <c r="C12" s="79">
        <v>0</v>
      </c>
      <c r="D12" s="79">
        <f t="shared" si="0"/>
        <v>98230</v>
      </c>
      <c r="E12" s="47"/>
    </row>
    <row r="13" spans="1:5" ht="14.25" customHeight="1" x14ac:dyDescent="0.2">
      <c r="A13" s="78" t="s">
        <v>297</v>
      </c>
      <c r="B13" s="79">
        <v>91496</v>
      </c>
      <c r="C13" s="79">
        <v>0</v>
      </c>
      <c r="D13" s="79">
        <f t="shared" si="0"/>
        <v>91496</v>
      </c>
      <c r="E13" s="47"/>
    </row>
    <row r="14" spans="1:5" ht="14.25" customHeight="1" x14ac:dyDescent="0.2">
      <c r="A14" s="78" t="s">
        <v>298</v>
      </c>
      <c r="B14" s="79">
        <v>48156.3</v>
      </c>
      <c r="C14" s="79">
        <v>0</v>
      </c>
      <c r="D14" s="79">
        <f t="shared" si="0"/>
        <v>48156.3</v>
      </c>
      <c r="E14" s="47"/>
    </row>
    <row r="15" spans="1:5" ht="14.25" customHeight="1" x14ac:dyDescent="0.2">
      <c r="A15" s="78" t="s">
        <v>299</v>
      </c>
      <c r="B15" s="79">
        <v>42772.639999999999</v>
      </c>
      <c r="C15" s="79">
        <v>0</v>
      </c>
      <c r="D15" s="79">
        <f t="shared" si="0"/>
        <v>42772.639999999999</v>
      </c>
      <c r="E15" s="47"/>
    </row>
    <row r="16" spans="1:5" ht="14.25" customHeight="1" x14ac:dyDescent="0.2">
      <c r="A16" s="78" t="s">
        <v>300</v>
      </c>
      <c r="B16" s="79">
        <v>23069</v>
      </c>
      <c r="C16" s="79">
        <v>0</v>
      </c>
      <c r="D16" s="79">
        <f t="shared" si="0"/>
        <v>23069</v>
      </c>
      <c r="E16" s="47"/>
    </row>
    <row r="17" spans="1:5" ht="14.25" customHeight="1" x14ac:dyDescent="0.2">
      <c r="A17" s="78" t="s">
        <v>301</v>
      </c>
      <c r="B17" s="79">
        <v>18990</v>
      </c>
      <c r="C17" s="79">
        <v>0</v>
      </c>
      <c r="D17" s="79">
        <f t="shared" si="0"/>
        <v>18990</v>
      </c>
      <c r="E17" s="47"/>
    </row>
    <row r="18" spans="1:5" ht="14.25" customHeight="1" x14ac:dyDescent="0.2">
      <c r="A18" s="78" t="s">
        <v>302</v>
      </c>
      <c r="B18" s="79">
        <v>12675</v>
      </c>
      <c r="C18" s="79">
        <v>0</v>
      </c>
      <c r="D18" s="79">
        <f t="shared" si="0"/>
        <v>12675</v>
      </c>
      <c r="E18" s="47"/>
    </row>
    <row r="19" spans="1:5" ht="14.25" customHeight="1" x14ac:dyDescent="0.25">
      <c r="A19" s="49" t="s">
        <v>251</v>
      </c>
      <c r="B19" s="50">
        <f>SUM(B5:B18)</f>
        <v>1295807.74</v>
      </c>
      <c r="C19" s="50">
        <f>SUM(C5:C18)</f>
        <v>56488</v>
      </c>
      <c r="D19" s="50">
        <f>SUM(D5:D18)</f>
        <v>1239319.74</v>
      </c>
      <c r="E19" s="49"/>
    </row>
    <row r="20" spans="1:5" ht="14.25" customHeight="1" x14ac:dyDescent="0.2">
      <c r="A20" s="46"/>
      <c r="B20" s="46"/>
      <c r="C20" s="46"/>
      <c r="D20" s="46"/>
      <c r="E20" s="46"/>
    </row>
    <row r="21" spans="1:5" ht="14.25" customHeight="1" x14ac:dyDescent="0.2">
      <c r="A21" s="46"/>
      <c r="B21" s="46"/>
      <c r="C21" s="46"/>
      <c r="D21" s="46"/>
      <c r="E21" s="46"/>
    </row>
    <row r="22" spans="1:5" ht="14.25" customHeight="1" x14ac:dyDescent="0.2">
      <c r="A22" s="46"/>
      <c r="B22" s="46"/>
      <c r="C22" s="46"/>
      <c r="D22" s="46"/>
      <c r="E22" s="46"/>
    </row>
    <row r="23" spans="1:5" ht="14.25" customHeight="1" x14ac:dyDescent="0.2">
      <c r="A23" s="46"/>
      <c r="B23" s="46"/>
      <c r="C23" s="46"/>
      <c r="D23" s="46"/>
      <c r="E23" s="46"/>
    </row>
    <row r="24" spans="1:5" ht="14.25" customHeight="1" x14ac:dyDescent="0.2">
      <c r="A24" s="46"/>
      <c r="B24" s="46"/>
      <c r="C24" s="46"/>
      <c r="D24" s="46"/>
      <c r="E24" s="46"/>
    </row>
    <row r="25" spans="1:5" ht="14.25" customHeight="1" x14ac:dyDescent="0.2">
      <c r="A25" s="46"/>
      <c r="B25" s="46"/>
      <c r="C25" s="46"/>
      <c r="D25" s="46"/>
      <c r="E25" s="46"/>
    </row>
    <row r="26" spans="1:5" ht="14.25" customHeight="1" x14ac:dyDescent="0.2">
      <c r="A26" s="46"/>
      <c r="B26" s="46"/>
      <c r="C26" s="46"/>
      <c r="D26" s="46"/>
      <c r="E26" s="46"/>
    </row>
    <row r="27" spans="1:5" ht="14.25" customHeight="1" x14ac:dyDescent="0.2">
      <c r="A27" s="46"/>
      <c r="B27" s="46"/>
      <c r="C27" s="46"/>
      <c r="D27" s="46"/>
      <c r="E27" s="46"/>
    </row>
    <row r="28" spans="1:5" ht="14.25" customHeight="1" x14ac:dyDescent="0.2">
      <c r="A28" s="46"/>
      <c r="B28" s="46"/>
      <c r="C28" s="46"/>
      <c r="D28" s="46"/>
      <c r="E28" s="46"/>
    </row>
    <row r="29" spans="1:5" ht="14.25" customHeight="1" x14ac:dyDescent="0.2">
      <c r="A29" s="46"/>
      <c r="B29" s="46"/>
      <c r="C29" s="46"/>
      <c r="D29" s="46"/>
      <c r="E29" s="46"/>
    </row>
    <row r="30" spans="1:5" ht="14.25" customHeight="1" x14ac:dyDescent="0.2">
      <c r="A30" s="46"/>
      <c r="B30" s="46"/>
      <c r="C30" s="46"/>
      <c r="D30" s="46"/>
      <c r="E30" s="46"/>
    </row>
    <row r="31" spans="1:5" ht="14.25" customHeight="1" x14ac:dyDescent="0.2">
      <c r="A31" s="46"/>
      <c r="B31" s="46"/>
      <c r="C31" s="46"/>
      <c r="D31" s="46"/>
      <c r="E31" s="46"/>
    </row>
    <row r="32" spans="1:5" ht="14.25" customHeight="1" x14ac:dyDescent="0.2">
      <c r="A32" s="46"/>
      <c r="B32" s="46"/>
      <c r="C32" s="46"/>
      <c r="D32" s="46"/>
      <c r="E32" s="46"/>
    </row>
    <row r="33" spans="1:5" ht="14.25" customHeight="1" x14ac:dyDescent="0.2">
      <c r="A33" s="46"/>
      <c r="B33" s="46"/>
      <c r="C33" s="46"/>
      <c r="D33" s="46"/>
      <c r="E33" s="46"/>
    </row>
    <row r="34" spans="1:5" ht="14.25" customHeight="1" x14ac:dyDescent="0.2">
      <c r="A34" s="46"/>
      <c r="B34" s="46"/>
      <c r="C34" s="46"/>
      <c r="D34" s="46"/>
      <c r="E34" s="46"/>
    </row>
    <row r="35" spans="1:5" ht="14.25" customHeight="1" x14ac:dyDescent="0.2">
      <c r="A35" s="46"/>
      <c r="B35" s="46"/>
      <c r="C35" s="46"/>
      <c r="D35" s="46"/>
      <c r="E35" s="46"/>
    </row>
    <row r="36" spans="1:5" ht="14.25" customHeight="1" x14ac:dyDescent="0.2">
      <c r="A36" s="46"/>
      <c r="B36" s="46"/>
      <c r="C36" s="46"/>
      <c r="D36" s="46"/>
      <c r="E36" s="46"/>
    </row>
    <row r="37" spans="1:5" ht="14.25" customHeight="1" x14ac:dyDescent="0.2">
      <c r="A37" s="46"/>
      <c r="B37" s="46"/>
      <c r="C37" s="46"/>
      <c r="D37" s="46"/>
      <c r="E37" s="46"/>
    </row>
    <row r="38" spans="1:5" ht="14.25" customHeight="1" x14ac:dyDescent="0.2">
      <c r="A38" s="46"/>
      <c r="B38" s="46"/>
      <c r="C38" s="46"/>
      <c r="D38" s="46"/>
      <c r="E38" s="46"/>
    </row>
    <row r="39" spans="1:5" ht="14.25" customHeight="1" x14ac:dyDescent="0.2">
      <c r="A39" s="46"/>
      <c r="B39" s="46"/>
      <c r="C39" s="46"/>
      <c r="D39" s="46"/>
      <c r="E39" s="46"/>
    </row>
    <row r="40" spans="1:5" ht="14.25" customHeight="1" x14ac:dyDescent="0.2">
      <c r="A40" s="46"/>
      <c r="B40" s="46"/>
      <c r="C40" s="46"/>
      <c r="D40" s="46"/>
      <c r="E40" s="46"/>
    </row>
    <row r="41" spans="1:5" ht="14.25" customHeight="1" x14ac:dyDescent="0.2">
      <c r="A41" s="46"/>
      <c r="B41" s="46"/>
      <c r="C41" s="46"/>
      <c r="D41" s="46"/>
      <c r="E41" s="46"/>
    </row>
    <row r="42" spans="1:5" ht="14.25" customHeight="1" x14ac:dyDescent="0.2">
      <c r="A42" s="46"/>
      <c r="B42" s="46"/>
      <c r="C42" s="46"/>
      <c r="D42" s="46"/>
      <c r="E42" s="46"/>
    </row>
    <row r="43" spans="1:5" ht="14.25" customHeight="1" x14ac:dyDescent="0.2">
      <c r="A43" s="46"/>
      <c r="B43" s="46"/>
      <c r="C43" s="46"/>
      <c r="D43" s="46"/>
      <c r="E43" s="46"/>
    </row>
    <row r="44" spans="1:5" ht="14.25" customHeight="1" x14ac:dyDescent="0.2">
      <c r="A44" s="46"/>
      <c r="B44" s="46"/>
      <c r="C44" s="46"/>
      <c r="D44" s="46"/>
      <c r="E44" s="46"/>
    </row>
    <row r="45" spans="1:5" ht="14.25" customHeight="1" x14ac:dyDescent="0.2">
      <c r="A45" s="46"/>
      <c r="B45" s="46"/>
      <c r="C45" s="46"/>
      <c r="D45" s="46"/>
      <c r="E45" s="46"/>
    </row>
    <row r="46" spans="1:5" ht="14.25" customHeight="1" x14ac:dyDescent="0.2">
      <c r="A46" s="46"/>
      <c r="B46" s="46"/>
      <c r="C46" s="46"/>
      <c r="D46" s="46"/>
      <c r="E46" s="46"/>
    </row>
    <row r="47" spans="1:5" ht="14.25" customHeight="1" x14ac:dyDescent="0.2">
      <c r="A47" s="46"/>
      <c r="B47" s="46"/>
      <c r="C47" s="46"/>
      <c r="D47" s="46"/>
      <c r="E47" s="46"/>
    </row>
    <row r="48" spans="1:5" ht="14.25" customHeight="1" x14ac:dyDescent="0.2">
      <c r="A48" s="46"/>
      <c r="B48" s="46"/>
      <c r="C48" s="46"/>
      <c r="D48" s="46"/>
      <c r="E48" s="46"/>
    </row>
    <row r="49" spans="1:5" ht="14.25" customHeight="1" x14ac:dyDescent="0.2">
      <c r="A49" s="46"/>
      <c r="B49" s="46"/>
      <c r="C49" s="46"/>
      <c r="D49" s="46"/>
      <c r="E49" s="46"/>
    </row>
    <row r="50" spans="1:5" ht="14.25" customHeight="1" x14ac:dyDescent="0.2">
      <c r="A50" s="46"/>
      <c r="B50" s="46"/>
      <c r="C50" s="46"/>
      <c r="D50" s="46"/>
      <c r="E50" s="46"/>
    </row>
    <row r="51" spans="1:5" ht="14.25" customHeight="1" x14ac:dyDescent="0.2">
      <c r="A51" s="46"/>
      <c r="B51" s="46"/>
      <c r="C51" s="46"/>
      <c r="D51" s="46"/>
      <c r="E51" s="46"/>
    </row>
    <row r="52" spans="1:5" ht="14.25" customHeight="1" x14ac:dyDescent="0.2">
      <c r="A52" s="46"/>
      <c r="B52" s="46"/>
      <c r="C52" s="46"/>
      <c r="D52" s="46"/>
      <c r="E52" s="46"/>
    </row>
    <row r="53" spans="1:5" ht="14.25" customHeight="1" x14ac:dyDescent="0.2">
      <c r="A53" s="46"/>
      <c r="B53" s="46"/>
      <c r="C53" s="46"/>
      <c r="D53" s="46"/>
      <c r="E53" s="46"/>
    </row>
    <row r="54" spans="1:5" ht="14.25" customHeight="1" x14ac:dyDescent="0.2">
      <c r="A54" s="46"/>
      <c r="B54" s="46"/>
      <c r="C54" s="46"/>
      <c r="D54" s="46"/>
      <c r="E54" s="46"/>
    </row>
    <row r="55" spans="1:5" ht="14.25" customHeight="1" x14ac:dyDescent="0.2">
      <c r="A55" s="46"/>
      <c r="B55" s="46"/>
      <c r="C55" s="46"/>
      <c r="D55" s="46"/>
      <c r="E55" s="46"/>
    </row>
    <row r="56" spans="1:5" ht="14.25" customHeight="1" x14ac:dyDescent="0.2">
      <c r="A56" s="46"/>
      <c r="B56" s="46"/>
      <c r="C56" s="46"/>
      <c r="D56" s="46"/>
      <c r="E56" s="46"/>
    </row>
    <row r="57" spans="1:5" ht="14.25" customHeight="1" x14ac:dyDescent="0.2">
      <c r="A57" s="46"/>
      <c r="B57" s="46"/>
      <c r="C57" s="46"/>
      <c r="D57" s="46"/>
      <c r="E57" s="46"/>
    </row>
    <row r="58" spans="1:5" ht="14.25" customHeight="1" x14ac:dyDescent="0.2">
      <c r="A58" s="46"/>
      <c r="B58" s="46"/>
      <c r="C58" s="46"/>
      <c r="D58" s="46"/>
      <c r="E58" s="46"/>
    </row>
    <row r="59" spans="1:5" ht="14.25" customHeight="1" x14ac:dyDescent="0.2">
      <c r="A59" s="46"/>
      <c r="B59" s="46"/>
      <c r="C59" s="46"/>
      <c r="D59" s="46"/>
      <c r="E59" s="46"/>
    </row>
    <row r="60" spans="1:5" ht="14.25" customHeight="1" x14ac:dyDescent="0.2">
      <c r="A60" s="46"/>
      <c r="B60" s="46"/>
      <c r="C60" s="46"/>
      <c r="D60" s="46"/>
      <c r="E60" s="46"/>
    </row>
    <row r="61" spans="1:5" ht="14.25" customHeight="1" x14ac:dyDescent="0.2">
      <c r="A61" s="46"/>
      <c r="B61" s="46"/>
      <c r="C61" s="46"/>
      <c r="D61" s="46"/>
      <c r="E61" s="46"/>
    </row>
    <row r="62" spans="1:5" ht="14.25" customHeight="1" x14ac:dyDescent="0.2">
      <c r="A62" s="46"/>
      <c r="B62" s="46"/>
      <c r="C62" s="46"/>
      <c r="D62" s="46"/>
      <c r="E62" s="46"/>
    </row>
    <row r="63" spans="1:5" ht="14.25" customHeight="1" x14ac:dyDescent="0.2">
      <c r="A63" s="46"/>
      <c r="B63" s="46"/>
      <c r="C63" s="46"/>
      <c r="D63" s="46"/>
      <c r="E63" s="46"/>
    </row>
    <row r="64" spans="1:5" ht="14.25" customHeight="1" x14ac:dyDescent="0.2">
      <c r="A64" s="46"/>
      <c r="B64" s="46"/>
      <c r="C64" s="46"/>
      <c r="D64" s="46"/>
      <c r="E64" s="46"/>
    </row>
    <row r="65" spans="1:5" ht="14.25" customHeight="1" x14ac:dyDescent="0.2">
      <c r="A65" s="46"/>
      <c r="B65" s="46"/>
      <c r="C65" s="46"/>
      <c r="D65" s="46"/>
      <c r="E65" s="46"/>
    </row>
    <row r="66" spans="1:5" ht="14.25" customHeight="1" x14ac:dyDescent="0.2">
      <c r="A66" s="46"/>
      <c r="B66" s="46"/>
      <c r="C66" s="46"/>
      <c r="D66" s="46"/>
      <c r="E66" s="46"/>
    </row>
    <row r="67" spans="1:5" ht="14.25" customHeight="1" x14ac:dyDescent="0.2">
      <c r="A67" s="46"/>
      <c r="B67" s="46"/>
      <c r="C67" s="46"/>
      <c r="D67" s="46"/>
      <c r="E67" s="46"/>
    </row>
    <row r="68" spans="1:5" ht="14.25" customHeight="1" x14ac:dyDescent="0.2">
      <c r="A68" s="46"/>
      <c r="B68" s="46"/>
      <c r="C68" s="46"/>
      <c r="D68" s="46"/>
      <c r="E68" s="46"/>
    </row>
    <row r="69" spans="1:5" ht="14.25" customHeight="1" x14ac:dyDescent="0.2">
      <c r="A69" s="46"/>
      <c r="B69" s="46"/>
      <c r="C69" s="46"/>
      <c r="D69" s="46"/>
      <c r="E69" s="46"/>
    </row>
    <row r="70" spans="1:5" ht="14.25" customHeight="1" x14ac:dyDescent="0.2">
      <c r="A70" s="46"/>
      <c r="B70" s="46"/>
      <c r="C70" s="46"/>
      <c r="D70" s="46"/>
      <c r="E70" s="46"/>
    </row>
    <row r="71" spans="1:5" ht="14.25" customHeight="1" x14ac:dyDescent="0.2">
      <c r="A71" s="46"/>
      <c r="B71" s="46"/>
      <c r="C71" s="46"/>
      <c r="D71" s="46"/>
      <c r="E71" s="46"/>
    </row>
    <row r="72" spans="1:5" ht="14.25" customHeight="1" x14ac:dyDescent="0.2">
      <c r="A72" s="46"/>
      <c r="B72" s="46"/>
      <c r="C72" s="46"/>
      <c r="D72" s="46"/>
      <c r="E72" s="46"/>
    </row>
    <row r="73" spans="1:5" ht="14.25" customHeight="1" x14ac:dyDescent="0.2">
      <c r="A73" s="46"/>
      <c r="B73" s="46"/>
      <c r="C73" s="46"/>
      <c r="D73" s="46"/>
      <c r="E73" s="46"/>
    </row>
    <row r="74" spans="1:5" ht="14.25" customHeight="1" x14ac:dyDescent="0.2">
      <c r="A74" s="46"/>
      <c r="B74" s="46"/>
      <c r="C74" s="46"/>
      <c r="D74" s="46"/>
      <c r="E74" s="46"/>
    </row>
    <row r="75" spans="1:5" ht="14.25" customHeight="1" x14ac:dyDescent="0.2">
      <c r="A75" s="46"/>
      <c r="B75" s="46"/>
      <c r="C75" s="46"/>
      <c r="D75" s="46"/>
      <c r="E75" s="46"/>
    </row>
    <row r="76" spans="1:5" ht="14.25" customHeight="1" x14ac:dyDescent="0.2">
      <c r="A76" s="46"/>
      <c r="B76" s="46"/>
      <c r="C76" s="46"/>
      <c r="D76" s="46"/>
      <c r="E76" s="46"/>
    </row>
    <row r="77" spans="1:5" ht="14.25" customHeight="1" x14ac:dyDescent="0.2">
      <c r="A77" s="46"/>
      <c r="B77" s="46"/>
      <c r="C77" s="46"/>
      <c r="D77" s="46"/>
      <c r="E77" s="46"/>
    </row>
    <row r="78" spans="1:5" ht="14.25" customHeight="1" x14ac:dyDescent="0.2">
      <c r="A78" s="46"/>
      <c r="B78" s="46"/>
      <c r="C78" s="46"/>
      <c r="D78" s="46"/>
      <c r="E78" s="46"/>
    </row>
    <row r="79" spans="1:5" ht="14.25" customHeight="1" x14ac:dyDescent="0.2">
      <c r="A79" s="46"/>
      <c r="B79" s="46"/>
      <c r="C79" s="46"/>
      <c r="D79" s="46"/>
      <c r="E79" s="46"/>
    </row>
    <row r="80" spans="1:5" ht="14.25" customHeight="1" x14ac:dyDescent="0.2">
      <c r="A80" s="46"/>
      <c r="B80" s="46"/>
      <c r="C80" s="46"/>
      <c r="D80" s="46"/>
      <c r="E80" s="46"/>
    </row>
    <row r="81" spans="1:5" ht="14.25" customHeight="1" x14ac:dyDescent="0.2">
      <c r="A81" s="46"/>
      <c r="B81" s="46"/>
      <c r="C81" s="46"/>
      <c r="D81" s="46"/>
      <c r="E81" s="46"/>
    </row>
    <row r="82" spans="1:5" ht="14.25" customHeight="1" x14ac:dyDescent="0.2">
      <c r="A82" s="46"/>
      <c r="B82" s="46"/>
      <c r="C82" s="46"/>
      <c r="D82" s="46"/>
      <c r="E82" s="46"/>
    </row>
    <row r="83" spans="1:5" ht="14.25" customHeight="1" x14ac:dyDescent="0.2">
      <c r="A83" s="46"/>
      <c r="B83" s="46"/>
      <c r="C83" s="46"/>
      <c r="D83" s="46"/>
      <c r="E83" s="46"/>
    </row>
    <row r="84" spans="1:5" ht="14.25" customHeight="1" x14ac:dyDescent="0.2">
      <c r="A84" s="46"/>
      <c r="B84" s="46"/>
      <c r="C84" s="46"/>
      <c r="D84" s="46"/>
      <c r="E84" s="46"/>
    </row>
    <row r="85" spans="1:5" ht="14.25" customHeight="1" x14ac:dyDescent="0.2">
      <c r="A85" s="46"/>
      <c r="B85" s="46"/>
      <c r="C85" s="46"/>
      <c r="D85" s="46"/>
      <c r="E85" s="46"/>
    </row>
    <row r="86" spans="1:5" ht="14.25" customHeight="1" x14ac:dyDescent="0.2">
      <c r="A86" s="46"/>
      <c r="B86" s="46"/>
      <c r="C86" s="46"/>
      <c r="D86" s="46"/>
      <c r="E86" s="46"/>
    </row>
    <row r="87" spans="1:5" ht="14.25" customHeight="1" x14ac:dyDescent="0.2">
      <c r="A87" s="46"/>
      <c r="B87" s="46"/>
      <c r="C87" s="46"/>
      <c r="D87" s="46"/>
      <c r="E87" s="46"/>
    </row>
    <row r="88" spans="1:5" ht="14.25" customHeight="1" x14ac:dyDescent="0.2">
      <c r="A88" s="46"/>
      <c r="B88" s="46"/>
      <c r="C88" s="46"/>
      <c r="D88" s="46"/>
      <c r="E88" s="46"/>
    </row>
    <row r="89" spans="1:5" ht="14.25" customHeight="1" x14ac:dyDescent="0.2">
      <c r="A89" s="46"/>
      <c r="B89" s="46"/>
      <c r="C89" s="46"/>
      <c r="D89" s="46"/>
      <c r="E89" s="46"/>
    </row>
    <row r="90" spans="1:5" ht="14.25" customHeight="1" x14ac:dyDescent="0.2">
      <c r="A90" s="46"/>
      <c r="B90" s="46"/>
      <c r="C90" s="46"/>
      <c r="D90" s="46"/>
      <c r="E90" s="46"/>
    </row>
    <row r="91" spans="1:5" ht="14.25" customHeight="1" x14ac:dyDescent="0.2">
      <c r="A91" s="46"/>
      <c r="B91" s="46"/>
      <c r="C91" s="46"/>
      <c r="D91" s="46"/>
      <c r="E91" s="46"/>
    </row>
    <row r="92" spans="1:5" ht="14.25" customHeight="1" x14ac:dyDescent="0.2">
      <c r="A92" s="46"/>
      <c r="B92" s="46"/>
      <c r="C92" s="46"/>
      <c r="D92" s="46"/>
      <c r="E92" s="46"/>
    </row>
    <row r="93" spans="1:5" ht="14.25" customHeight="1" x14ac:dyDescent="0.2">
      <c r="A93" s="46"/>
      <c r="B93" s="46"/>
      <c r="C93" s="46"/>
      <c r="D93" s="46"/>
      <c r="E93" s="46"/>
    </row>
    <row r="94" spans="1:5" ht="14.25" customHeight="1" x14ac:dyDescent="0.2">
      <c r="A94" s="46"/>
      <c r="B94" s="46"/>
      <c r="C94" s="46"/>
      <c r="D94" s="46"/>
      <c r="E94" s="46"/>
    </row>
    <row r="95" spans="1:5" ht="14.25" customHeight="1" x14ac:dyDescent="0.2">
      <c r="A95" s="46"/>
      <c r="B95" s="46"/>
      <c r="C95" s="46"/>
      <c r="D95" s="46"/>
      <c r="E95" s="46"/>
    </row>
    <row r="96" spans="1:5" ht="14.25" customHeight="1" x14ac:dyDescent="0.2">
      <c r="A96" s="46"/>
      <c r="B96" s="46"/>
      <c r="C96" s="46"/>
      <c r="D96" s="46"/>
      <c r="E96" s="46"/>
    </row>
    <row r="97" spans="1:5" ht="14.25" customHeight="1" x14ac:dyDescent="0.2">
      <c r="A97" s="46"/>
      <c r="B97" s="46"/>
      <c r="C97" s="46"/>
      <c r="D97" s="46"/>
      <c r="E97" s="46"/>
    </row>
    <row r="98" spans="1:5" ht="14.25" customHeight="1" x14ac:dyDescent="0.2">
      <c r="A98" s="46"/>
      <c r="B98" s="46"/>
      <c r="C98" s="46"/>
      <c r="D98" s="46"/>
      <c r="E98" s="46"/>
    </row>
    <row r="99" spans="1:5" ht="14.25" customHeight="1" x14ac:dyDescent="0.2">
      <c r="A99" s="46"/>
      <c r="B99" s="46"/>
      <c r="C99" s="46"/>
      <c r="D99" s="46"/>
      <c r="E99" s="46"/>
    </row>
    <row r="100" spans="1:5" ht="14.25" customHeight="1" x14ac:dyDescent="0.2">
      <c r="A100" s="46"/>
      <c r="B100" s="46"/>
      <c r="C100" s="46"/>
      <c r="D100" s="46"/>
      <c r="E100" s="46"/>
    </row>
    <row r="101" spans="1:5" ht="14.25" customHeight="1" x14ac:dyDescent="0.2">
      <c r="A101" s="46"/>
      <c r="B101" s="46"/>
      <c r="C101" s="46"/>
      <c r="D101" s="46"/>
      <c r="E101" s="46"/>
    </row>
    <row r="102" spans="1:5" ht="14.25" customHeight="1" x14ac:dyDescent="0.2">
      <c r="A102" s="46"/>
      <c r="B102" s="46"/>
      <c r="C102" s="46"/>
      <c r="D102" s="46"/>
      <c r="E102" s="46"/>
    </row>
    <row r="103" spans="1:5" ht="14.25" customHeight="1" x14ac:dyDescent="0.2">
      <c r="A103" s="46"/>
      <c r="B103" s="46"/>
      <c r="C103" s="46"/>
      <c r="D103" s="46"/>
      <c r="E103" s="46"/>
    </row>
    <row r="104" spans="1:5" ht="14.25" customHeight="1" x14ac:dyDescent="0.2">
      <c r="A104" s="46"/>
      <c r="B104" s="46"/>
      <c r="C104" s="46"/>
      <c r="D104" s="46"/>
      <c r="E104" s="46"/>
    </row>
    <row r="105" spans="1:5" ht="14.25" customHeight="1" x14ac:dyDescent="0.2">
      <c r="A105" s="46"/>
      <c r="B105" s="46"/>
      <c r="C105" s="46"/>
      <c r="D105" s="46"/>
      <c r="E105" s="46"/>
    </row>
    <row r="106" spans="1:5" ht="14.25" customHeight="1" x14ac:dyDescent="0.2">
      <c r="A106" s="46"/>
      <c r="B106" s="46"/>
      <c r="C106" s="46"/>
      <c r="D106" s="46"/>
      <c r="E106" s="46"/>
    </row>
    <row r="107" spans="1:5" ht="14.25" customHeight="1" x14ac:dyDescent="0.2">
      <c r="A107" s="46"/>
      <c r="B107" s="46"/>
      <c r="C107" s="46"/>
      <c r="D107" s="46"/>
      <c r="E107" s="46"/>
    </row>
    <row r="108" spans="1:5" ht="14.25" customHeight="1" x14ac:dyDescent="0.2">
      <c r="A108" s="46"/>
      <c r="B108" s="46"/>
      <c r="C108" s="46"/>
      <c r="D108" s="46"/>
      <c r="E108" s="46"/>
    </row>
    <row r="109" spans="1:5" ht="14.25" customHeight="1" x14ac:dyDescent="0.2">
      <c r="A109" s="46"/>
      <c r="B109" s="46"/>
      <c r="C109" s="46"/>
      <c r="D109" s="46"/>
      <c r="E109" s="46"/>
    </row>
    <row r="110" spans="1:5" ht="14.25" customHeight="1" x14ac:dyDescent="0.2">
      <c r="A110" s="46"/>
      <c r="B110" s="46"/>
      <c r="C110" s="46"/>
      <c r="D110" s="46"/>
      <c r="E110" s="46"/>
    </row>
    <row r="111" spans="1:5" ht="14.25" customHeight="1" x14ac:dyDescent="0.2">
      <c r="A111" s="46"/>
      <c r="B111" s="46"/>
      <c r="C111" s="46"/>
      <c r="D111" s="46"/>
      <c r="E111" s="46"/>
    </row>
    <row r="112" spans="1:5" ht="14.25" customHeight="1" x14ac:dyDescent="0.2">
      <c r="A112" s="46"/>
      <c r="B112" s="46"/>
      <c r="C112" s="46"/>
      <c r="D112" s="46"/>
      <c r="E112" s="46"/>
    </row>
    <row r="113" spans="1:5" ht="14.25" customHeight="1" x14ac:dyDescent="0.2">
      <c r="A113" s="46"/>
      <c r="B113" s="46"/>
      <c r="C113" s="46"/>
      <c r="D113" s="46"/>
      <c r="E113" s="46"/>
    </row>
    <row r="114" spans="1:5" ht="14.25" customHeight="1" x14ac:dyDescent="0.2">
      <c r="A114" s="46"/>
      <c r="B114" s="46"/>
      <c r="C114" s="46"/>
      <c r="D114" s="46"/>
      <c r="E114" s="46"/>
    </row>
    <row r="115" spans="1:5" ht="14.25" customHeight="1" x14ac:dyDescent="0.2">
      <c r="A115" s="46"/>
      <c r="B115" s="46"/>
      <c r="C115" s="46"/>
      <c r="D115" s="46"/>
      <c r="E115" s="46"/>
    </row>
    <row r="116" spans="1:5" ht="14.25" customHeight="1" x14ac:dyDescent="0.2">
      <c r="A116" s="46"/>
      <c r="B116" s="46"/>
      <c r="C116" s="46"/>
      <c r="D116" s="46"/>
      <c r="E116" s="46"/>
    </row>
    <row r="117" spans="1:5" ht="14.25" customHeight="1" x14ac:dyDescent="0.2">
      <c r="A117" s="46"/>
      <c r="B117" s="46"/>
      <c r="C117" s="46"/>
      <c r="D117" s="46"/>
      <c r="E117" s="46"/>
    </row>
    <row r="118" spans="1:5" ht="14.25" customHeight="1" x14ac:dyDescent="0.2">
      <c r="A118" s="46"/>
      <c r="B118" s="46"/>
      <c r="C118" s="46"/>
      <c r="D118" s="46"/>
      <c r="E118" s="46"/>
    </row>
    <row r="119" spans="1:5" ht="14.25" customHeight="1" x14ac:dyDescent="0.2">
      <c r="A119" s="46"/>
      <c r="B119" s="46"/>
      <c r="C119" s="46"/>
      <c r="D119" s="46"/>
      <c r="E119" s="46"/>
    </row>
    <row r="120" spans="1:5" ht="14.25" customHeight="1" x14ac:dyDescent="0.2">
      <c r="A120" s="46"/>
      <c r="B120" s="46"/>
      <c r="C120" s="46"/>
      <c r="D120" s="46"/>
      <c r="E120" s="46"/>
    </row>
    <row r="121" spans="1:5" ht="14.25" customHeight="1" x14ac:dyDescent="0.2">
      <c r="A121" s="46"/>
      <c r="B121" s="46"/>
      <c r="C121" s="46"/>
      <c r="D121" s="46"/>
      <c r="E121" s="46"/>
    </row>
    <row r="122" spans="1:5" ht="14.25" customHeight="1" x14ac:dyDescent="0.2">
      <c r="A122" s="46"/>
      <c r="B122" s="46"/>
      <c r="C122" s="46"/>
      <c r="D122" s="46"/>
      <c r="E122" s="46"/>
    </row>
    <row r="123" spans="1:5" ht="14.25" customHeight="1" x14ac:dyDescent="0.2">
      <c r="A123" s="46"/>
      <c r="B123" s="46"/>
      <c r="C123" s="46"/>
      <c r="D123" s="46"/>
      <c r="E123" s="46"/>
    </row>
    <row r="124" spans="1:5" ht="14.25" customHeight="1" x14ac:dyDescent="0.2">
      <c r="A124" s="46"/>
      <c r="B124" s="46"/>
      <c r="C124" s="46"/>
      <c r="D124" s="46"/>
      <c r="E124" s="46"/>
    </row>
    <row r="125" spans="1:5" ht="14.25" customHeight="1" x14ac:dyDescent="0.2">
      <c r="A125" s="46"/>
      <c r="B125" s="46"/>
      <c r="C125" s="46"/>
      <c r="D125" s="46"/>
      <c r="E125" s="46"/>
    </row>
    <row r="126" spans="1:5" ht="14.25" customHeight="1" x14ac:dyDescent="0.2">
      <c r="A126" s="46"/>
      <c r="B126" s="46"/>
      <c r="C126" s="46"/>
      <c r="D126" s="46"/>
      <c r="E126" s="46"/>
    </row>
    <row r="127" spans="1:5" ht="14.25" customHeight="1" x14ac:dyDescent="0.2">
      <c r="A127" s="46"/>
      <c r="B127" s="46"/>
      <c r="C127" s="46"/>
      <c r="D127" s="46"/>
      <c r="E127" s="46"/>
    </row>
    <row r="128" spans="1:5" ht="14.25" customHeight="1" x14ac:dyDescent="0.2">
      <c r="A128" s="46"/>
      <c r="B128" s="46"/>
      <c r="C128" s="46"/>
      <c r="D128" s="46"/>
      <c r="E128" s="46"/>
    </row>
    <row r="129" spans="1:5" ht="14.25" customHeight="1" x14ac:dyDescent="0.2">
      <c r="A129" s="46"/>
      <c r="B129" s="46"/>
      <c r="C129" s="46"/>
      <c r="D129" s="46"/>
      <c r="E129" s="46"/>
    </row>
    <row r="130" spans="1:5" ht="14.25" customHeight="1" x14ac:dyDescent="0.2">
      <c r="A130" s="46"/>
      <c r="B130" s="46"/>
      <c r="C130" s="46"/>
      <c r="D130" s="46"/>
      <c r="E130" s="46"/>
    </row>
    <row r="131" spans="1:5" ht="14.25" customHeight="1" x14ac:dyDescent="0.2">
      <c r="A131" s="46"/>
      <c r="B131" s="46"/>
      <c r="C131" s="46"/>
      <c r="D131" s="46"/>
      <c r="E131" s="46"/>
    </row>
    <row r="132" spans="1:5" ht="14.25" customHeight="1" x14ac:dyDescent="0.2">
      <c r="A132" s="46"/>
      <c r="B132" s="46"/>
      <c r="C132" s="46"/>
      <c r="D132" s="46"/>
      <c r="E132" s="46"/>
    </row>
    <row r="133" spans="1:5" ht="14.25" customHeight="1" x14ac:dyDescent="0.2">
      <c r="A133" s="46"/>
      <c r="B133" s="46"/>
      <c r="C133" s="46"/>
      <c r="D133" s="46"/>
      <c r="E133" s="46"/>
    </row>
    <row r="134" spans="1:5" ht="14.25" customHeight="1" x14ac:dyDescent="0.2">
      <c r="A134" s="46"/>
      <c r="B134" s="46"/>
      <c r="C134" s="46"/>
      <c r="D134" s="46"/>
      <c r="E134" s="46"/>
    </row>
    <row r="135" spans="1:5" ht="14.25" customHeight="1" x14ac:dyDescent="0.2">
      <c r="A135" s="46"/>
      <c r="B135" s="46"/>
      <c r="C135" s="46"/>
      <c r="D135" s="46"/>
      <c r="E135" s="46"/>
    </row>
    <row r="136" spans="1:5" ht="14.25" customHeight="1" x14ac:dyDescent="0.2">
      <c r="A136" s="46"/>
      <c r="B136" s="46"/>
      <c r="C136" s="46"/>
      <c r="D136" s="46"/>
      <c r="E136" s="46"/>
    </row>
    <row r="137" spans="1:5" ht="14.25" customHeight="1" x14ac:dyDescent="0.2">
      <c r="A137" s="46"/>
      <c r="B137" s="46"/>
      <c r="C137" s="46"/>
      <c r="D137" s="46"/>
      <c r="E137" s="46"/>
    </row>
    <row r="138" spans="1:5" ht="14.25" customHeight="1" x14ac:dyDescent="0.2">
      <c r="A138" s="46"/>
      <c r="B138" s="46"/>
      <c r="C138" s="46"/>
      <c r="D138" s="46"/>
      <c r="E138" s="46"/>
    </row>
    <row r="139" spans="1:5" ht="14.25" customHeight="1" x14ac:dyDescent="0.2">
      <c r="A139" s="46"/>
      <c r="B139" s="46"/>
      <c r="C139" s="46"/>
      <c r="D139" s="46"/>
      <c r="E139" s="46"/>
    </row>
    <row r="140" spans="1:5" ht="14.25" customHeight="1" x14ac:dyDescent="0.2">
      <c r="A140" s="46"/>
      <c r="B140" s="46"/>
      <c r="C140" s="46"/>
      <c r="D140" s="46"/>
      <c r="E140" s="46"/>
    </row>
    <row r="141" spans="1:5" ht="14.25" customHeight="1" x14ac:dyDescent="0.2">
      <c r="A141" s="46"/>
      <c r="B141" s="46"/>
      <c r="C141" s="46"/>
      <c r="D141" s="46"/>
      <c r="E141" s="46"/>
    </row>
    <row r="142" spans="1:5" ht="14.25" customHeight="1" x14ac:dyDescent="0.2">
      <c r="A142" s="46"/>
      <c r="B142" s="46"/>
      <c r="C142" s="46"/>
      <c r="D142" s="46"/>
      <c r="E142" s="46"/>
    </row>
    <row r="143" spans="1:5" ht="14.25" customHeight="1" x14ac:dyDescent="0.2">
      <c r="A143" s="46"/>
      <c r="B143" s="46"/>
      <c r="C143" s="46"/>
      <c r="D143" s="46"/>
      <c r="E143" s="46"/>
    </row>
    <row r="144" spans="1:5" ht="14.25" customHeight="1" x14ac:dyDescent="0.2">
      <c r="A144" s="46"/>
      <c r="B144" s="46"/>
      <c r="C144" s="46"/>
      <c r="D144" s="46"/>
      <c r="E144" s="46"/>
    </row>
    <row r="145" spans="1:5" ht="14.25" customHeight="1" x14ac:dyDescent="0.2">
      <c r="A145" s="46"/>
      <c r="B145" s="46"/>
      <c r="C145" s="46"/>
      <c r="D145" s="46"/>
      <c r="E145" s="46"/>
    </row>
    <row r="146" spans="1:5" ht="14.25" customHeight="1" x14ac:dyDescent="0.2">
      <c r="A146" s="46"/>
      <c r="B146" s="46"/>
      <c r="C146" s="46"/>
      <c r="D146" s="46"/>
      <c r="E146" s="46"/>
    </row>
    <row r="147" spans="1:5" ht="14.25" customHeight="1" x14ac:dyDescent="0.2">
      <c r="A147" s="46"/>
      <c r="B147" s="46"/>
      <c r="C147" s="46"/>
      <c r="D147" s="46"/>
      <c r="E147" s="46"/>
    </row>
    <row r="148" spans="1:5" ht="14.25" customHeight="1" x14ac:dyDescent="0.2">
      <c r="A148" s="46"/>
      <c r="B148" s="46"/>
      <c r="C148" s="46"/>
      <c r="D148" s="46"/>
      <c r="E148" s="46"/>
    </row>
    <row r="149" spans="1:5" ht="14.25" customHeight="1" x14ac:dyDescent="0.2">
      <c r="A149" s="46"/>
      <c r="B149" s="46"/>
      <c r="C149" s="46"/>
      <c r="D149" s="46"/>
      <c r="E149" s="46"/>
    </row>
    <row r="150" spans="1:5" ht="14.25" customHeight="1" x14ac:dyDescent="0.2">
      <c r="A150" s="46"/>
      <c r="B150" s="46"/>
      <c r="C150" s="46"/>
      <c r="D150" s="46"/>
      <c r="E150" s="46"/>
    </row>
    <row r="151" spans="1:5" ht="14.25" customHeight="1" x14ac:dyDescent="0.2">
      <c r="A151" s="46"/>
      <c r="B151" s="46"/>
      <c r="C151" s="46"/>
      <c r="D151" s="46"/>
      <c r="E151" s="46"/>
    </row>
    <row r="152" spans="1:5" ht="14.25" customHeight="1" x14ac:dyDescent="0.2">
      <c r="A152" s="46"/>
      <c r="B152" s="46"/>
      <c r="C152" s="46"/>
      <c r="D152" s="46"/>
      <c r="E152" s="46"/>
    </row>
    <row r="153" spans="1:5" ht="14.25" customHeight="1" x14ac:dyDescent="0.2">
      <c r="A153" s="46"/>
      <c r="B153" s="46"/>
      <c r="C153" s="46"/>
      <c r="D153" s="46"/>
      <c r="E153" s="46"/>
    </row>
    <row r="154" spans="1:5" ht="14.25" customHeight="1" x14ac:dyDescent="0.2">
      <c r="A154" s="46"/>
      <c r="B154" s="46"/>
      <c r="C154" s="46"/>
      <c r="D154" s="46"/>
      <c r="E154" s="46"/>
    </row>
    <row r="155" spans="1:5" ht="14.25" customHeight="1" x14ac:dyDescent="0.2">
      <c r="A155" s="46"/>
      <c r="B155" s="46"/>
      <c r="C155" s="46"/>
      <c r="D155" s="46"/>
      <c r="E155" s="46"/>
    </row>
    <row r="156" spans="1:5" ht="14.25" customHeight="1" x14ac:dyDescent="0.2">
      <c r="A156" s="46"/>
      <c r="B156" s="46"/>
      <c r="C156" s="46"/>
      <c r="D156" s="46"/>
      <c r="E156" s="46"/>
    </row>
    <row r="157" spans="1:5" ht="14.25" customHeight="1" x14ac:dyDescent="0.2">
      <c r="A157" s="46"/>
      <c r="B157" s="46"/>
      <c r="C157" s="46"/>
      <c r="D157" s="46"/>
      <c r="E157" s="46"/>
    </row>
    <row r="158" spans="1:5" ht="14.25" customHeight="1" x14ac:dyDescent="0.2">
      <c r="A158" s="46"/>
      <c r="B158" s="46"/>
      <c r="C158" s="46"/>
      <c r="D158" s="46"/>
      <c r="E158" s="46"/>
    </row>
    <row r="159" spans="1:5" ht="14.25" customHeight="1" x14ac:dyDescent="0.2">
      <c r="A159" s="46"/>
      <c r="B159" s="46"/>
      <c r="C159" s="46"/>
      <c r="D159" s="46"/>
      <c r="E159" s="46"/>
    </row>
    <row r="160" spans="1:5" ht="14.25" customHeight="1" x14ac:dyDescent="0.2">
      <c r="A160" s="46"/>
      <c r="B160" s="46"/>
      <c r="C160" s="46"/>
      <c r="D160" s="46"/>
      <c r="E160" s="46"/>
    </row>
    <row r="161" spans="1:5" ht="14.25" customHeight="1" x14ac:dyDescent="0.2">
      <c r="A161" s="46"/>
      <c r="B161" s="46"/>
      <c r="C161" s="46"/>
      <c r="D161" s="46"/>
      <c r="E161" s="46"/>
    </row>
    <row r="162" spans="1:5" ht="14.25" customHeight="1" x14ac:dyDescent="0.2">
      <c r="A162" s="46"/>
      <c r="B162" s="46"/>
      <c r="C162" s="46"/>
      <c r="D162" s="46"/>
      <c r="E162" s="46"/>
    </row>
    <row r="163" spans="1:5" ht="14.25" customHeight="1" x14ac:dyDescent="0.2">
      <c r="A163" s="46"/>
      <c r="B163" s="46"/>
      <c r="C163" s="46"/>
      <c r="D163" s="46"/>
      <c r="E163" s="46"/>
    </row>
    <row r="164" spans="1:5" ht="14.25" customHeight="1" x14ac:dyDescent="0.2">
      <c r="A164" s="46"/>
      <c r="B164" s="46"/>
      <c r="C164" s="46"/>
      <c r="D164" s="46"/>
      <c r="E164" s="46"/>
    </row>
    <row r="165" spans="1:5" ht="14.25" customHeight="1" x14ac:dyDescent="0.2">
      <c r="A165" s="46"/>
      <c r="B165" s="46"/>
      <c r="C165" s="46"/>
      <c r="D165" s="46"/>
      <c r="E165" s="46"/>
    </row>
    <row r="166" spans="1:5" ht="14.25" customHeight="1" x14ac:dyDescent="0.2">
      <c r="A166" s="46"/>
      <c r="B166" s="46"/>
      <c r="C166" s="46"/>
      <c r="D166" s="46"/>
      <c r="E166" s="46"/>
    </row>
    <row r="167" spans="1:5" ht="14.25" customHeight="1" x14ac:dyDescent="0.2">
      <c r="A167" s="46"/>
      <c r="B167" s="46"/>
      <c r="C167" s="46"/>
      <c r="D167" s="46"/>
      <c r="E167" s="46"/>
    </row>
    <row r="168" spans="1:5" ht="14.25" customHeight="1" x14ac:dyDescent="0.2">
      <c r="A168" s="46"/>
      <c r="B168" s="46"/>
      <c r="C168" s="46"/>
      <c r="D168" s="46"/>
      <c r="E168" s="46"/>
    </row>
    <row r="169" spans="1:5" ht="14.25" customHeight="1" x14ac:dyDescent="0.2">
      <c r="A169" s="46"/>
      <c r="B169" s="46"/>
      <c r="C169" s="46"/>
      <c r="D169" s="46"/>
      <c r="E169" s="46"/>
    </row>
    <row r="170" spans="1:5" ht="14.25" customHeight="1" x14ac:dyDescent="0.2">
      <c r="A170" s="46"/>
      <c r="B170" s="46"/>
      <c r="C170" s="46"/>
      <c r="D170" s="46"/>
      <c r="E170" s="46"/>
    </row>
    <row r="171" spans="1:5" ht="14.25" customHeight="1" x14ac:dyDescent="0.2">
      <c r="A171" s="46"/>
      <c r="B171" s="46"/>
      <c r="C171" s="46"/>
      <c r="D171" s="46"/>
      <c r="E171" s="46"/>
    </row>
    <row r="172" spans="1:5" ht="14.25" customHeight="1" x14ac:dyDescent="0.2">
      <c r="A172" s="46"/>
      <c r="B172" s="46"/>
      <c r="C172" s="46"/>
      <c r="D172" s="46"/>
      <c r="E172" s="46"/>
    </row>
    <row r="173" spans="1:5" ht="14.25" customHeight="1" x14ac:dyDescent="0.2">
      <c r="A173" s="46"/>
      <c r="B173" s="46"/>
      <c r="C173" s="46"/>
      <c r="D173" s="46"/>
      <c r="E173" s="46"/>
    </row>
    <row r="174" spans="1:5" ht="14.25" customHeight="1" x14ac:dyDescent="0.2">
      <c r="A174" s="46"/>
      <c r="B174" s="46"/>
      <c r="C174" s="46"/>
      <c r="D174" s="46"/>
      <c r="E174" s="46"/>
    </row>
    <row r="175" spans="1:5" ht="14.25" customHeight="1" x14ac:dyDescent="0.2">
      <c r="A175" s="46"/>
      <c r="B175" s="46"/>
      <c r="C175" s="46"/>
      <c r="D175" s="46"/>
      <c r="E175" s="46"/>
    </row>
    <row r="176" spans="1:5" ht="14.25" customHeight="1" x14ac:dyDescent="0.2">
      <c r="A176" s="46"/>
      <c r="B176" s="46"/>
      <c r="C176" s="46"/>
      <c r="D176" s="46"/>
      <c r="E176" s="46"/>
    </row>
    <row r="177" spans="1:5" ht="14.25" customHeight="1" x14ac:dyDescent="0.2">
      <c r="A177" s="46"/>
      <c r="B177" s="46"/>
      <c r="C177" s="46"/>
      <c r="D177" s="46"/>
      <c r="E177" s="46"/>
    </row>
    <row r="178" spans="1:5" ht="14.25" customHeight="1" x14ac:dyDescent="0.2">
      <c r="A178" s="46"/>
      <c r="B178" s="46"/>
      <c r="C178" s="46"/>
      <c r="D178" s="46"/>
      <c r="E178" s="46"/>
    </row>
    <row r="179" spans="1:5" ht="14.25" customHeight="1" x14ac:dyDescent="0.2">
      <c r="A179" s="46"/>
      <c r="B179" s="46"/>
      <c r="C179" s="46"/>
      <c r="D179" s="46"/>
      <c r="E179" s="46"/>
    </row>
    <row r="180" spans="1:5" ht="14.25" customHeight="1" x14ac:dyDescent="0.2">
      <c r="A180" s="46"/>
      <c r="B180" s="46"/>
      <c r="C180" s="46"/>
      <c r="D180" s="46"/>
      <c r="E180" s="46"/>
    </row>
    <row r="181" spans="1:5" ht="14.25" customHeight="1" x14ac:dyDescent="0.2">
      <c r="A181" s="46"/>
      <c r="B181" s="46"/>
      <c r="C181" s="46"/>
      <c r="D181" s="46"/>
      <c r="E181" s="46"/>
    </row>
    <row r="182" spans="1:5" ht="14.25" customHeight="1" x14ac:dyDescent="0.2">
      <c r="A182" s="46"/>
      <c r="B182" s="46"/>
      <c r="C182" s="46"/>
      <c r="D182" s="46"/>
      <c r="E182" s="46"/>
    </row>
    <row r="183" spans="1:5" ht="14.25" customHeight="1" x14ac:dyDescent="0.2">
      <c r="A183" s="46"/>
      <c r="B183" s="46"/>
      <c r="C183" s="46"/>
      <c r="D183" s="46"/>
      <c r="E183" s="46"/>
    </row>
    <row r="184" spans="1:5" ht="14.25" customHeight="1" x14ac:dyDescent="0.2">
      <c r="A184" s="46"/>
      <c r="B184" s="46"/>
      <c r="C184" s="46"/>
      <c r="D184" s="46"/>
      <c r="E184" s="46"/>
    </row>
    <row r="185" spans="1:5" ht="14.25" customHeight="1" x14ac:dyDescent="0.2">
      <c r="A185" s="46"/>
      <c r="B185" s="46"/>
      <c r="C185" s="46"/>
      <c r="D185" s="46"/>
      <c r="E185" s="46"/>
    </row>
    <row r="186" spans="1:5" ht="14.25" customHeight="1" x14ac:dyDescent="0.2">
      <c r="A186" s="46"/>
      <c r="B186" s="46"/>
      <c r="C186" s="46"/>
      <c r="D186" s="46"/>
      <c r="E186" s="46"/>
    </row>
    <row r="187" spans="1:5" ht="14.25" customHeight="1" x14ac:dyDescent="0.2">
      <c r="A187" s="46"/>
      <c r="B187" s="46"/>
      <c r="C187" s="46"/>
      <c r="D187" s="46"/>
      <c r="E187" s="46"/>
    </row>
    <row r="188" spans="1:5" ht="14.25" customHeight="1" x14ac:dyDescent="0.2">
      <c r="A188" s="46"/>
      <c r="B188" s="46"/>
      <c r="C188" s="46"/>
      <c r="D188" s="46"/>
      <c r="E188" s="46"/>
    </row>
    <row r="189" spans="1:5" ht="14.25" customHeight="1" x14ac:dyDescent="0.2">
      <c r="A189" s="46"/>
      <c r="B189" s="46"/>
      <c r="C189" s="46"/>
      <c r="D189" s="46"/>
      <c r="E189" s="46"/>
    </row>
    <row r="190" spans="1:5" ht="14.25" customHeight="1" x14ac:dyDescent="0.2">
      <c r="A190" s="46"/>
      <c r="B190" s="46"/>
      <c r="C190" s="46"/>
      <c r="D190" s="46"/>
      <c r="E190" s="46"/>
    </row>
    <row r="191" spans="1:5" ht="14.25" customHeight="1" x14ac:dyDescent="0.2">
      <c r="A191" s="46"/>
      <c r="B191" s="46"/>
      <c r="C191" s="46"/>
      <c r="D191" s="46"/>
      <c r="E191" s="46"/>
    </row>
    <row r="192" spans="1:5" ht="14.25" customHeight="1" x14ac:dyDescent="0.2">
      <c r="A192" s="46"/>
      <c r="B192" s="46"/>
      <c r="C192" s="46"/>
      <c r="D192" s="46"/>
      <c r="E192" s="46"/>
    </row>
    <row r="193" spans="1:5" ht="14.25" customHeight="1" x14ac:dyDescent="0.2">
      <c r="A193" s="46"/>
      <c r="B193" s="46"/>
      <c r="C193" s="46"/>
      <c r="D193" s="46"/>
      <c r="E193" s="46"/>
    </row>
    <row r="194" spans="1:5" ht="14.25" customHeight="1" x14ac:dyDescent="0.2">
      <c r="A194" s="46"/>
      <c r="B194" s="46"/>
      <c r="C194" s="46"/>
      <c r="D194" s="46"/>
      <c r="E194" s="46"/>
    </row>
    <row r="195" spans="1:5" ht="14.25" customHeight="1" x14ac:dyDescent="0.2">
      <c r="A195" s="46"/>
      <c r="B195" s="46"/>
      <c r="C195" s="46"/>
      <c r="D195" s="46"/>
      <c r="E195" s="46"/>
    </row>
    <row r="196" spans="1:5" ht="14.25" customHeight="1" x14ac:dyDescent="0.2">
      <c r="A196" s="46"/>
      <c r="B196" s="46"/>
      <c r="C196" s="46"/>
      <c r="D196" s="46"/>
      <c r="E196" s="46"/>
    </row>
    <row r="197" spans="1:5" ht="14.25" customHeight="1" x14ac:dyDescent="0.2">
      <c r="A197" s="46"/>
      <c r="B197" s="46"/>
      <c r="C197" s="46"/>
      <c r="D197" s="46"/>
      <c r="E197" s="46"/>
    </row>
    <row r="198" spans="1:5" ht="14.25" customHeight="1" x14ac:dyDescent="0.2">
      <c r="A198" s="46"/>
      <c r="B198" s="46"/>
      <c r="C198" s="46"/>
      <c r="D198" s="46"/>
      <c r="E198" s="46"/>
    </row>
    <row r="199" spans="1:5" ht="14.25" customHeight="1" x14ac:dyDescent="0.2">
      <c r="A199" s="46"/>
      <c r="B199" s="46"/>
      <c r="C199" s="46"/>
      <c r="D199" s="46"/>
      <c r="E199" s="46"/>
    </row>
    <row r="200" spans="1:5" ht="14.25" customHeight="1" x14ac:dyDescent="0.2">
      <c r="A200" s="46"/>
      <c r="B200" s="46"/>
      <c r="C200" s="46"/>
      <c r="D200" s="46"/>
      <c r="E200" s="46"/>
    </row>
    <row r="201" spans="1:5" ht="14.25" customHeight="1" x14ac:dyDescent="0.2">
      <c r="A201" s="46"/>
      <c r="B201" s="46"/>
      <c r="C201" s="46"/>
      <c r="D201" s="46"/>
      <c r="E201" s="46"/>
    </row>
    <row r="202" spans="1:5" ht="14.25" customHeight="1" x14ac:dyDescent="0.2">
      <c r="A202" s="46"/>
      <c r="B202" s="46"/>
      <c r="C202" s="46"/>
      <c r="D202" s="46"/>
      <c r="E202" s="46"/>
    </row>
    <row r="203" spans="1:5" ht="14.25" customHeight="1" x14ac:dyDescent="0.2">
      <c r="A203" s="46"/>
      <c r="B203" s="46"/>
      <c r="C203" s="46"/>
      <c r="D203" s="46"/>
      <c r="E203" s="46"/>
    </row>
    <row r="204" spans="1:5" ht="14.25" customHeight="1" x14ac:dyDescent="0.2">
      <c r="A204" s="46"/>
      <c r="B204" s="46"/>
      <c r="C204" s="46"/>
      <c r="D204" s="46"/>
      <c r="E204" s="46"/>
    </row>
    <row r="205" spans="1:5" ht="14.25" customHeight="1" x14ac:dyDescent="0.2">
      <c r="A205" s="46"/>
      <c r="B205" s="46"/>
      <c r="C205" s="46"/>
      <c r="D205" s="46"/>
      <c r="E205" s="46"/>
    </row>
    <row r="206" spans="1:5" ht="14.25" customHeight="1" x14ac:dyDescent="0.2">
      <c r="A206" s="46"/>
      <c r="B206" s="46"/>
      <c r="C206" s="46"/>
      <c r="D206" s="46"/>
      <c r="E206" s="46"/>
    </row>
    <row r="207" spans="1:5" ht="14.25" customHeight="1" x14ac:dyDescent="0.2">
      <c r="A207" s="46"/>
      <c r="B207" s="46"/>
      <c r="C207" s="46"/>
      <c r="D207" s="46"/>
      <c r="E207" s="46"/>
    </row>
    <row r="208" spans="1:5" ht="14.25" customHeight="1" x14ac:dyDescent="0.2">
      <c r="A208" s="46"/>
      <c r="B208" s="46"/>
      <c r="C208" s="46"/>
      <c r="D208" s="46"/>
      <c r="E208" s="46"/>
    </row>
    <row r="209" spans="1:5" ht="14.25" customHeight="1" x14ac:dyDescent="0.2">
      <c r="A209" s="46"/>
      <c r="B209" s="46"/>
      <c r="C209" s="46"/>
      <c r="D209" s="46"/>
      <c r="E209" s="46"/>
    </row>
    <row r="210" spans="1:5" ht="14.25" customHeight="1" x14ac:dyDescent="0.2">
      <c r="A210" s="46"/>
      <c r="B210" s="46"/>
      <c r="C210" s="46"/>
      <c r="D210" s="46"/>
      <c r="E210" s="46"/>
    </row>
    <row r="211" spans="1:5" ht="14.25" customHeight="1" x14ac:dyDescent="0.2">
      <c r="A211" s="46"/>
      <c r="B211" s="46"/>
      <c r="C211" s="46"/>
      <c r="D211" s="46"/>
      <c r="E211" s="46"/>
    </row>
    <row r="212" spans="1:5" ht="14.25" customHeight="1" x14ac:dyDescent="0.2">
      <c r="A212" s="46"/>
      <c r="B212" s="46"/>
      <c r="C212" s="46"/>
      <c r="D212" s="46"/>
      <c r="E212" s="46"/>
    </row>
    <row r="213" spans="1:5" ht="14.25" customHeight="1" x14ac:dyDescent="0.2">
      <c r="A213" s="46"/>
      <c r="B213" s="46"/>
      <c r="C213" s="46"/>
      <c r="D213" s="46"/>
      <c r="E213" s="46"/>
    </row>
    <row r="214" spans="1:5" ht="14.25" customHeight="1" x14ac:dyDescent="0.2">
      <c r="A214" s="46"/>
      <c r="B214" s="46"/>
      <c r="C214" s="46"/>
      <c r="D214" s="46"/>
      <c r="E214" s="46"/>
    </row>
    <row r="215" spans="1:5" ht="14.25" customHeight="1" x14ac:dyDescent="0.2">
      <c r="A215" s="46"/>
      <c r="B215" s="46"/>
      <c r="C215" s="46"/>
      <c r="D215" s="46"/>
      <c r="E215" s="46"/>
    </row>
    <row r="216" spans="1:5" ht="14.25" customHeight="1" x14ac:dyDescent="0.2">
      <c r="A216" s="46"/>
      <c r="B216" s="46"/>
      <c r="C216" s="46"/>
      <c r="D216" s="46"/>
      <c r="E216" s="46"/>
    </row>
    <row r="217" spans="1:5" ht="14.25" customHeight="1" x14ac:dyDescent="0.2">
      <c r="A217" s="46"/>
      <c r="B217" s="46"/>
      <c r="C217" s="46"/>
      <c r="D217" s="46"/>
      <c r="E217" s="46"/>
    </row>
    <row r="218" spans="1:5" ht="14.25" customHeight="1" x14ac:dyDescent="0.2">
      <c r="A218" s="46"/>
      <c r="B218" s="46"/>
      <c r="C218" s="46"/>
      <c r="D218" s="46"/>
      <c r="E218" s="46"/>
    </row>
    <row r="219" spans="1:5" ht="14.25" customHeight="1" x14ac:dyDescent="0.2">
      <c r="A219" s="46"/>
      <c r="B219" s="46"/>
      <c r="C219" s="46"/>
      <c r="D219" s="46"/>
      <c r="E219" s="46"/>
    </row>
    <row r="220" spans="1:5" ht="14.25" customHeight="1" x14ac:dyDescent="0.2">
      <c r="A220" s="46"/>
      <c r="B220" s="46"/>
      <c r="C220" s="46"/>
      <c r="D220" s="46"/>
      <c r="E220" s="46"/>
    </row>
    <row r="221" spans="1:5" ht="14.25" customHeight="1" x14ac:dyDescent="0.2">
      <c r="A221" s="46"/>
      <c r="B221" s="46"/>
      <c r="C221" s="46"/>
      <c r="D221" s="46"/>
      <c r="E221" s="46"/>
    </row>
    <row r="222" spans="1:5" ht="14.25" customHeight="1" x14ac:dyDescent="0.2">
      <c r="A222" s="46"/>
      <c r="B222" s="46"/>
      <c r="C222" s="46"/>
      <c r="D222" s="46"/>
      <c r="E222" s="46"/>
    </row>
    <row r="223" spans="1:5" ht="14.25" customHeight="1" x14ac:dyDescent="0.2">
      <c r="A223" s="46"/>
      <c r="B223" s="46"/>
      <c r="C223" s="46"/>
      <c r="D223" s="46"/>
      <c r="E223" s="46"/>
    </row>
    <row r="224" spans="1:5" ht="14.25" customHeight="1" x14ac:dyDescent="0.2">
      <c r="A224" s="46"/>
      <c r="B224" s="46"/>
      <c r="C224" s="46"/>
      <c r="D224" s="46"/>
      <c r="E224" s="46"/>
    </row>
    <row r="225" spans="1:5" ht="14.25" customHeight="1" x14ac:dyDescent="0.2">
      <c r="A225" s="46"/>
      <c r="B225" s="46"/>
      <c r="C225" s="46"/>
      <c r="D225" s="46"/>
      <c r="E225" s="46"/>
    </row>
    <row r="226" spans="1:5" ht="14.25" customHeight="1" x14ac:dyDescent="0.2">
      <c r="A226" s="46"/>
      <c r="B226" s="46"/>
      <c r="C226" s="46"/>
      <c r="D226" s="46"/>
      <c r="E226" s="46"/>
    </row>
    <row r="227" spans="1:5" ht="14.25" customHeight="1" x14ac:dyDescent="0.2">
      <c r="A227" s="46"/>
      <c r="B227" s="46"/>
      <c r="C227" s="46"/>
      <c r="D227" s="46"/>
      <c r="E227" s="46"/>
    </row>
    <row r="228" spans="1:5" ht="14.25" customHeight="1" x14ac:dyDescent="0.2">
      <c r="A228" s="46"/>
      <c r="B228" s="46"/>
      <c r="C228" s="46"/>
      <c r="D228" s="46"/>
      <c r="E228" s="46"/>
    </row>
    <row r="229" spans="1:5" ht="14.25" customHeight="1" x14ac:dyDescent="0.2">
      <c r="A229" s="46"/>
      <c r="B229" s="46"/>
      <c r="C229" s="46"/>
      <c r="D229" s="46"/>
      <c r="E229" s="46"/>
    </row>
    <row r="230" spans="1:5" ht="14.25" customHeight="1" x14ac:dyDescent="0.2">
      <c r="A230" s="46"/>
      <c r="B230" s="46"/>
      <c r="C230" s="46"/>
      <c r="D230" s="46"/>
      <c r="E230" s="46"/>
    </row>
    <row r="231" spans="1:5" ht="14.25" customHeight="1" x14ac:dyDescent="0.2">
      <c r="A231" s="46"/>
      <c r="B231" s="46"/>
      <c r="C231" s="46"/>
      <c r="D231" s="46"/>
      <c r="E231" s="46"/>
    </row>
    <row r="232" spans="1:5" ht="14.25" customHeight="1" x14ac:dyDescent="0.2">
      <c r="A232" s="46"/>
      <c r="B232" s="46"/>
      <c r="C232" s="46"/>
      <c r="D232" s="46"/>
      <c r="E232" s="46"/>
    </row>
    <row r="233" spans="1:5" ht="14.25" customHeight="1" x14ac:dyDescent="0.2">
      <c r="A233" s="46"/>
      <c r="B233" s="46"/>
      <c r="C233" s="46"/>
      <c r="D233" s="46"/>
      <c r="E233" s="46"/>
    </row>
    <row r="234" spans="1:5" ht="14.25" customHeight="1" x14ac:dyDescent="0.2">
      <c r="A234" s="46"/>
      <c r="B234" s="46"/>
      <c r="C234" s="46"/>
      <c r="D234" s="46"/>
      <c r="E234" s="46"/>
    </row>
    <row r="235" spans="1:5" ht="14.25" customHeight="1" x14ac:dyDescent="0.2">
      <c r="A235" s="46"/>
      <c r="B235" s="46"/>
      <c r="C235" s="46"/>
      <c r="D235" s="46"/>
      <c r="E235" s="46"/>
    </row>
    <row r="236" spans="1:5" ht="14.25" customHeight="1" x14ac:dyDescent="0.2">
      <c r="A236" s="46"/>
      <c r="B236" s="46"/>
      <c r="C236" s="46"/>
      <c r="D236" s="46"/>
      <c r="E236" s="46"/>
    </row>
    <row r="237" spans="1:5" ht="14.25" customHeight="1" x14ac:dyDescent="0.2">
      <c r="A237" s="46"/>
      <c r="B237" s="46"/>
      <c r="C237" s="46"/>
      <c r="D237" s="46"/>
      <c r="E237" s="46"/>
    </row>
    <row r="238" spans="1:5" ht="14.25" customHeight="1" x14ac:dyDescent="0.2">
      <c r="A238" s="46"/>
      <c r="B238" s="46"/>
      <c r="C238" s="46"/>
      <c r="D238" s="46"/>
      <c r="E238" s="46"/>
    </row>
    <row r="239" spans="1:5" ht="14.25" customHeight="1" x14ac:dyDescent="0.2">
      <c r="A239" s="46"/>
      <c r="B239" s="46"/>
      <c r="C239" s="46"/>
      <c r="D239" s="46"/>
      <c r="E239" s="46"/>
    </row>
    <row r="240" spans="1:5" ht="14.25" customHeight="1" x14ac:dyDescent="0.2">
      <c r="A240" s="46"/>
      <c r="B240" s="46"/>
      <c r="C240" s="46"/>
      <c r="D240" s="46"/>
      <c r="E240" s="46"/>
    </row>
    <row r="241" spans="1:5" ht="14.25" customHeight="1" x14ac:dyDescent="0.2">
      <c r="A241" s="46"/>
      <c r="B241" s="46"/>
      <c r="C241" s="46"/>
      <c r="D241" s="46"/>
      <c r="E241" s="46"/>
    </row>
    <row r="242" spans="1:5" ht="14.25" customHeight="1" x14ac:dyDescent="0.2">
      <c r="A242" s="46"/>
      <c r="B242" s="46"/>
      <c r="C242" s="46"/>
      <c r="D242" s="46"/>
      <c r="E242" s="46"/>
    </row>
    <row r="243" spans="1:5" ht="14.25" customHeight="1" x14ac:dyDescent="0.2">
      <c r="A243" s="46"/>
      <c r="B243" s="46"/>
      <c r="C243" s="46"/>
      <c r="D243" s="46"/>
      <c r="E243" s="46"/>
    </row>
    <row r="244" spans="1:5" ht="14.25" customHeight="1" x14ac:dyDescent="0.2">
      <c r="A244" s="46"/>
      <c r="B244" s="46"/>
      <c r="C244" s="46"/>
      <c r="D244" s="46"/>
      <c r="E244" s="46"/>
    </row>
    <row r="245" spans="1:5" ht="14.25" customHeight="1" x14ac:dyDescent="0.2">
      <c r="A245" s="46"/>
      <c r="B245" s="46"/>
      <c r="C245" s="46"/>
      <c r="D245" s="46"/>
      <c r="E245" s="46"/>
    </row>
    <row r="246" spans="1:5" ht="14.25" customHeight="1" x14ac:dyDescent="0.2">
      <c r="A246" s="46"/>
      <c r="B246" s="46"/>
      <c r="C246" s="46"/>
      <c r="D246" s="46"/>
      <c r="E246" s="46"/>
    </row>
    <row r="247" spans="1:5" ht="14.25" customHeight="1" x14ac:dyDescent="0.2">
      <c r="A247" s="46"/>
      <c r="B247" s="46"/>
      <c r="C247" s="46"/>
      <c r="D247" s="46"/>
      <c r="E247" s="46"/>
    </row>
    <row r="248" spans="1:5" ht="14.25" customHeight="1" x14ac:dyDescent="0.2">
      <c r="A248" s="46"/>
      <c r="B248" s="46"/>
      <c r="C248" s="46"/>
      <c r="D248" s="46"/>
      <c r="E248" s="46"/>
    </row>
    <row r="249" spans="1:5" ht="14.25" customHeight="1" x14ac:dyDescent="0.2">
      <c r="A249" s="46"/>
      <c r="B249" s="46"/>
      <c r="C249" s="46"/>
      <c r="D249" s="46"/>
      <c r="E249" s="46"/>
    </row>
    <row r="250" spans="1:5" ht="14.25" customHeight="1" x14ac:dyDescent="0.2">
      <c r="A250" s="46"/>
      <c r="B250" s="46"/>
      <c r="C250" s="46"/>
      <c r="D250" s="46"/>
      <c r="E250" s="46"/>
    </row>
    <row r="251" spans="1:5" ht="14.25" customHeight="1" x14ac:dyDescent="0.2">
      <c r="A251" s="46"/>
      <c r="B251" s="46"/>
      <c r="C251" s="46"/>
      <c r="D251" s="46"/>
      <c r="E251" s="46"/>
    </row>
    <row r="252" spans="1:5" ht="14.25" customHeight="1" x14ac:dyDescent="0.2">
      <c r="A252" s="46"/>
      <c r="B252" s="46"/>
      <c r="C252" s="46"/>
      <c r="D252" s="46"/>
      <c r="E252" s="46"/>
    </row>
    <row r="253" spans="1:5" ht="14.25" customHeight="1" x14ac:dyDescent="0.2">
      <c r="A253" s="46"/>
      <c r="B253" s="46"/>
      <c r="C253" s="46"/>
      <c r="D253" s="46"/>
      <c r="E253" s="46"/>
    </row>
    <row r="254" spans="1:5" ht="14.25" customHeight="1" x14ac:dyDescent="0.2">
      <c r="A254" s="46"/>
      <c r="B254" s="46"/>
      <c r="C254" s="46"/>
      <c r="D254" s="46"/>
      <c r="E254" s="46"/>
    </row>
    <row r="255" spans="1:5" ht="14.25" customHeight="1" x14ac:dyDescent="0.2">
      <c r="A255" s="46"/>
      <c r="B255" s="46"/>
      <c r="C255" s="46"/>
      <c r="D255" s="46"/>
      <c r="E255" s="46"/>
    </row>
    <row r="256" spans="1:5" ht="14.25" customHeight="1" x14ac:dyDescent="0.2">
      <c r="A256" s="46"/>
      <c r="B256" s="46"/>
      <c r="C256" s="46"/>
      <c r="D256" s="46"/>
      <c r="E256" s="46"/>
    </row>
    <row r="257" spans="1:5" ht="14.25" customHeight="1" x14ac:dyDescent="0.2">
      <c r="A257" s="46"/>
      <c r="B257" s="46"/>
      <c r="C257" s="46"/>
      <c r="D257" s="46"/>
      <c r="E257" s="46"/>
    </row>
    <row r="258" spans="1:5" ht="14.25" customHeight="1" x14ac:dyDescent="0.2">
      <c r="A258" s="46"/>
      <c r="B258" s="46"/>
      <c r="C258" s="46"/>
      <c r="D258" s="46"/>
      <c r="E258" s="46"/>
    </row>
    <row r="259" spans="1:5" ht="14.25" customHeight="1" x14ac:dyDescent="0.2">
      <c r="A259" s="46"/>
      <c r="B259" s="46"/>
      <c r="C259" s="46"/>
      <c r="D259" s="46"/>
      <c r="E259" s="46"/>
    </row>
    <row r="260" spans="1:5" ht="14.25" customHeight="1" x14ac:dyDescent="0.2">
      <c r="A260" s="46"/>
      <c r="B260" s="46"/>
      <c r="C260" s="46"/>
      <c r="D260" s="46"/>
      <c r="E260" s="46"/>
    </row>
    <row r="261" spans="1:5" ht="14.25" customHeight="1" x14ac:dyDescent="0.2">
      <c r="A261" s="46"/>
      <c r="B261" s="46"/>
      <c r="C261" s="46"/>
      <c r="D261" s="46"/>
      <c r="E261" s="46"/>
    </row>
    <row r="262" spans="1:5" ht="14.25" customHeight="1" x14ac:dyDescent="0.2">
      <c r="A262" s="46"/>
      <c r="B262" s="46"/>
      <c r="C262" s="46"/>
      <c r="D262" s="46"/>
      <c r="E262" s="46"/>
    </row>
    <row r="263" spans="1:5" ht="14.25" customHeight="1" x14ac:dyDescent="0.2">
      <c r="A263" s="46"/>
      <c r="B263" s="46"/>
      <c r="C263" s="46"/>
      <c r="D263" s="46"/>
      <c r="E263" s="46"/>
    </row>
    <row r="264" spans="1:5" ht="14.25" customHeight="1" x14ac:dyDescent="0.2">
      <c r="A264" s="46"/>
      <c r="B264" s="46"/>
      <c r="C264" s="46"/>
      <c r="D264" s="46"/>
      <c r="E264" s="46"/>
    </row>
    <row r="265" spans="1:5" ht="14.25" customHeight="1" x14ac:dyDescent="0.2">
      <c r="A265" s="46"/>
      <c r="B265" s="46"/>
      <c r="C265" s="46"/>
      <c r="D265" s="46"/>
      <c r="E265" s="46"/>
    </row>
    <row r="266" spans="1:5" ht="14.25" customHeight="1" x14ac:dyDescent="0.2">
      <c r="A266" s="46"/>
      <c r="B266" s="46"/>
      <c r="C266" s="46"/>
      <c r="D266" s="46"/>
      <c r="E266" s="46"/>
    </row>
    <row r="267" spans="1:5" ht="14.25" customHeight="1" x14ac:dyDescent="0.2">
      <c r="A267" s="46"/>
      <c r="B267" s="46"/>
      <c r="C267" s="46"/>
      <c r="D267" s="46"/>
      <c r="E267" s="46"/>
    </row>
    <row r="268" spans="1:5" ht="14.25" customHeight="1" x14ac:dyDescent="0.2">
      <c r="A268" s="46"/>
      <c r="B268" s="46"/>
      <c r="C268" s="46"/>
      <c r="D268" s="46"/>
      <c r="E268" s="46"/>
    </row>
    <row r="269" spans="1:5" ht="14.25" customHeight="1" x14ac:dyDescent="0.2">
      <c r="A269" s="46"/>
      <c r="B269" s="46"/>
      <c r="C269" s="46"/>
      <c r="D269" s="46"/>
      <c r="E269" s="46"/>
    </row>
    <row r="270" spans="1:5" ht="14.25" customHeight="1" x14ac:dyDescent="0.2">
      <c r="A270" s="46"/>
      <c r="B270" s="46"/>
      <c r="C270" s="46"/>
      <c r="D270" s="46"/>
      <c r="E270" s="46"/>
    </row>
    <row r="271" spans="1:5" ht="14.25" customHeight="1" x14ac:dyDescent="0.2">
      <c r="A271" s="46"/>
      <c r="B271" s="46"/>
      <c r="C271" s="46"/>
      <c r="D271" s="46"/>
      <c r="E271" s="46"/>
    </row>
    <row r="272" spans="1:5" ht="14.25" customHeight="1" x14ac:dyDescent="0.2">
      <c r="A272" s="46"/>
      <c r="B272" s="46"/>
      <c r="C272" s="46"/>
      <c r="D272" s="46"/>
      <c r="E272" s="46"/>
    </row>
    <row r="273" spans="1:5" ht="14.25" customHeight="1" x14ac:dyDescent="0.2">
      <c r="A273" s="46"/>
      <c r="B273" s="46"/>
      <c r="C273" s="46"/>
      <c r="D273" s="46"/>
      <c r="E273" s="46"/>
    </row>
    <row r="274" spans="1:5" ht="14.25" customHeight="1" x14ac:dyDescent="0.2">
      <c r="A274" s="46"/>
      <c r="B274" s="46"/>
      <c r="C274" s="46"/>
      <c r="D274" s="46"/>
      <c r="E274" s="46"/>
    </row>
    <row r="275" spans="1:5" ht="14.25" customHeight="1" x14ac:dyDescent="0.2">
      <c r="A275" s="46"/>
      <c r="B275" s="46"/>
      <c r="C275" s="46"/>
      <c r="D275" s="46"/>
      <c r="E275" s="46"/>
    </row>
    <row r="276" spans="1:5" ht="14.25" customHeight="1" x14ac:dyDescent="0.2">
      <c r="A276" s="46"/>
      <c r="B276" s="46"/>
      <c r="C276" s="46"/>
      <c r="D276" s="46"/>
      <c r="E276" s="46"/>
    </row>
    <row r="277" spans="1:5" ht="14.25" customHeight="1" x14ac:dyDescent="0.2">
      <c r="A277" s="46"/>
      <c r="B277" s="46"/>
      <c r="C277" s="46"/>
      <c r="D277" s="46"/>
      <c r="E277" s="46"/>
    </row>
    <row r="278" spans="1:5" ht="14.25" customHeight="1" x14ac:dyDescent="0.2">
      <c r="A278" s="46"/>
      <c r="B278" s="46"/>
      <c r="C278" s="46"/>
      <c r="D278" s="46"/>
      <c r="E278" s="46"/>
    </row>
    <row r="279" spans="1:5" ht="14.25" customHeight="1" x14ac:dyDescent="0.2">
      <c r="A279" s="46"/>
      <c r="B279" s="46"/>
      <c r="C279" s="46"/>
      <c r="D279" s="46"/>
      <c r="E279" s="46"/>
    </row>
    <row r="280" spans="1:5" ht="14.25" customHeight="1" x14ac:dyDescent="0.2">
      <c r="A280" s="46"/>
      <c r="B280" s="46"/>
      <c r="C280" s="46"/>
      <c r="D280" s="46"/>
      <c r="E280" s="46"/>
    </row>
    <row r="281" spans="1:5" ht="14.25" customHeight="1" x14ac:dyDescent="0.2">
      <c r="A281" s="46"/>
      <c r="B281" s="46"/>
      <c r="C281" s="46"/>
      <c r="D281" s="46"/>
      <c r="E281" s="46"/>
    </row>
    <row r="282" spans="1:5" ht="14.25" customHeight="1" x14ac:dyDescent="0.2">
      <c r="A282" s="46"/>
      <c r="B282" s="46"/>
      <c r="C282" s="46"/>
      <c r="D282" s="46"/>
      <c r="E282" s="46"/>
    </row>
    <row r="283" spans="1:5" ht="14.25" customHeight="1" x14ac:dyDescent="0.2">
      <c r="A283" s="46"/>
      <c r="B283" s="46"/>
      <c r="C283" s="46"/>
      <c r="D283" s="46"/>
      <c r="E283" s="46"/>
    </row>
    <row r="284" spans="1:5" ht="14.25" customHeight="1" x14ac:dyDescent="0.2">
      <c r="A284" s="46"/>
      <c r="B284" s="46"/>
      <c r="C284" s="46"/>
      <c r="D284" s="46"/>
      <c r="E284" s="46"/>
    </row>
    <row r="285" spans="1:5" ht="14.25" customHeight="1" x14ac:dyDescent="0.2">
      <c r="A285" s="46"/>
      <c r="B285" s="46"/>
      <c r="C285" s="46"/>
      <c r="D285" s="46"/>
      <c r="E285" s="46"/>
    </row>
    <row r="286" spans="1:5" ht="14.25" customHeight="1" x14ac:dyDescent="0.2">
      <c r="A286" s="46"/>
      <c r="B286" s="46"/>
      <c r="C286" s="46"/>
      <c r="D286" s="46"/>
      <c r="E286" s="46"/>
    </row>
    <row r="287" spans="1:5" ht="14.25" customHeight="1" x14ac:dyDescent="0.2">
      <c r="A287" s="46"/>
      <c r="B287" s="46"/>
      <c r="C287" s="46"/>
      <c r="D287" s="46"/>
      <c r="E287" s="46"/>
    </row>
    <row r="288" spans="1:5" ht="14.25" customHeight="1" x14ac:dyDescent="0.2">
      <c r="A288" s="46"/>
      <c r="B288" s="46"/>
      <c r="C288" s="46"/>
      <c r="D288" s="46"/>
      <c r="E288" s="46"/>
    </row>
    <row r="289" spans="1:5" ht="14.25" customHeight="1" x14ac:dyDescent="0.2">
      <c r="A289" s="46"/>
      <c r="B289" s="46"/>
      <c r="C289" s="46"/>
      <c r="D289" s="46"/>
      <c r="E289" s="46"/>
    </row>
    <row r="290" spans="1:5" ht="14.25" customHeight="1" x14ac:dyDescent="0.2">
      <c r="A290" s="46"/>
      <c r="B290" s="46"/>
      <c r="C290" s="46"/>
      <c r="D290" s="46"/>
      <c r="E290" s="46"/>
    </row>
    <row r="291" spans="1:5" ht="14.25" customHeight="1" x14ac:dyDescent="0.2">
      <c r="A291" s="46"/>
      <c r="B291" s="46"/>
      <c r="C291" s="46"/>
      <c r="D291" s="46"/>
      <c r="E291" s="46"/>
    </row>
    <row r="292" spans="1:5" ht="14.25" customHeight="1" x14ac:dyDescent="0.2">
      <c r="A292" s="46"/>
      <c r="B292" s="46"/>
      <c r="C292" s="46"/>
      <c r="D292" s="46"/>
      <c r="E292" s="46"/>
    </row>
    <row r="293" spans="1:5" ht="14.25" customHeight="1" x14ac:dyDescent="0.2">
      <c r="A293" s="46"/>
      <c r="B293" s="46"/>
      <c r="C293" s="46"/>
      <c r="D293" s="46"/>
      <c r="E293" s="46"/>
    </row>
    <row r="294" spans="1:5" ht="14.25" customHeight="1" x14ac:dyDescent="0.2">
      <c r="A294" s="46"/>
      <c r="B294" s="46"/>
      <c r="C294" s="46"/>
      <c r="D294" s="46"/>
      <c r="E294" s="46"/>
    </row>
    <row r="295" spans="1:5" ht="14.25" customHeight="1" x14ac:dyDescent="0.2">
      <c r="A295" s="46"/>
      <c r="B295" s="46"/>
      <c r="C295" s="46"/>
      <c r="D295" s="46"/>
      <c r="E295" s="46"/>
    </row>
    <row r="296" spans="1:5" ht="14.25" customHeight="1" x14ac:dyDescent="0.2">
      <c r="A296" s="46"/>
      <c r="B296" s="46"/>
      <c r="C296" s="46"/>
      <c r="D296" s="46"/>
      <c r="E296" s="46"/>
    </row>
    <row r="297" spans="1:5" ht="14.25" customHeight="1" x14ac:dyDescent="0.2">
      <c r="A297" s="46"/>
      <c r="B297" s="46"/>
      <c r="C297" s="46"/>
      <c r="D297" s="46"/>
      <c r="E297" s="46"/>
    </row>
    <row r="298" spans="1:5" ht="14.25" customHeight="1" x14ac:dyDescent="0.2">
      <c r="A298" s="46"/>
      <c r="B298" s="46"/>
      <c r="C298" s="46"/>
      <c r="D298" s="46"/>
      <c r="E298" s="46"/>
    </row>
    <row r="299" spans="1:5" ht="14.25" customHeight="1" x14ac:dyDescent="0.2">
      <c r="A299" s="46"/>
      <c r="B299" s="46"/>
      <c r="C299" s="46"/>
      <c r="D299" s="46"/>
      <c r="E299" s="46"/>
    </row>
    <row r="300" spans="1:5" ht="14.25" customHeight="1" x14ac:dyDescent="0.2">
      <c r="A300" s="46"/>
      <c r="B300" s="46"/>
      <c r="C300" s="46"/>
      <c r="D300" s="46"/>
      <c r="E300" s="46"/>
    </row>
    <row r="301" spans="1:5" ht="14.25" customHeight="1" x14ac:dyDescent="0.2">
      <c r="A301" s="46"/>
      <c r="B301" s="46"/>
      <c r="C301" s="46"/>
      <c r="D301" s="46"/>
      <c r="E301" s="46"/>
    </row>
    <row r="302" spans="1:5" ht="14.25" customHeight="1" x14ac:dyDescent="0.2">
      <c r="A302" s="46"/>
      <c r="B302" s="46"/>
      <c r="C302" s="46"/>
      <c r="D302" s="46"/>
      <c r="E302" s="46"/>
    </row>
    <row r="303" spans="1:5" ht="14.25" customHeight="1" x14ac:dyDescent="0.2">
      <c r="A303" s="46"/>
      <c r="B303" s="46"/>
      <c r="C303" s="46"/>
      <c r="D303" s="46"/>
      <c r="E303" s="46"/>
    </row>
    <row r="304" spans="1:5" ht="14.25" customHeight="1" x14ac:dyDescent="0.2">
      <c r="A304" s="46"/>
      <c r="B304" s="46"/>
      <c r="C304" s="46"/>
      <c r="D304" s="46"/>
      <c r="E304" s="46"/>
    </row>
    <row r="305" spans="1:5" ht="14.25" customHeight="1" x14ac:dyDescent="0.2">
      <c r="A305" s="46"/>
      <c r="B305" s="46"/>
      <c r="C305" s="46"/>
      <c r="D305" s="46"/>
      <c r="E305" s="46"/>
    </row>
    <row r="306" spans="1:5" ht="14.25" customHeight="1" x14ac:dyDescent="0.2">
      <c r="A306" s="46"/>
      <c r="B306" s="46"/>
      <c r="C306" s="46"/>
      <c r="D306" s="46"/>
      <c r="E306" s="46"/>
    </row>
    <row r="307" spans="1:5" ht="14.25" customHeight="1" x14ac:dyDescent="0.2">
      <c r="A307" s="46"/>
      <c r="B307" s="46"/>
      <c r="C307" s="46"/>
      <c r="D307" s="46"/>
      <c r="E307" s="46"/>
    </row>
    <row r="308" spans="1:5" ht="14.25" customHeight="1" x14ac:dyDescent="0.2">
      <c r="A308" s="46"/>
      <c r="B308" s="46"/>
      <c r="C308" s="46"/>
      <c r="D308" s="46"/>
      <c r="E308" s="46"/>
    </row>
    <row r="309" spans="1:5" ht="14.25" customHeight="1" x14ac:dyDescent="0.2">
      <c r="A309" s="46"/>
      <c r="B309" s="46"/>
      <c r="C309" s="46"/>
      <c r="D309" s="46"/>
      <c r="E309" s="46"/>
    </row>
    <row r="310" spans="1:5" ht="14.25" customHeight="1" x14ac:dyDescent="0.2">
      <c r="A310" s="46"/>
      <c r="B310" s="46"/>
      <c r="C310" s="46"/>
      <c r="D310" s="46"/>
      <c r="E310" s="46"/>
    </row>
    <row r="311" spans="1:5" ht="14.25" customHeight="1" x14ac:dyDescent="0.2">
      <c r="A311" s="46"/>
      <c r="B311" s="46"/>
      <c r="C311" s="46"/>
      <c r="D311" s="46"/>
      <c r="E311" s="46"/>
    </row>
    <row r="312" spans="1:5" ht="14.25" customHeight="1" x14ac:dyDescent="0.2">
      <c r="A312" s="46"/>
      <c r="B312" s="46"/>
      <c r="C312" s="46"/>
      <c r="D312" s="46"/>
      <c r="E312" s="46"/>
    </row>
    <row r="313" spans="1:5" ht="14.25" customHeight="1" x14ac:dyDescent="0.2">
      <c r="A313" s="46"/>
      <c r="B313" s="46"/>
      <c r="C313" s="46"/>
      <c r="D313" s="46"/>
      <c r="E313" s="46"/>
    </row>
    <row r="314" spans="1:5" ht="14.25" customHeight="1" x14ac:dyDescent="0.2">
      <c r="A314" s="46"/>
      <c r="B314" s="46"/>
      <c r="C314" s="46"/>
      <c r="D314" s="46"/>
      <c r="E314" s="46"/>
    </row>
    <row r="315" spans="1:5" ht="14.25" customHeight="1" x14ac:dyDescent="0.2">
      <c r="A315" s="46"/>
      <c r="B315" s="46"/>
      <c r="C315" s="46"/>
      <c r="D315" s="46"/>
      <c r="E315" s="46"/>
    </row>
    <row r="316" spans="1:5" ht="14.25" customHeight="1" x14ac:dyDescent="0.2">
      <c r="A316" s="46"/>
      <c r="B316" s="46"/>
      <c r="C316" s="46"/>
      <c r="D316" s="46"/>
      <c r="E316" s="46"/>
    </row>
    <row r="317" spans="1:5" ht="14.25" customHeight="1" x14ac:dyDescent="0.2">
      <c r="A317" s="46"/>
      <c r="B317" s="46"/>
      <c r="C317" s="46"/>
      <c r="D317" s="46"/>
      <c r="E317" s="46"/>
    </row>
    <row r="318" spans="1:5" ht="14.25" customHeight="1" x14ac:dyDescent="0.2">
      <c r="A318" s="46"/>
      <c r="B318" s="46"/>
      <c r="C318" s="46"/>
      <c r="D318" s="46"/>
      <c r="E318" s="46"/>
    </row>
    <row r="319" spans="1:5" ht="14.25" customHeight="1" x14ac:dyDescent="0.2">
      <c r="A319" s="46"/>
      <c r="B319" s="46"/>
      <c r="C319" s="46"/>
      <c r="D319" s="46"/>
      <c r="E319" s="46"/>
    </row>
    <row r="320" spans="1:5" ht="14.25" customHeight="1" x14ac:dyDescent="0.2">
      <c r="A320" s="46"/>
      <c r="B320" s="46"/>
      <c r="C320" s="46"/>
      <c r="D320" s="46"/>
      <c r="E320" s="46"/>
    </row>
    <row r="321" spans="1:5" ht="14.25" customHeight="1" x14ac:dyDescent="0.2">
      <c r="A321" s="46"/>
      <c r="B321" s="46"/>
      <c r="C321" s="46"/>
      <c r="D321" s="46"/>
      <c r="E321" s="46"/>
    </row>
    <row r="322" spans="1:5" ht="14.25" customHeight="1" x14ac:dyDescent="0.2">
      <c r="A322" s="46"/>
      <c r="B322" s="46"/>
      <c r="C322" s="46"/>
      <c r="D322" s="46"/>
      <c r="E322" s="46"/>
    </row>
    <row r="323" spans="1:5" ht="14.25" customHeight="1" x14ac:dyDescent="0.2">
      <c r="A323" s="46"/>
      <c r="B323" s="46"/>
      <c r="C323" s="46"/>
      <c r="D323" s="46"/>
      <c r="E323" s="46"/>
    </row>
    <row r="324" spans="1:5" ht="14.25" customHeight="1" x14ac:dyDescent="0.2">
      <c r="A324" s="46"/>
      <c r="B324" s="46"/>
      <c r="C324" s="46"/>
      <c r="D324" s="46"/>
      <c r="E324" s="46"/>
    </row>
    <row r="325" spans="1:5" ht="14.25" customHeight="1" x14ac:dyDescent="0.2">
      <c r="A325" s="46"/>
      <c r="B325" s="46"/>
      <c r="C325" s="46"/>
      <c r="D325" s="46"/>
      <c r="E325" s="46"/>
    </row>
    <row r="326" spans="1:5" ht="14.25" customHeight="1" x14ac:dyDescent="0.2">
      <c r="A326" s="46"/>
      <c r="B326" s="46"/>
      <c r="C326" s="46"/>
      <c r="D326" s="46"/>
      <c r="E326" s="46"/>
    </row>
    <row r="327" spans="1:5" ht="14.25" customHeight="1" x14ac:dyDescent="0.2">
      <c r="A327" s="46"/>
      <c r="B327" s="46"/>
      <c r="C327" s="46"/>
      <c r="D327" s="46"/>
      <c r="E327" s="46"/>
    </row>
    <row r="328" spans="1:5" ht="14.25" customHeight="1" x14ac:dyDescent="0.2">
      <c r="A328" s="46"/>
      <c r="B328" s="46"/>
      <c r="C328" s="46"/>
      <c r="D328" s="46"/>
      <c r="E328" s="46"/>
    </row>
    <row r="329" spans="1:5" ht="14.25" customHeight="1" x14ac:dyDescent="0.2">
      <c r="A329" s="46"/>
      <c r="B329" s="46"/>
      <c r="C329" s="46"/>
      <c r="D329" s="46"/>
      <c r="E329" s="46"/>
    </row>
    <row r="330" spans="1:5" ht="14.25" customHeight="1" x14ac:dyDescent="0.2">
      <c r="A330" s="46"/>
      <c r="B330" s="46"/>
      <c r="C330" s="46"/>
      <c r="D330" s="46"/>
      <c r="E330" s="46"/>
    </row>
    <row r="331" spans="1:5" ht="14.25" customHeight="1" x14ac:dyDescent="0.2">
      <c r="A331" s="46"/>
      <c r="B331" s="46"/>
      <c r="C331" s="46"/>
      <c r="D331" s="46"/>
      <c r="E331" s="46"/>
    </row>
    <row r="332" spans="1:5" ht="14.25" customHeight="1" x14ac:dyDescent="0.2">
      <c r="A332" s="46"/>
      <c r="B332" s="46"/>
      <c r="C332" s="46"/>
      <c r="D332" s="46"/>
      <c r="E332" s="46"/>
    </row>
    <row r="333" spans="1:5" ht="14.25" customHeight="1" x14ac:dyDescent="0.2">
      <c r="A333" s="46"/>
      <c r="B333" s="46"/>
      <c r="C333" s="46"/>
      <c r="D333" s="46"/>
      <c r="E333" s="46"/>
    </row>
    <row r="334" spans="1:5" ht="14.25" customHeight="1" x14ac:dyDescent="0.2">
      <c r="A334" s="46"/>
      <c r="B334" s="46"/>
      <c r="C334" s="46"/>
      <c r="D334" s="46"/>
      <c r="E334" s="46"/>
    </row>
    <row r="335" spans="1:5" ht="14.25" customHeight="1" x14ac:dyDescent="0.2">
      <c r="A335" s="46"/>
      <c r="B335" s="46"/>
      <c r="C335" s="46"/>
      <c r="D335" s="46"/>
      <c r="E335" s="46"/>
    </row>
    <row r="336" spans="1:5" ht="14.25" customHeight="1" x14ac:dyDescent="0.2">
      <c r="A336" s="46"/>
      <c r="B336" s="46"/>
      <c r="C336" s="46"/>
      <c r="D336" s="46"/>
      <c r="E336" s="46"/>
    </row>
    <row r="337" spans="1:5" ht="14.25" customHeight="1" x14ac:dyDescent="0.2">
      <c r="A337" s="46"/>
      <c r="B337" s="46"/>
      <c r="C337" s="46"/>
      <c r="D337" s="46"/>
      <c r="E337" s="46"/>
    </row>
    <row r="338" spans="1:5" ht="14.25" customHeight="1" x14ac:dyDescent="0.2">
      <c r="A338" s="46"/>
      <c r="B338" s="46"/>
      <c r="C338" s="46"/>
      <c r="D338" s="46"/>
      <c r="E338" s="46"/>
    </row>
    <row r="339" spans="1:5" ht="14.25" customHeight="1" x14ac:dyDescent="0.2">
      <c r="A339" s="46"/>
      <c r="B339" s="46"/>
      <c r="C339" s="46"/>
      <c r="D339" s="46"/>
      <c r="E339" s="46"/>
    </row>
    <row r="340" spans="1:5" ht="14.25" customHeight="1" x14ac:dyDescent="0.2">
      <c r="A340" s="46"/>
      <c r="B340" s="46"/>
      <c r="C340" s="46"/>
      <c r="D340" s="46"/>
      <c r="E340" s="46"/>
    </row>
    <row r="341" spans="1:5" ht="14.25" customHeight="1" x14ac:dyDescent="0.2">
      <c r="A341" s="46"/>
      <c r="B341" s="46"/>
      <c r="C341" s="46"/>
      <c r="D341" s="46"/>
      <c r="E341" s="46"/>
    </row>
    <row r="342" spans="1:5" ht="14.25" customHeight="1" x14ac:dyDescent="0.2">
      <c r="A342" s="46"/>
      <c r="B342" s="46"/>
      <c r="C342" s="46"/>
      <c r="D342" s="46"/>
      <c r="E342" s="46"/>
    </row>
    <row r="343" spans="1:5" ht="14.25" customHeight="1" x14ac:dyDescent="0.2">
      <c r="A343" s="46"/>
      <c r="B343" s="46"/>
      <c r="C343" s="46"/>
      <c r="D343" s="46"/>
      <c r="E343" s="46"/>
    </row>
    <row r="344" spans="1:5" ht="14.25" customHeight="1" x14ac:dyDescent="0.2">
      <c r="A344" s="46"/>
      <c r="B344" s="46"/>
      <c r="C344" s="46"/>
      <c r="D344" s="46"/>
      <c r="E344" s="46"/>
    </row>
    <row r="345" spans="1:5" ht="14.25" customHeight="1" x14ac:dyDescent="0.2">
      <c r="A345" s="46"/>
      <c r="B345" s="46"/>
      <c r="C345" s="46"/>
      <c r="D345" s="46"/>
      <c r="E345" s="46"/>
    </row>
    <row r="346" spans="1:5" ht="14.25" customHeight="1" x14ac:dyDescent="0.2">
      <c r="A346" s="46"/>
      <c r="B346" s="46"/>
      <c r="C346" s="46"/>
      <c r="D346" s="46"/>
      <c r="E346" s="46"/>
    </row>
    <row r="347" spans="1:5" ht="14.25" customHeight="1" x14ac:dyDescent="0.2">
      <c r="A347" s="46"/>
      <c r="B347" s="46"/>
      <c r="C347" s="46"/>
      <c r="D347" s="46"/>
      <c r="E347" s="46"/>
    </row>
    <row r="348" spans="1:5" ht="14.25" customHeight="1" x14ac:dyDescent="0.2">
      <c r="A348" s="46"/>
      <c r="B348" s="46"/>
      <c r="C348" s="46"/>
      <c r="D348" s="46"/>
      <c r="E348" s="46"/>
    </row>
    <row r="349" spans="1:5" ht="14.25" customHeight="1" x14ac:dyDescent="0.2">
      <c r="A349" s="46"/>
      <c r="B349" s="46"/>
      <c r="C349" s="46"/>
      <c r="D349" s="46"/>
      <c r="E349" s="46"/>
    </row>
    <row r="350" spans="1:5" ht="14.25" customHeight="1" x14ac:dyDescent="0.2">
      <c r="A350" s="46"/>
      <c r="B350" s="46"/>
      <c r="C350" s="46"/>
      <c r="D350" s="46"/>
      <c r="E350" s="46"/>
    </row>
    <row r="351" spans="1:5" ht="14.25" customHeight="1" x14ac:dyDescent="0.2">
      <c r="A351" s="46"/>
      <c r="B351" s="46"/>
      <c r="C351" s="46"/>
      <c r="D351" s="46"/>
      <c r="E351" s="46"/>
    </row>
    <row r="352" spans="1:5" ht="14.25" customHeight="1" x14ac:dyDescent="0.2">
      <c r="A352" s="46"/>
      <c r="B352" s="46"/>
      <c r="C352" s="46"/>
      <c r="D352" s="46"/>
      <c r="E352" s="46"/>
    </row>
    <row r="353" spans="1:5" ht="14.25" customHeight="1" x14ac:dyDescent="0.2">
      <c r="A353" s="46"/>
      <c r="B353" s="46"/>
      <c r="C353" s="46"/>
      <c r="D353" s="46"/>
      <c r="E353" s="46"/>
    </row>
    <row r="354" spans="1:5" ht="14.25" customHeight="1" x14ac:dyDescent="0.2">
      <c r="A354" s="46"/>
      <c r="B354" s="46"/>
      <c r="C354" s="46"/>
      <c r="D354" s="46"/>
      <c r="E354" s="46"/>
    </row>
    <row r="355" spans="1:5" ht="14.25" customHeight="1" x14ac:dyDescent="0.2">
      <c r="A355" s="46"/>
      <c r="B355" s="46"/>
      <c r="C355" s="46"/>
      <c r="D355" s="46"/>
      <c r="E355" s="46"/>
    </row>
    <row r="356" spans="1:5" ht="14.25" customHeight="1" x14ac:dyDescent="0.2">
      <c r="A356" s="46"/>
      <c r="B356" s="46"/>
      <c r="C356" s="46"/>
      <c r="D356" s="46"/>
      <c r="E356" s="46"/>
    </row>
    <row r="357" spans="1:5" ht="14.25" customHeight="1" x14ac:dyDescent="0.2">
      <c r="A357" s="46"/>
      <c r="B357" s="46"/>
      <c r="C357" s="46"/>
      <c r="D357" s="46"/>
      <c r="E357" s="46"/>
    </row>
    <row r="358" spans="1:5" ht="14.25" customHeight="1" x14ac:dyDescent="0.2">
      <c r="A358" s="46"/>
      <c r="B358" s="46"/>
      <c r="C358" s="46"/>
      <c r="D358" s="46"/>
      <c r="E358" s="46"/>
    </row>
    <row r="359" spans="1:5" ht="14.25" customHeight="1" x14ac:dyDescent="0.2">
      <c r="A359" s="46"/>
      <c r="B359" s="46"/>
      <c r="C359" s="46"/>
      <c r="D359" s="46"/>
      <c r="E359" s="46"/>
    </row>
    <row r="360" spans="1:5" ht="14.25" customHeight="1" x14ac:dyDescent="0.2">
      <c r="A360" s="46"/>
      <c r="B360" s="46"/>
      <c r="C360" s="46"/>
      <c r="D360" s="46"/>
      <c r="E360" s="46"/>
    </row>
    <row r="361" spans="1:5" ht="14.25" customHeight="1" x14ac:dyDescent="0.2">
      <c r="A361" s="46"/>
      <c r="B361" s="46"/>
      <c r="C361" s="46"/>
      <c r="D361" s="46"/>
      <c r="E361" s="46"/>
    </row>
    <row r="362" spans="1:5" ht="14.25" customHeight="1" x14ac:dyDescent="0.2">
      <c r="A362" s="46"/>
      <c r="B362" s="46"/>
      <c r="C362" s="46"/>
      <c r="D362" s="46"/>
      <c r="E362" s="46"/>
    </row>
    <row r="363" spans="1:5" ht="14.25" customHeight="1" x14ac:dyDescent="0.2">
      <c r="A363" s="46"/>
      <c r="B363" s="46"/>
      <c r="C363" s="46"/>
      <c r="D363" s="46"/>
      <c r="E363" s="46"/>
    </row>
    <row r="364" spans="1:5" ht="14.25" customHeight="1" x14ac:dyDescent="0.2">
      <c r="A364" s="46"/>
      <c r="B364" s="46"/>
      <c r="C364" s="46"/>
      <c r="D364" s="46"/>
      <c r="E364" s="46"/>
    </row>
    <row r="365" spans="1:5" ht="14.25" customHeight="1" x14ac:dyDescent="0.2">
      <c r="A365" s="46"/>
      <c r="B365" s="46"/>
      <c r="C365" s="46"/>
      <c r="D365" s="46"/>
      <c r="E365" s="46"/>
    </row>
    <row r="366" spans="1:5" ht="14.25" customHeight="1" x14ac:dyDescent="0.2">
      <c r="A366" s="46"/>
      <c r="B366" s="46"/>
      <c r="C366" s="46"/>
      <c r="D366" s="46"/>
      <c r="E366" s="46"/>
    </row>
    <row r="367" spans="1:5" ht="14.25" customHeight="1" x14ac:dyDescent="0.2">
      <c r="A367" s="46"/>
      <c r="B367" s="46"/>
      <c r="C367" s="46"/>
      <c r="D367" s="46"/>
      <c r="E367" s="46"/>
    </row>
    <row r="368" spans="1:5" ht="14.25" customHeight="1" x14ac:dyDescent="0.2">
      <c r="A368" s="46"/>
      <c r="B368" s="46"/>
      <c r="C368" s="46"/>
      <c r="D368" s="46"/>
      <c r="E368" s="46"/>
    </row>
    <row r="369" spans="1:5" ht="14.25" customHeight="1" x14ac:dyDescent="0.2">
      <c r="A369" s="46"/>
      <c r="B369" s="46"/>
      <c r="C369" s="46"/>
      <c r="D369" s="46"/>
      <c r="E369" s="46"/>
    </row>
    <row r="370" spans="1:5" ht="14.25" customHeight="1" x14ac:dyDescent="0.2">
      <c r="A370" s="46"/>
      <c r="B370" s="46"/>
      <c r="C370" s="46"/>
      <c r="D370" s="46"/>
      <c r="E370" s="46"/>
    </row>
    <row r="371" spans="1:5" ht="14.25" customHeight="1" x14ac:dyDescent="0.2">
      <c r="A371" s="46"/>
      <c r="B371" s="46"/>
      <c r="C371" s="46"/>
      <c r="D371" s="46"/>
      <c r="E371" s="46"/>
    </row>
    <row r="372" spans="1:5" ht="14.25" customHeight="1" x14ac:dyDescent="0.2">
      <c r="A372" s="46"/>
      <c r="B372" s="46"/>
      <c r="C372" s="46"/>
      <c r="D372" s="46"/>
      <c r="E372" s="46"/>
    </row>
    <row r="373" spans="1:5" ht="14.25" customHeight="1" x14ac:dyDescent="0.2">
      <c r="A373" s="46"/>
      <c r="B373" s="46"/>
      <c r="C373" s="46"/>
      <c r="D373" s="46"/>
      <c r="E373" s="46"/>
    </row>
    <row r="374" spans="1:5" ht="14.25" customHeight="1" x14ac:dyDescent="0.2">
      <c r="A374" s="46"/>
      <c r="B374" s="46"/>
      <c r="C374" s="46"/>
      <c r="D374" s="46"/>
      <c r="E374" s="46"/>
    </row>
    <row r="375" spans="1:5" ht="14.25" customHeight="1" x14ac:dyDescent="0.2">
      <c r="A375" s="46"/>
      <c r="B375" s="46"/>
      <c r="C375" s="46"/>
      <c r="D375" s="46"/>
      <c r="E375" s="46"/>
    </row>
    <row r="376" spans="1:5" ht="14.25" customHeight="1" x14ac:dyDescent="0.2">
      <c r="A376" s="46"/>
      <c r="B376" s="46"/>
      <c r="C376" s="46"/>
      <c r="D376" s="46"/>
      <c r="E376" s="46"/>
    </row>
    <row r="377" spans="1:5" ht="14.25" customHeight="1" x14ac:dyDescent="0.2">
      <c r="A377" s="46"/>
      <c r="B377" s="46"/>
      <c r="C377" s="46"/>
      <c r="D377" s="46"/>
      <c r="E377" s="46"/>
    </row>
    <row r="378" spans="1:5" ht="14.25" customHeight="1" x14ac:dyDescent="0.2">
      <c r="A378" s="46"/>
      <c r="B378" s="46"/>
      <c r="C378" s="46"/>
      <c r="D378" s="46"/>
      <c r="E378" s="46"/>
    </row>
    <row r="379" spans="1:5" ht="14.25" customHeight="1" x14ac:dyDescent="0.2">
      <c r="A379" s="46"/>
      <c r="B379" s="46"/>
      <c r="C379" s="46"/>
      <c r="D379" s="46"/>
      <c r="E379" s="46"/>
    </row>
    <row r="380" spans="1:5" ht="14.25" customHeight="1" x14ac:dyDescent="0.2">
      <c r="A380" s="46"/>
      <c r="B380" s="46"/>
      <c r="C380" s="46"/>
      <c r="D380" s="46"/>
      <c r="E380" s="46"/>
    </row>
    <row r="381" spans="1:5" ht="14.25" customHeight="1" x14ac:dyDescent="0.2">
      <c r="A381" s="46"/>
      <c r="B381" s="46"/>
      <c r="C381" s="46"/>
      <c r="D381" s="46"/>
      <c r="E381" s="46"/>
    </row>
    <row r="382" spans="1:5" ht="14.25" customHeight="1" x14ac:dyDescent="0.2">
      <c r="A382" s="46"/>
      <c r="B382" s="46"/>
      <c r="C382" s="46"/>
      <c r="D382" s="46"/>
      <c r="E382" s="46"/>
    </row>
    <row r="383" spans="1:5" ht="14.25" customHeight="1" x14ac:dyDescent="0.2">
      <c r="A383" s="46"/>
      <c r="B383" s="46"/>
      <c r="C383" s="46"/>
      <c r="D383" s="46"/>
      <c r="E383" s="46"/>
    </row>
    <row r="384" spans="1:5" ht="14.25" customHeight="1" x14ac:dyDescent="0.2">
      <c r="A384" s="46"/>
      <c r="B384" s="46"/>
      <c r="C384" s="46"/>
      <c r="D384" s="46"/>
      <c r="E384" s="46"/>
    </row>
    <row r="385" spans="1:5" ht="14.25" customHeight="1" x14ac:dyDescent="0.2">
      <c r="A385" s="46"/>
      <c r="B385" s="46"/>
      <c r="C385" s="46"/>
      <c r="D385" s="46"/>
      <c r="E385" s="46"/>
    </row>
    <row r="386" spans="1:5" ht="14.25" customHeight="1" x14ac:dyDescent="0.2">
      <c r="A386" s="46"/>
      <c r="B386" s="46"/>
      <c r="C386" s="46"/>
      <c r="D386" s="46"/>
      <c r="E386" s="46"/>
    </row>
    <row r="387" spans="1:5" ht="14.25" customHeight="1" x14ac:dyDescent="0.2">
      <c r="A387" s="46"/>
      <c r="B387" s="46"/>
      <c r="C387" s="46"/>
      <c r="D387" s="46"/>
      <c r="E387" s="46"/>
    </row>
    <row r="388" spans="1:5" ht="14.25" customHeight="1" x14ac:dyDescent="0.2">
      <c r="A388" s="46"/>
      <c r="B388" s="46"/>
      <c r="C388" s="46"/>
      <c r="D388" s="46"/>
      <c r="E388" s="46"/>
    </row>
    <row r="389" spans="1:5" ht="14.25" customHeight="1" x14ac:dyDescent="0.2">
      <c r="A389" s="46"/>
      <c r="B389" s="46"/>
      <c r="C389" s="46"/>
      <c r="D389" s="46"/>
      <c r="E389" s="46"/>
    </row>
    <row r="390" spans="1:5" ht="14.25" customHeight="1" x14ac:dyDescent="0.2">
      <c r="A390" s="46"/>
      <c r="B390" s="46"/>
      <c r="C390" s="46"/>
      <c r="D390" s="46"/>
      <c r="E390" s="46"/>
    </row>
    <row r="391" spans="1:5" ht="14.25" customHeight="1" x14ac:dyDescent="0.2">
      <c r="A391" s="46"/>
      <c r="B391" s="46"/>
      <c r="C391" s="46"/>
      <c r="D391" s="46"/>
      <c r="E391" s="46"/>
    </row>
    <row r="392" spans="1:5" ht="14.25" customHeight="1" x14ac:dyDescent="0.2">
      <c r="A392" s="46"/>
      <c r="B392" s="46"/>
      <c r="C392" s="46"/>
      <c r="D392" s="46"/>
      <c r="E392" s="46"/>
    </row>
    <row r="393" spans="1:5" ht="14.25" customHeight="1" x14ac:dyDescent="0.2">
      <c r="A393" s="46"/>
      <c r="B393" s="46"/>
      <c r="C393" s="46"/>
      <c r="D393" s="46"/>
      <c r="E393" s="46"/>
    </row>
    <row r="394" spans="1:5" ht="14.25" customHeight="1" x14ac:dyDescent="0.2">
      <c r="A394" s="46"/>
      <c r="B394" s="46"/>
      <c r="C394" s="46"/>
      <c r="D394" s="46"/>
      <c r="E394" s="46"/>
    </row>
    <row r="395" spans="1:5" ht="14.25" customHeight="1" x14ac:dyDescent="0.2">
      <c r="A395" s="46"/>
      <c r="B395" s="46"/>
      <c r="C395" s="46"/>
      <c r="D395" s="46"/>
      <c r="E395" s="46"/>
    </row>
    <row r="396" spans="1:5" ht="14.25" customHeight="1" x14ac:dyDescent="0.2">
      <c r="A396" s="46"/>
      <c r="B396" s="46"/>
      <c r="C396" s="46"/>
      <c r="D396" s="46"/>
      <c r="E396" s="46"/>
    </row>
    <row r="397" spans="1:5" ht="14.25" customHeight="1" x14ac:dyDescent="0.2">
      <c r="A397" s="46"/>
      <c r="B397" s="46"/>
      <c r="C397" s="46"/>
      <c r="D397" s="46"/>
      <c r="E397" s="46"/>
    </row>
    <row r="398" spans="1:5" ht="14.25" customHeight="1" x14ac:dyDescent="0.2">
      <c r="A398" s="46"/>
      <c r="B398" s="46"/>
      <c r="C398" s="46"/>
      <c r="D398" s="46"/>
      <c r="E398" s="46"/>
    </row>
    <row r="399" spans="1:5" ht="14.25" customHeight="1" x14ac:dyDescent="0.2">
      <c r="A399" s="46"/>
      <c r="B399" s="46"/>
      <c r="C399" s="46"/>
      <c r="D399" s="46"/>
      <c r="E399" s="46"/>
    </row>
    <row r="400" spans="1:5" ht="14.25" customHeight="1" x14ac:dyDescent="0.2">
      <c r="A400" s="46"/>
      <c r="B400" s="46"/>
      <c r="C400" s="46"/>
      <c r="D400" s="46"/>
      <c r="E400" s="46"/>
    </row>
    <row r="401" spans="1:5" ht="14.25" customHeight="1" x14ac:dyDescent="0.2">
      <c r="A401" s="46"/>
      <c r="B401" s="46"/>
      <c r="C401" s="46"/>
      <c r="D401" s="46"/>
      <c r="E401" s="46"/>
    </row>
    <row r="402" spans="1:5" ht="14.25" customHeight="1" x14ac:dyDescent="0.2">
      <c r="A402" s="46"/>
      <c r="B402" s="46"/>
      <c r="C402" s="46"/>
      <c r="D402" s="46"/>
      <c r="E402" s="46"/>
    </row>
    <row r="403" spans="1:5" ht="14.25" customHeight="1" x14ac:dyDescent="0.2">
      <c r="A403" s="46"/>
      <c r="B403" s="46"/>
      <c r="C403" s="46"/>
      <c r="D403" s="46"/>
      <c r="E403" s="46"/>
    </row>
    <row r="404" spans="1:5" ht="14.25" customHeight="1" x14ac:dyDescent="0.2">
      <c r="A404" s="46"/>
      <c r="B404" s="46"/>
      <c r="C404" s="46"/>
      <c r="D404" s="46"/>
      <c r="E404" s="46"/>
    </row>
    <row r="405" spans="1:5" ht="14.25" customHeight="1" x14ac:dyDescent="0.2">
      <c r="A405" s="46"/>
      <c r="B405" s="46"/>
      <c r="C405" s="46"/>
      <c r="D405" s="46"/>
      <c r="E405" s="46"/>
    </row>
    <row r="406" spans="1:5" ht="14.25" customHeight="1" x14ac:dyDescent="0.2">
      <c r="A406" s="46"/>
      <c r="B406" s="46"/>
      <c r="C406" s="46"/>
      <c r="D406" s="46"/>
      <c r="E406" s="46"/>
    </row>
    <row r="407" spans="1:5" ht="14.25" customHeight="1" x14ac:dyDescent="0.2">
      <c r="A407" s="46"/>
      <c r="B407" s="46"/>
      <c r="C407" s="46"/>
      <c r="D407" s="46"/>
      <c r="E407" s="46"/>
    </row>
    <row r="408" spans="1:5" ht="14.25" customHeight="1" x14ac:dyDescent="0.2">
      <c r="A408" s="46"/>
      <c r="B408" s="46"/>
      <c r="C408" s="46"/>
      <c r="D408" s="46"/>
      <c r="E408" s="46"/>
    </row>
    <row r="409" spans="1:5" ht="14.25" customHeight="1" x14ac:dyDescent="0.2">
      <c r="A409" s="46"/>
      <c r="B409" s="46"/>
      <c r="C409" s="46"/>
      <c r="D409" s="46"/>
      <c r="E409" s="46"/>
    </row>
    <row r="410" spans="1:5" ht="14.25" customHeight="1" x14ac:dyDescent="0.2">
      <c r="A410" s="46"/>
      <c r="B410" s="46"/>
      <c r="C410" s="46"/>
      <c r="D410" s="46"/>
      <c r="E410" s="46"/>
    </row>
    <row r="411" spans="1:5" ht="14.25" customHeight="1" x14ac:dyDescent="0.2">
      <c r="A411" s="46"/>
      <c r="B411" s="46"/>
      <c r="C411" s="46"/>
      <c r="D411" s="46"/>
      <c r="E411" s="46"/>
    </row>
    <row r="412" spans="1:5" ht="14.25" customHeight="1" x14ac:dyDescent="0.2">
      <c r="A412" s="46"/>
      <c r="B412" s="46"/>
      <c r="C412" s="46"/>
      <c r="D412" s="46"/>
      <c r="E412" s="46"/>
    </row>
    <row r="413" spans="1:5" ht="14.25" customHeight="1" x14ac:dyDescent="0.2">
      <c r="A413" s="46"/>
      <c r="B413" s="46"/>
      <c r="C413" s="46"/>
      <c r="D413" s="46"/>
      <c r="E413" s="46"/>
    </row>
    <row r="414" spans="1:5" ht="14.25" customHeight="1" x14ac:dyDescent="0.2">
      <c r="A414" s="46"/>
      <c r="B414" s="46"/>
      <c r="C414" s="46"/>
      <c r="D414" s="46"/>
      <c r="E414" s="46"/>
    </row>
    <row r="415" spans="1:5" ht="14.25" customHeight="1" x14ac:dyDescent="0.2">
      <c r="A415" s="46"/>
      <c r="B415" s="46"/>
      <c r="C415" s="46"/>
      <c r="D415" s="46"/>
      <c r="E415" s="46"/>
    </row>
    <row r="416" spans="1:5" ht="14.25" customHeight="1" x14ac:dyDescent="0.2">
      <c r="A416" s="46"/>
      <c r="B416" s="46"/>
      <c r="C416" s="46"/>
      <c r="D416" s="46"/>
      <c r="E416" s="46"/>
    </row>
    <row r="417" spans="1:5" ht="14.25" customHeight="1" x14ac:dyDescent="0.2">
      <c r="A417" s="46"/>
      <c r="B417" s="46"/>
      <c r="C417" s="46"/>
      <c r="D417" s="46"/>
      <c r="E417" s="46"/>
    </row>
    <row r="418" spans="1:5" ht="14.25" customHeight="1" x14ac:dyDescent="0.2">
      <c r="A418" s="46"/>
      <c r="B418" s="46"/>
      <c r="C418" s="46"/>
      <c r="D418" s="46"/>
      <c r="E418" s="46"/>
    </row>
    <row r="419" spans="1:5" ht="14.25" customHeight="1" x14ac:dyDescent="0.2">
      <c r="A419" s="46"/>
      <c r="B419" s="46"/>
      <c r="C419" s="46"/>
      <c r="D419" s="46"/>
      <c r="E419" s="46"/>
    </row>
    <row r="420" spans="1:5" ht="14.25" customHeight="1" x14ac:dyDescent="0.2">
      <c r="A420" s="46"/>
      <c r="B420" s="46"/>
      <c r="C420" s="46"/>
      <c r="D420" s="46"/>
      <c r="E420" s="46"/>
    </row>
    <row r="421" spans="1:5" ht="14.25" customHeight="1" x14ac:dyDescent="0.2">
      <c r="A421" s="46"/>
      <c r="B421" s="46"/>
      <c r="C421" s="46"/>
      <c r="D421" s="46"/>
      <c r="E421" s="46"/>
    </row>
    <row r="422" spans="1:5" ht="14.25" customHeight="1" x14ac:dyDescent="0.2">
      <c r="A422" s="46"/>
      <c r="B422" s="46"/>
      <c r="C422" s="46"/>
      <c r="D422" s="46"/>
      <c r="E422" s="46"/>
    </row>
    <row r="423" spans="1:5" ht="14.25" customHeight="1" x14ac:dyDescent="0.2">
      <c r="A423" s="46"/>
      <c r="B423" s="46"/>
      <c r="C423" s="46"/>
      <c r="D423" s="46"/>
      <c r="E423" s="46"/>
    </row>
    <row r="424" spans="1:5" ht="14.25" customHeight="1" x14ac:dyDescent="0.2">
      <c r="A424" s="46"/>
      <c r="B424" s="46"/>
      <c r="C424" s="46"/>
      <c r="D424" s="46"/>
      <c r="E424" s="46"/>
    </row>
    <row r="425" spans="1:5" ht="14.25" customHeight="1" x14ac:dyDescent="0.2">
      <c r="A425" s="46"/>
      <c r="B425" s="46"/>
      <c r="C425" s="46"/>
      <c r="D425" s="46"/>
      <c r="E425" s="46"/>
    </row>
    <row r="426" spans="1:5" ht="14.25" customHeight="1" x14ac:dyDescent="0.2">
      <c r="A426" s="46"/>
      <c r="B426" s="46"/>
      <c r="C426" s="46"/>
      <c r="D426" s="46"/>
      <c r="E426" s="46"/>
    </row>
    <row r="427" spans="1:5" ht="14.25" customHeight="1" x14ac:dyDescent="0.2">
      <c r="A427" s="46"/>
      <c r="B427" s="46"/>
      <c r="C427" s="46"/>
      <c r="D427" s="46"/>
      <c r="E427" s="46"/>
    </row>
    <row r="428" spans="1:5" ht="14.25" customHeight="1" x14ac:dyDescent="0.2">
      <c r="A428" s="46"/>
      <c r="B428" s="46"/>
      <c r="C428" s="46"/>
      <c r="D428" s="46"/>
      <c r="E428" s="46"/>
    </row>
    <row r="429" spans="1:5" ht="14.25" customHeight="1" x14ac:dyDescent="0.2">
      <c r="A429" s="46"/>
      <c r="B429" s="46"/>
      <c r="C429" s="46"/>
      <c r="D429" s="46"/>
      <c r="E429" s="46"/>
    </row>
    <row r="430" spans="1:5" ht="14.25" customHeight="1" x14ac:dyDescent="0.2">
      <c r="A430" s="46"/>
      <c r="B430" s="46"/>
      <c r="C430" s="46"/>
      <c r="D430" s="46"/>
      <c r="E430" s="46"/>
    </row>
    <row r="431" spans="1:5" ht="14.25" customHeight="1" x14ac:dyDescent="0.2">
      <c r="A431" s="46"/>
      <c r="B431" s="46"/>
      <c r="C431" s="46"/>
      <c r="D431" s="46"/>
      <c r="E431" s="46"/>
    </row>
    <row r="432" spans="1:5" ht="14.25" customHeight="1" x14ac:dyDescent="0.2">
      <c r="A432" s="46"/>
      <c r="B432" s="46"/>
      <c r="C432" s="46"/>
      <c r="D432" s="46"/>
      <c r="E432" s="46"/>
    </row>
    <row r="433" spans="1:5" ht="14.25" customHeight="1" x14ac:dyDescent="0.2">
      <c r="A433" s="46"/>
      <c r="B433" s="46"/>
      <c r="C433" s="46"/>
      <c r="D433" s="46"/>
      <c r="E433" s="46"/>
    </row>
    <row r="434" spans="1:5" ht="14.25" customHeight="1" x14ac:dyDescent="0.2">
      <c r="A434" s="46"/>
      <c r="B434" s="46"/>
      <c r="C434" s="46"/>
      <c r="D434" s="46"/>
      <c r="E434" s="46"/>
    </row>
    <row r="435" spans="1:5" ht="14.25" customHeight="1" x14ac:dyDescent="0.2">
      <c r="A435" s="46"/>
      <c r="B435" s="46"/>
      <c r="C435" s="46"/>
      <c r="D435" s="46"/>
      <c r="E435" s="46"/>
    </row>
    <row r="436" spans="1:5" ht="14.25" customHeight="1" x14ac:dyDescent="0.2">
      <c r="A436" s="46"/>
      <c r="B436" s="46"/>
      <c r="C436" s="46"/>
      <c r="D436" s="46"/>
      <c r="E436" s="46"/>
    </row>
    <row r="437" spans="1:5" ht="14.25" customHeight="1" x14ac:dyDescent="0.2">
      <c r="A437" s="46"/>
      <c r="B437" s="46"/>
      <c r="C437" s="46"/>
      <c r="D437" s="46"/>
      <c r="E437" s="46"/>
    </row>
    <row r="438" spans="1:5" ht="14.25" customHeight="1" x14ac:dyDescent="0.2">
      <c r="A438" s="46"/>
      <c r="B438" s="46"/>
      <c r="C438" s="46"/>
      <c r="D438" s="46"/>
      <c r="E438" s="46"/>
    </row>
    <row r="439" spans="1:5" ht="14.25" customHeight="1" x14ac:dyDescent="0.2">
      <c r="A439" s="46"/>
      <c r="B439" s="46"/>
      <c r="C439" s="46"/>
      <c r="D439" s="46"/>
      <c r="E439" s="46"/>
    </row>
    <row r="440" spans="1:5" ht="14.25" customHeight="1" x14ac:dyDescent="0.2">
      <c r="A440" s="46"/>
      <c r="B440" s="46"/>
      <c r="C440" s="46"/>
      <c r="D440" s="46"/>
      <c r="E440" s="46"/>
    </row>
    <row r="441" spans="1:5" ht="14.25" customHeight="1" x14ac:dyDescent="0.2">
      <c r="A441" s="46"/>
      <c r="B441" s="46"/>
      <c r="C441" s="46"/>
      <c r="D441" s="46"/>
      <c r="E441" s="46"/>
    </row>
    <row r="442" spans="1:5" ht="14.25" customHeight="1" x14ac:dyDescent="0.2">
      <c r="A442" s="46"/>
      <c r="B442" s="46"/>
      <c r="C442" s="46"/>
      <c r="D442" s="46"/>
      <c r="E442" s="46"/>
    </row>
    <row r="443" spans="1:5" ht="14.25" customHeight="1" x14ac:dyDescent="0.2">
      <c r="A443" s="46"/>
      <c r="B443" s="46"/>
      <c r="C443" s="46"/>
      <c r="D443" s="46"/>
      <c r="E443" s="46"/>
    </row>
    <row r="444" spans="1:5" ht="14.25" customHeight="1" x14ac:dyDescent="0.2">
      <c r="A444" s="46"/>
      <c r="B444" s="46"/>
      <c r="C444" s="46"/>
      <c r="D444" s="46"/>
      <c r="E444" s="46"/>
    </row>
    <row r="445" spans="1:5" ht="14.25" customHeight="1" x14ac:dyDescent="0.2">
      <c r="A445" s="46"/>
      <c r="B445" s="46"/>
      <c r="C445" s="46"/>
      <c r="D445" s="46"/>
      <c r="E445" s="46"/>
    </row>
    <row r="446" spans="1:5" ht="14.25" customHeight="1" x14ac:dyDescent="0.2">
      <c r="A446" s="46"/>
      <c r="B446" s="46"/>
      <c r="C446" s="46"/>
      <c r="D446" s="46"/>
      <c r="E446" s="46"/>
    </row>
    <row r="447" spans="1:5" ht="14.25" customHeight="1" x14ac:dyDescent="0.2">
      <c r="A447" s="46"/>
      <c r="B447" s="46"/>
      <c r="C447" s="46"/>
      <c r="D447" s="46"/>
      <c r="E447" s="46"/>
    </row>
    <row r="448" spans="1:5" ht="14.25" customHeight="1" x14ac:dyDescent="0.2">
      <c r="A448" s="46"/>
      <c r="B448" s="46"/>
      <c r="C448" s="46"/>
      <c r="D448" s="46"/>
      <c r="E448" s="46"/>
    </row>
    <row r="449" spans="1:5" ht="14.25" customHeight="1" x14ac:dyDescent="0.2">
      <c r="A449" s="46"/>
      <c r="B449" s="46"/>
      <c r="C449" s="46"/>
      <c r="D449" s="46"/>
      <c r="E449" s="46"/>
    </row>
    <row r="450" spans="1:5" ht="14.25" customHeight="1" x14ac:dyDescent="0.2">
      <c r="A450" s="46"/>
      <c r="B450" s="46"/>
      <c r="C450" s="46"/>
      <c r="D450" s="46"/>
      <c r="E450" s="46"/>
    </row>
    <row r="451" spans="1:5" ht="14.25" customHeight="1" x14ac:dyDescent="0.2">
      <c r="A451" s="46"/>
      <c r="B451" s="46"/>
      <c r="C451" s="46"/>
      <c r="D451" s="46"/>
      <c r="E451" s="46"/>
    </row>
    <row r="452" spans="1:5" ht="14.25" customHeight="1" x14ac:dyDescent="0.2">
      <c r="A452" s="46"/>
      <c r="B452" s="46"/>
      <c r="C452" s="46"/>
      <c r="D452" s="46"/>
      <c r="E452" s="46"/>
    </row>
    <row r="453" spans="1:5" ht="14.25" customHeight="1" x14ac:dyDescent="0.2">
      <c r="A453" s="46"/>
      <c r="B453" s="46"/>
      <c r="C453" s="46"/>
      <c r="D453" s="46"/>
      <c r="E453" s="46"/>
    </row>
    <row r="454" spans="1:5" ht="14.25" customHeight="1" x14ac:dyDescent="0.2">
      <c r="A454" s="46"/>
      <c r="B454" s="46"/>
      <c r="C454" s="46"/>
      <c r="D454" s="46"/>
      <c r="E454" s="46"/>
    </row>
    <row r="455" spans="1:5" ht="14.25" customHeight="1" x14ac:dyDescent="0.2">
      <c r="A455" s="46"/>
      <c r="B455" s="46"/>
      <c r="C455" s="46"/>
      <c r="D455" s="46"/>
      <c r="E455" s="46"/>
    </row>
    <row r="456" spans="1:5" ht="14.25" customHeight="1" x14ac:dyDescent="0.2">
      <c r="A456" s="46"/>
      <c r="B456" s="46"/>
      <c r="C456" s="46"/>
      <c r="D456" s="46"/>
      <c r="E456" s="46"/>
    </row>
    <row r="457" spans="1:5" ht="14.25" customHeight="1" x14ac:dyDescent="0.2">
      <c r="A457" s="46"/>
      <c r="B457" s="46"/>
      <c r="C457" s="46"/>
      <c r="D457" s="46"/>
      <c r="E457" s="46"/>
    </row>
    <row r="458" spans="1:5" ht="14.25" customHeight="1" x14ac:dyDescent="0.2">
      <c r="A458" s="46"/>
      <c r="B458" s="46"/>
      <c r="C458" s="46"/>
      <c r="D458" s="46"/>
      <c r="E458" s="46"/>
    </row>
    <row r="459" spans="1:5" ht="14.25" customHeight="1" x14ac:dyDescent="0.2">
      <c r="A459" s="46"/>
      <c r="B459" s="46"/>
      <c r="C459" s="46"/>
      <c r="D459" s="46"/>
      <c r="E459" s="46"/>
    </row>
    <row r="460" spans="1:5" ht="14.25" customHeight="1" x14ac:dyDescent="0.2">
      <c r="A460" s="46"/>
      <c r="B460" s="46"/>
      <c r="C460" s="46"/>
      <c r="D460" s="46"/>
      <c r="E460" s="46"/>
    </row>
    <row r="461" spans="1:5" ht="14.25" customHeight="1" x14ac:dyDescent="0.2">
      <c r="A461" s="46"/>
      <c r="B461" s="46"/>
      <c r="C461" s="46"/>
      <c r="D461" s="46"/>
      <c r="E461" s="46"/>
    </row>
    <row r="462" spans="1:5" ht="14.25" customHeight="1" x14ac:dyDescent="0.2">
      <c r="A462" s="46"/>
      <c r="B462" s="46"/>
      <c r="C462" s="46"/>
      <c r="D462" s="46"/>
      <c r="E462" s="46"/>
    </row>
    <row r="463" spans="1:5" ht="14.25" customHeight="1" x14ac:dyDescent="0.2">
      <c r="A463" s="46"/>
      <c r="B463" s="46"/>
      <c r="C463" s="46"/>
      <c r="D463" s="46"/>
      <c r="E463" s="46"/>
    </row>
    <row r="464" spans="1:5" ht="14.25" customHeight="1" x14ac:dyDescent="0.2">
      <c r="A464" s="46"/>
      <c r="B464" s="46"/>
      <c r="C464" s="46"/>
      <c r="D464" s="46"/>
      <c r="E464" s="46"/>
    </row>
    <row r="465" spans="1:5" ht="14.25" customHeight="1" x14ac:dyDescent="0.2">
      <c r="A465" s="46"/>
      <c r="B465" s="46"/>
      <c r="C465" s="46"/>
      <c r="D465" s="46"/>
      <c r="E465" s="46"/>
    </row>
    <row r="466" spans="1:5" ht="14.25" customHeight="1" x14ac:dyDescent="0.2">
      <c r="A466" s="46"/>
      <c r="B466" s="46"/>
      <c r="C466" s="46"/>
      <c r="D466" s="46"/>
      <c r="E466" s="46"/>
    </row>
    <row r="467" spans="1:5" ht="14.25" customHeight="1" x14ac:dyDescent="0.2">
      <c r="A467" s="46"/>
      <c r="B467" s="46"/>
      <c r="C467" s="46"/>
      <c r="D467" s="46"/>
      <c r="E467" s="46"/>
    </row>
    <row r="468" spans="1:5" ht="14.25" customHeight="1" x14ac:dyDescent="0.2">
      <c r="A468" s="46"/>
      <c r="B468" s="46"/>
      <c r="C468" s="46"/>
      <c r="D468" s="46"/>
      <c r="E468" s="46"/>
    </row>
    <row r="469" spans="1:5" ht="14.25" customHeight="1" x14ac:dyDescent="0.2">
      <c r="A469" s="46"/>
      <c r="B469" s="46"/>
      <c r="C469" s="46"/>
      <c r="D469" s="46"/>
      <c r="E469" s="46"/>
    </row>
    <row r="470" spans="1:5" ht="14.25" customHeight="1" x14ac:dyDescent="0.2">
      <c r="A470" s="46"/>
      <c r="B470" s="46"/>
      <c r="C470" s="46"/>
      <c r="D470" s="46"/>
      <c r="E470" s="46"/>
    </row>
    <row r="471" spans="1:5" ht="14.25" customHeight="1" x14ac:dyDescent="0.2">
      <c r="A471" s="46"/>
      <c r="B471" s="46"/>
      <c r="C471" s="46"/>
      <c r="D471" s="46"/>
      <c r="E471" s="46"/>
    </row>
    <row r="472" spans="1:5" ht="14.25" customHeight="1" x14ac:dyDescent="0.2">
      <c r="A472" s="46"/>
      <c r="B472" s="46"/>
      <c r="C472" s="46"/>
      <c r="D472" s="46"/>
      <c r="E472" s="46"/>
    </row>
    <row r="473" spans="1:5" ht="14.25" customHeight="1" x14ac:dyDescent="0.2">
      <c r="A473" s="46"/>
      <c r="B473" s="46"/>
      <c r="C473" s="46"/>
      <c r="D473" s="46"/>
      <c r="E473" s="46"/>
    </row>
    <row r="474" spans="1:5" ht="14.25" customHeight="1" x14ac:dyDescent="0.2">
      <c r="A474" s="46"/>
      <c r="B474" s="46"/>
      <c r="C474" s="46"/>
      <c r="D474" s="46"/>
      <c r="E474" s="46"/>
    </row>
    <row r="475" spans="1:5" ht="14.25" customHeight="1" x14ac:dyDescent="0.2">
      <c r="A475" s="46"/>
      <c r="B475" s="46"/>
      <c r="C475" s="46"/>
      <c r="D475" s="46"/>
      <c r="E475" s="46"/>
    </row>
    <row r="476" spans="1:5" ht="14.25" customHeight="1" x14ac:dyDescent="0.2">
      <c r="A476" s="46"/>
      <c r="B476" s="46"/>
      <c r="C476" s="46"/>
      <c r="D476" s="46"/>
      <c r="E476" s="46"/>
    </row>
    <row r="477" spans="1:5" ht="14.25" customHeight="1" x14ac:dyDescent="0.2">
      <c r="A477" s="46"/>
      <c r="B477" s="46"/>
      <c r="C477" s="46"/>
      <c r="D477" s="46"/>
      <c r="E477" s="46"/>
    </row>
    <row r="478" spans="1:5" ht="14.25" customHeight="1" x14ac:dyDescent="0.2">
      <c r="A478" s="46"/>
      <c r="B478" s="46"/>
      <c r="C478" s="46"/>
      <c r="D478" s="46"/>
      <c r="E478" s="46"/>
    </row>
    <row r="479" spans="1:5" ht="14.25" customHeight="1" x14ac:dyDescent="0.2">
      <c r="A479" s="46"/>
      <c r="B479" s="46"/>
      <c r="C479" s="46"/>
      <c r="D479" s="46"/>
      <c r="E479" s="46"/>
    </row>
    <row r="480" spans="1:5" ht="14.25" customHeight="1" x14ac:dyDescent="0.2">
      <c r="A480" s="46"/>
      <c r="B480" s="46"/>
      <c r="C480" s="46"/>
      <c r="D480" s="46"/>
      <c r="E480" s="46"/>
    </row>
    <row r="481" spans="1:5" ht="14.25" customHeight="1" x14ac:dyDescent="0.2">
      <c r="A481" s="46"/>
      <c r="B481" s="46"/>
      <c r="C481" s="46"/>
      <c r="D481" s="46"/>
      <c r="E481" s="46"/>
    </row>
    <row r="482" spans="1:5" ht="14.25" customHeight="1" x14ac:dyDescent="0.2">
      <c r="A482" s="46"/>
      <c r="B482" s="46"/>
      <c r="C482" s="46"/>
      <c r="D482" s="46"/>
      <c r="E482" s="46"/>
    </row>
    <row r="483" spans="1:5" ht="14.25" customHeight="1" x14ac:dyDescent="0.2">
      <c r="A483" s="46"/>
      <c r="B483" s="46"/>
      <c r="C483" s="46"/>
      <c r="D483" s="46"/>
      <c r="E483" s="46"/>
    </row>
    <row r="484" spans="1:5" ht="14.25" customHeight="1" x14ac:dyDescent="0.2">
      <c r="A484" s="46"/>
      <c r="B484" s="46"/>
      <c r="C484" s="46"/>
      <c r="D484" s="46"/>
      <c r="E484" s="46"/>
    </row>
    <row r="485" spans="1:5" ht="14.25" customHeight="1" x14ac:dyDescent="0.2">
      <c r="A485" s="46"/>
      <c r="B485" s="46"/>
      <c r="C485" s="46"/>
      <c r="D485" s="46"/>
      <c r="E485" s="46"/>
    </row>
    <row r="486" spans="1:5" ht="14.25" customHeight="1" x14ac:dyDescent="0.2">
      <c r="A486" s="46"/>
      <c r="B486" s="46"/>
      <c r="C486" s="46"/>
      <c r="D486" s="46"/>
      <c r="E486" s="46"/>
    </row>
    <row r="487" spans="1:5" ht="14.25" customHeight="1" x14ac:dyDescent="0.2">
      <c r="A487" s="46"/>
      <c r="B487" s="46"/>
      <c r="C487" s="46"/>
      <c r="D487" s="46"/>
      <c r="E487" s="46"/>
    </row>
    <row r="488" spans="1:5" ht="14.25" customHeight="1" x14ac:dyDescent="0.2">
      <c r="A488" s="46"/>
      <c r="B488" s="46"/>
      <c r="C488" s="46"/>
      <c r="D488" s="46"/>
      <c r="E488" s="46"/>
    </row>
    <row r="489" spans="1:5" ht="14.25" customHeight="1" x14ac:dyDescent="0.2">
      <c r="A489" s="46"/>
      <c r="B489" s="46"/>
      <c r="C489" s="46"/>
      <c r="D489" s="46"/>
      <c r="E489" s="46"/>
    </row>
    <row r="490" spans="1:5" ht="14.25" customHeight="1" x14ac:dyDescent="0.2">
      <c r="A490" s="46"/>
      <c r="B490" s="46"/>
      <c r="C490" s="46"/>
      <c r="D490" s="46"/>
      <c r="E490" s="46"/>
    </row>
    <row r="491" spans="1:5" ht="14.25" customHeight="1" x14ac:dyDescent="0.2">
      <c r="A491" s="46"/>
      <c r="B491" s="46"/>
      <c r="C491" s="46"/>
      <c r="D491" s="46"/>
      <c r="E491" s="46"/>
    </row>
    <row r="492" spans="1:5" ht="14.25" customHeight="1" x14ac:dyDescent="0.2">
      <c r="A492" s="46"/>
      <c r="B492" s="46"/>
      <c r="C492" s="46"/>
      <c r="D492" s="46"/>
      <c r="E492" s="46"/>
    </row>
    <row r="493" spans="1:5" ht="14.25" customHeight="1" x14ac:dyDescent="0.2">
      <c r="A493" s="46"/>
      <c r="B493" s="46"/>
      <c r="C493" s="46"/>
      <c r="D493" s="46"/>
      <c r="E493" s="46"/>
    </row>
    <row r="494" spans="1:5" ht="14.25" customHeight="1" x14ac:dyDescent="0.2">
      <c r="A494" s="46"/>
      <c r="B494" s="46"/>
      <c r="C494" s="46"/>
      <c r="D494" s="46"/>
      <c r="E494" s="46"/>
    </row>
    <row r="495" spans="1:5" ht="14.25" customHeight="1" x14ac:dyDescent="0.2">
      <c r="A495" s="46"/>
      <c r="B495" s="46"/>
      <c r="C495" s="46"/>
      <c r="D495" s="46"/>
      <c r="E495" s="46"/>
    </row>
    <row r="496" spans="1:5" ht="14.25" customHeight="1" x14ac:dyDescent="0.2">
      <c r="A496" s="46"/>
      <c r="B496" s="46"/>
      <c r="C496" s="46"/>
      <c r="D496" s="46"/>
      <c r="E496" s="46"/>
    </row>
    <row r="497" spans="1:5" ht="14.25" customHeight="1" x14ac:dyDescent="0.2">
      <c r="A497" s="46"/>
      <c r="B497" s="46"/>
      <c r="C497" s="46"/>
      <c r="D497" s="46"/>
      <c r="E497" s="46"/>
    </row>
    <row r="498" spans="1:5" ht="14.25" customHeight="1" x14ac:dyDescent="0.2">
      <c r="A498" s="46"/>
      <c r="B498" s="46"/>
      <c r="C498" s="46"/>
      <c r="D498" s="46"/>
      <c r="E498" s="46"/>
    </row>
    <row r="499" spans="1:5" ht="14.25" customHeight="1" x14ac:dyDescent="0.2">
      <c r="A499" s="46"/>
      <c r="B499" s="46"/>
      <c r="C499" s="46"/>
      <c r="D499" s="46"/>
      <c r="E499" s="46"/>
    </row>
    <row r="500" spans="1:5" ht="14.25" customHeight="1" x14ac:dyDescent="0.2">
      <c r="A500" s="46"/>
      <c r="B500" s="46"/>
      <c r="C500" s="46"/>
      <c r="D500" s="46"/>
      <c r="E500" s="46"/>
    </row>
    <row r="501" spans="1:5" ht="14.25" customHeight="1" x14ac:dyDescent="0.2">
      <c r="A501" s="46"/>
      <c r="B501" s="46"/>
      <c r="C501" s="46"/>
      <c r="D501" s="46"/>
      <c r="E501" s="46"/>
    </row>
    <row r="502" spans="1:5" ht="14.25" customHeight="1" x14ac:dyDescent="0.2">
      <c r="A502" s="46"/>
      <c r="B502" s="46"/>
      <c r="C502" s="46"/>
      <c r="D502" s="46"/>
      <c r="E502" s="46"/>
    </row>
    <row r="503" spans="1:5" ht="14.25" customHeight="1" x14ac:dyDescent="0.2">
      <c r="A503" s="46"/>
      <c r="B503" s="46"/>
      <c r="C503" s="46"/>
      <c r="D503" s="46"/>
      <c r="E503" s="46"/>
    </row>
    <row r="504" spans="1:5" ht="14.25" customHeight="1" x14ac:dyDescent="0.2">
      <c r="A504" s="46"/>
      <c r="B504" s="46"/>
      <c r="C504" s="46"/>
      <c r="D504" s="46"/>
      <c r="E504" s="46"/>
    </row>
    <row r="505" spans="1:5" ht="14.25" customHeight="1" x14ac:dyDescent="0.2">
      <c r="A505" s="46"/>
      <c r="B505" s="46"/>
      <c r="C505" s="46"/>
      <c r="D505" s="46"/>
      <c r="E505" s="46"/>
    </row>
    <row r="506" spans="1:5" ht="14.25" customHeight="1" x14ac:dyDescent="0.2">
      <c r="A506" s="46"/>
      <c r="B506" s="46"/>
      <c r="C506" s="46"/>
      <c r="D506" s="46"/>
      <c r="E506" s="46"/>
    </row>
    <row r="507" spans="1:5" ht="14.25" customHeight="1" x14ac:dyDescent="0.2">
      <c r="A507" s="46"/>
      <c r="B507" s="46"/>
      <c r="C507" s="46"/>
      <c r="D507" s="46"/>
      <c r="E507" s="46"/>
    </row>
    <row r="508" spans="1:5" ht="14.25" customHeight="1" x14ac:dyDescent="0.2">
      <c r="A508" s="46"/>
      <c r="B508" s="46"/>
      <c r="C508" s="46"/>
      <c r="D508" s="46"/>
      <c r="E508" s="46"/>
    </row>
    <row r="509" spans="1:5" ht="14.25" customHeight="1" x14ac:dyDescent="0.2">
      <c r="A509" s="46"/>
      <c r="B509" s="46"/>
      <c r="C509" s="46"/>
      <c r="D509" s="46"/>
      <c r="E509" s="46"/>
    </row>
    <row r="510" spans="1:5" ht="14.25" customHeight="1" x14ac:dyDescent="0.2">
      <c r="A510" s="46"/>
      <c r="B510" s="46"/>
      <c r="C510" s="46"/>
      <c r="D510" s="46"/>
      <c r="E510" s="46"/>
    </row>
    <row r="511" spans="1:5" ht="14.25" customHeight="1" x14ac:dyDescent="0.2">
      <c r="A511" s="46"/>
      <c r="B511" s="46"/>
      <c r="C511" s="46"/>
      <c r="D511" s="46"/>
      <c r="E511" s="46"/>
    </row>
    <row r="512" spans="1:5" ht="14.25" customHeight="1" x14ac:dyDescent="0.2">
      <c r="A512" s="46"/>
      <c r="B512" s="46"/>
      <c r="C512" s="46"/>
      <c r="D512" s="46"/>
      <c r="E512" s="46"/>
    </row>
    <row r="513" spans="1:5" ht="14.25" customHeight="1" x14ac:dyDescent="0.2">
      <c r="A513" s="46"/>
      <c r="B513" s="46"/>
      <c r="C513" s="46"/>
      <c r="D513" s="46"/>
      <c r="E513" s="46"/>
    </row>
    <row r="514" spans="1:5" ht="14.25" customHeight="1" x14ac:dyDescent="0.2">
      <c r="A514" s="46"/>
      <c r="B514" s="46"/>
      <c r="C514" s="46"/>
      <c r="D514" s="46"/>
      <c r="E514" s="46"/>
    </row>
    <row r="515" spans="1:5" ht="14.25" customHeight="1" x14ac:dyDescent="0.2">
      <c r="A515" s="46"/>
      <c r="B515" s="46"/>
      <c r="C515" s="46"/>
      <c r="D515" s="46"/>
      <c r="E515" s="46"/>
    </row>
    <row r="516" spans="1:5" ht="14.25" customHeight="1" x14ac:dyDescent="0.2">
      <c r="A516" s="46"/>
      <c r="B516" s="46"/>
      <c r="C516" s="46"/>
      <c r="D516" s="46"/>
      <c r="E516" s="46"/>
    </row>
    <row r="517" spans="1:5" ht="14.25" customHeight="1" x14ac:dyDescent="0.2">
      <c r="A517" s="46"/>
      <c r="B517" s="46"/>
      <c r="C517" s="46"/>
      <c r="D517" s="46"/>
      <c r="E517" s="46"/>
    </row>
    <row r="518" spans="1:5" ht="14.25" customHeight="1" x14ac:dyDescent="0.2">
      <c r="A518" s="46"/>
      <c r="B518" s="46"/>
      <c r="C518" s="46"/>
      <c r="D518" s="46"/>
      <c r="E518" s="46"/>
    </row>
    <row r="519" spans="1:5" ht="14.25" customHeight="1" x14ac:dyDescent="0.2">
      <c r="A519" s="46"/>
      <c r="B519" s="46"/>
      <c r="C519" s="46"/>
      <c r="D519" s="46"/>
      <c r="E519" s="46"/>
    </row>
    <row r="520" spans="1:5" ht="14.25" customHeight="1" x14ac:dyDescent="0.2">
      <c r="A520" s="46"/>
      <c r="B520" s="46"/>
      <c r="C520" s="46"/>
      <c r="D520" s="46"/>
      <c r="E520" s="46"/>
    </row>
    <row r="521" spans="1:5" ht="14.25" customHeight="1" x14ac:dyDescent="0.2">
      <c r="A521" s="46"/>
      <c r="B521" s="46"/>
      <c r="C521" s="46"/>
      <c r="D521" s="46"/>
      <c r="E521" s="46"/>
    </row>
    <row r="522" spans="1:5" ht="14.25" customHeight="1" x14ac:dyDescent="0.2">
      <c r="A522" s="46"/>
      <c r="B522" s="46"/>
      <c r="C522" s="46"/>
      <c r="D522" s="46"/>
      <c r="E522" s="46"/>
    </row>
    <row r="523" spans="1:5" ht="14.25" customHeight="1" x14ac:dyDescent="0.2">
      <c r="A523" s="46"/>
      <c r="B523" s="46"/>
      <c r="C523" s="46"/>
      <c r="D523" s="46"/>
      <c r="E523" s="46"/>
    </row>
    <row r="524" spans="1:5" ht="14.25" customHeight="1" x14ac:dyDescent="0.2">
      <c r="A524" s="46"/>
      <c r="B524" s="46"/>
      <c r="C524" s="46"/>
      <c r="D524" s="46"/>
      <c r="E524" s="46"/>
    </row>
    <row r="525" spans="1:5" ht="14.25" customHeight="1" x14ac:dyDescent="0.2">
      <c r="A525" s="46"/>
      <c r="B525" s="46"/>
      <c r="C525" s="46"/>
      <c r="D525" s="46"/>
      <c r="E525" s="46"/>
    </row>
    <row r="526" spans="1:5" ht="14.25" customHeight="1" x14ac:dyDescent="0.2">
      <c r="A526" s="46"/>
      <c r="B526" s="46"/>
      <c r="C526" s="46"/>
      <c r="D526" s="46"/>
      <c r="E526" s="46"/>
    </row>
    <row r="527" spans="1:5" ht="14.25" customHeight="1" x14ac:dyDescent="0.2">
      <c r="A527" s="46"/>
      <c r="B527" s="46"/>
      <c r="C527" s="46"/>
      <c r="D527" s="46"/>
      <c r="E527" s="46"/>
    </row>
    <row r="528" spans="1:5" ht="14.25" customHeight="1" x14ac:dyDescent="0.2">
      <c r="A528" s="46"/>
      <c r="B528" s="46"/>
      <c r="C528" s="46"/>
      <c r="D528" s="46"/>
      <c r="E528" s="46"/>
    </row>
    <row r="529" spans="1:5" ht="14.25" customHeight="1" x14ac:dyDescent="0.2">
      <c r="A529" s="46"/>
      <c r="B529" s="46"/>
      <c r="C529" s="46"/>
      <c r="D529" s="46"/>
      <c r="E529" s="46"/>
    </row>
    <row r="530" spans="1:5" ht="14.25" customHeight="1" x14ac:dyDescent="0.2">
      <c r="A530" s="46"/>
      <c r="B530" s="46"/>
      <c r="C530" s="46"/>
      <c r="D530" s="46"/>
      <c r="E530" s="46"/>
    </row>
    <row r="531" spans="1:5" ht="14.25" customHeight="1" x14ac:dyDescent="0.2">
      <c r="A531" s="46"/>
      <c r="B531" s="46"/>
      <c r="C531" s="46"/>
      <c r="D531" s="46"/>
      <c r="E531" s="46"/>
    </row>
    <row r="532" spans="1:5" ht="14.25" customHeight="1" x14ac:dyDescent="0.2">
      <c r="A532" s="46"/>
      <c r="B532" s="46"/>
      <c r="C532" s="46"/>
      <c r="D532" s="46"/>
      <c r="E532" s="46"/>
    </row>
    <row r="533" spans="1:5" ht="14.25" customHeight="1" x14ac:dyDescent="0.2">
      <c r="A533" s="46"/>
      <c r="B533" s="46"/>
      <c r="C533" s="46"/>
      <c r="D533" s="46"/>
      <c r="E533" s="46"/>
    </row>
    <row r="534" spans="1:5" ht="14.25" customHeight="1" x14ac:dyDescent="0.2">
      <c r="A534" s="46"/>
      <c r="B534" s="46"/>
      <c r="C534" s="46"/>
      <c r="D534" s="46"/>
      <c r="E534" s="46"/>
    </row>
    <row r="535" spans="1:5" ht="14.25" customHeight="1" x14ac:dyDescent="0.2">
      <c r="A535" s="46"/>
      <c r="B535" s="46"/>
      <c r="C535" s="46"/>
      <c r="D535" s="46"/>
      <c r="E535" s="46"/>
    </row>
    <row r="536" spans="1:5" ht="14.25" customHeight="1" x14ac:dyDescent="0.2">
      <c r="A536" s="46"/>
      <c r="B536" s="46"/>
      <c r="C536" s="46"/>
      <c r="D536" s="46"/>
      <c r="E536" s="46"/>
    </row>
    <row r="537" spans="1:5" ht="14.25" customHeight="1" x14ac:dyDescent="0.2">
      <c r="A537" s="46"/>
      <c r="B537" s="46"/>
      <c r="C537" s="46"/>
      <c r="D537" s="46"/>
      <c r="E537" s="46"/>
    </row>
    <row r="538" spans="1:5" ht="14.25" customHeight="1" x14ac:dyDescent="0.2">
      <c r="A538" s="46"/>
      <c r="B538" s="46"/>
      <c r="C538" s="46"/>
      <c r="D538" s="46"/>
      <c r="E538" s="46"/>
    </row>
    <row r="539" spans="1:5" ht="14.25" customHeight="1" x14ac:dyDescent="0.2">
      <c r="A539" s="46"/>
      <c r="B539" s="46"/>
      <c r="C539" s="46"/>
      <c r="D539" s="46"/>
      <c r="E539" s="46"/>
    </row>
    <row r="540" spans="1:5" ht="14.25" customHeight="1" x14ac:dyDescent="0.2">
      <c r="A540" s="46"/>
      <c r="B540" s="46"/>
      <c r="C540" s="46"/>
      <c r="D540" s="46"/>
      <c r="E540" s="46"/>
    </row>
    <row r="541" spans="1:5" ht="14.25" customHeight="1" x14ac:dyDescent="0.2">
      <c r="A541" s="46"/>
      <c r="B541" s="46"/>
      <c r="C541" s="46"/>
      <c r="D541" s="46"/>
      <c r="E541" s="46"/>
    </row>
    <row r="542" spans="1:5" ht="14.25" customHeight="1" x14ac:dyDescent="0.2">
      <c r="A542" s="46"/>
      <c r="B542" s="46"/>
      <c r="C542" s="46"/>
      <c r="D542" s="46"/>
      <c r="E542" s="46"/>
    </row>
    <row r="543" spans="1:5" ht="14.25" customHeight="1" x14ac:dyDescent="0.2">
      <c r="A543" s="46"/>
      <c r="B543" s="46"/>
      <c r="C543" s="46"/>
      <c r="D543" s="46"/>
      <c r="E543" s="46"/>
    </row>
    <row r="544" spans="1:5" ht="14.25" customHeight="1" x14ac:dyDescent="0.2">
      <c r="A544" s="46"/>
      <c r="B544" s="46"/>
      <c r="C544" s="46"/>
      <c r="D544" s="46"/>
      <c r="E544" s="46"/>
    </row>
    <row r="545" spans="1:5" ht="14.25" customHeight="1" x14ac:dyDescent="0.2">
      <c r="A545" s="46"/>
      <c r="B545" s="46"/>
      <c r="C545" s="46"/>
      <c r="D545" s="46"/>
      <c r="E545" s="46"/>
    </row>
    <row r="546" spans="1:5" ht="14.25" customHeight="1" x14ac:dyDescent="0.2">
      <c r="A546" s="46"/>
      <c r="B546" s="46"/>
      <c r="C546" s="46"/>
      <c r="D546" s="46"/>
      <c r="E546" s="46"/>
    </row>
    <row r="547" spans="1:5" ht="14.25" customHeight="1" x14ac:dyDescent="0.2">
      <c r="A547" s="46"/>
      <c r="B547" s="46"/>
      <c r="C547" s="46"/>
      <c r="D547" s="46"/>
      <c r="E547" s="46"/>
    </row>
    <row r="548" spans="1:5" ht="14.25" customHeight="1" x14ac:dyDescent="0.2">
      <c r="A548" s="46"/>
      <c r="B548" s="46"/>
      <c r="C548" s="46"/>
      <c r="D548" s="46"/>
      <c r="E548" s="46"/>
    </row>
    <row r="549" spans="1:5" ht="14.25" customHeight="1" x14ac:dyDescent="0.2">
      <c r="A549" s="46"/>
      <c r="B549" s="46"/>
      <c r="C549" s="46"/>
      <c r="D549" s="46"/>
      <c r="E549" s="46"/>
    </row>
    <row r="550" spans="1:5" ht="14.25" customHeight="1" x14ac:dyDescent="0.2">
      <c r="A550" s="46"/>
      <c r="B550" s="46"/>
      <c r="C550" s="46"/>
      <c r="D550" s="46"/>
      <c r="E550" s="46"/>
    </row>
    <row r="551" spans="1:5" ht="14.25" customHeight="1" x14ac:dyDescent="0.2">
      <c r="A551" s="46"/>
      <c r="B551" s="46"/>
      <c r="C551" s="46"/>
      <c r="D551" s="46"/>
      <c r="E551" s="46"/>
    </row>
    <row r="552" spans="1:5" ht="14.25" customHeight="1" x14ac:dyDescent="0.2">
      <c r="A552" s="46"/>
      <c r="B552" s="46"/>
      <c r="C552" s="46"/>
      <c r="D552" s="46"/>
      <c r="E552" s="46"/>
    </row>
    <row r="553" spans="1:5" ht="14.25" customHeight="1" x14ac:dyDescent="0.2">
      <c r="A553" s="46"/>
      <c r="B553" s="46"/>
      <c r="C553" s="46"/>
      <c r="D553" s="46"/>
      <c r="E553" s="46"/>
    </row>
    <row r="554" spans="1:5" ht="14.25" customHeight="1" x14ac:dyDescent="0.2">
      <c r="A554" s="46"/>
      <c r="B554" s="46"/>
      <c r="C554" s="46"/>
      <c r="D554" s="46"/>
      <c r="E554" s="46"/>
    </row>
    <row r="555" spans="1:5" ht="14.25" customHeight="1" x14ac:dyDescent="0.2">
      <c r="A555" s="46"/>
      <c r="B555" s="46"/>
      <c r="C555" s="46"/>
      <c r="D555" s="46"/>
      <c r="E555" s="46"/>
    </row>
    <row r="556" spans="1:5" ht="14.25" customHeight="1" x14ac:dyDescent="0.2">
      <c r="A556" s="46"/>
      <c r="B556" s="46"/>
      <c r="C556" s="46"/>
      <c r="D556" s="46"/>
      <c r="E556" s="46"/>
    </row>
    <row r="557" spans="1:5" ht="14.25" customHeight="1" x14ac:dyDescent="0.2">
      <c r="A557" s="46"/>
      <c r="B557" s="46"/>
      <c r="C557" s="46"/>
      <c r="D557" s="46"/>
      <c r="E557" s="46"/>
    </row>
    <row r="558" spans="1:5" ht="14.25" customHeight="1" x14ac:dyDescent="0.2">
      <c r="A558" s="46"/>
      <c r="B558" s="46"/>
      <c r="C558" s="46"/>
      <c r="D558" s="46"/>
      <c r="E558" s="46"/>
    </row>
    <row r="559" spans="1:5" ht="14.25" customHeight="1" x14ac:dyDescent="0.2">
      <c r="A559" s="46"/>
      <c r="B559" s="46"/>
      <c r="C559" s="46"/>
      <c r="D559" s="46"/>
      <c r="E559" s="46"/>
    </row>
    <row r="560" spans="1:5" ht="14.25" customHeight="1" x14ac:dyDescent="0.2">
      <c r="A560" s="46"/>
      <c r="B560" s="46"/>
      <c r="C560" s="46"/>
      <c r="D560" s="46"/>
      <c r="E560" s="46"/>
    </row>
    <row r="561" spans="1:5" ht="14.25" customHeight="1" x14ac:dyDescent="0.2">
      <c r="A561" s="46"/>
      <c r="B561" s="46"/>
      <c r="C561" s="46"/>
      <c r="D561" s="46"/>
      <c r="E561" s="46"/>
    </row>
    <row r="562" spans="1:5" ht="14.25" customHeight="1" x14ac:dyDescent="0.2">
      <c r="A562" s="46"/>
      <c r="B562" s="46"/>
      <c r="C562" s="46"/>
      <c r="D562" s="46"/>
      <c r="E562" s="46"/>
    </row>
    <row r="563" spans="1:5" ht="14.25" customHeight="1" x14ac:dyDescent="0.2">
      <c r="A563" s="46"/>
      <c r="B563" s="46"/>
      <c r="C563" s="46"/>
      <c r="D563" s="46"/>
      <c r="E563" s="46"/>
    </row>
    <row r="564" spans="1:5" ht="14.25" customHeight="1" x14ac:dyDescent="0.2">
      <c r="A564" s="46"/>
      <c r="B564" s="46"/>
      <c r="C564" s="46"/>
      <c r="D564" s="46"/>
      <c r="E564" s="46"/>
    </row>
    <row r="565" spans="1:5" ht="14.25" customHeight="1" x14ac:dyDescent="0.2">
      <c r="A565" s="46"/>
      <c r="B565" s="46"/>
      <c r="C565" s="46"/>
      <c r="D565" s="46"/>
      <c r="E565" s="46"/>
    </row>
    <row r="566" spans="1:5" ht="14.25" customHeight="1" x14ac:dyDescent="0.2">
      <c r="A566" s="46"/>
      <c r="B566" s="46"/>
      <c r="C566" s="46"/>
      <c r="D566" s="46"/>
      <c r="E566" s="46"/>
    </row>
    <row r="567" spans="1:5" ht="14.25" customHeight="1" x14ac:dyDescent="0.2">
      <c r="A567" s="46"/>
      <c r="B567" s="46"/>
      <c r="C567" s="46"/>
      <c r="D567" s="46"/>
      <c r="E567" s="46"/>
    </row>
    <row r="568" spans="1:5" ht="14.25" customHeight="1" x14ac:dyDescent="0.2">
      <c r="A568" s="46"/>
      <c r="B568" s="46"/>
      <c r="C568" s="46"/>
      <c r="D568" s="46"/>
      <c r="E568" s="46"/>
    </row>
    <row r="569" spans="1:5" ht="14.25" customHeight="1" x14ac:dyDescent="0.2">
      <c r="A569" s="46"/>
      <c r="B569" s="46"/>
      <c r="C569" s="46"/>
      <c r="D569" s="46"/>
      <c r="E569" s="46"/>
    </row>
    <row r="570" spans="1:5" ht="14.25" customHeight="1" x14ac:dyDescent="0.2">
      <c r="A570" s="46"/>
      <c r="B570" s="46"/>
      <c r="C570" s="46"/>
      <c r="D570" s="46"/>
      <c r="E570" s="46"/>
    </row>
    <row r="571" spans="1:5" ht="14.25" customHeight="1" x14ac:dyDescent="0.2">
      <c r="A571" s="46"/>
      <c r="B571" s="46"/>
      <c r="C571" s="46"/>
      <c r="D571" s="46"/>
      <c r="E571" s="46"/>
    </row>
    <row r="572" spans="1:5" ht="14.25" customHeight="1" x14ac:dyDescent="0.2">
      <c r="A572" s="46"/>
      <c r="B572" s="46"/>
      <c r="C572" s="46"/>
      <c r="D572" s="46"/>
      <c r="E572" s="46"/>
    </row>
    <row r="573" spans="1:5" ht="14.25" customHeight="1" x14ac:dyDescent="0.2">
      <c r="A573" s="46"/>
      <c r="B573" s="46"/>
      <c r="C573" s="46"/>
      <c r="D573" s="46"/>
      <c r="E573" s="46"/>
    </row>
    <row r="574" spans="1:5" ht="14.25" customHeight="1" x14ac:dyDescent="0.2">
      <c r="A574" s="46"/>
      <c r="B574" s="46"/>
      <c r="C574" s="46"/>
      <c r="D574" s="46"/>
      <c r="E574" s="46"/>
    </row>
    <row r="575" spans="1:5" ht="14.25" customHeight="1" x14ac:dyDescent="0.2">
      <c r="A575" s="46"/>
      <c r="B575" s="46"/>
      <c r="C575" s="46"/>
      <c r="D575" s="46"/>
      <c r="E575" s="46"/>
    </row>
    <row r="576" spans="1:5" ht="14.25" customHeight="1" x14ac:dyDescent="0.2">
      <c r="A576" s="46"/>
      <c r="B576" s="46"/>
      <c r="C576" s="46"/>
      <c r="D576" s="46"/>
      <c r="E576" s="46"/>
    </row>
    <row r="577" spans="1:5" ht="14.25" customHeight="1" x14ac:dyDescent="0.2">
      <c r="A577" s="46"/>
      <c r="B577" s="46"/>
      <c r="C577" s="46"/>
      <c r="D577" s="46"/>
      <c r="E577" s="46"/>
    </row>
    <row r="578" spans="1:5" ht="14.25" customHeight="1" x14ac:dyDescent="0.2">
      <c r="A578" s="46"/>
      <c r="B578" s="46"/>
      <c r="C578" s="46"/>
      <c r="D578" s="46"/>
      <c r="E578" s="46"/>
    </row>
    <row r="579" spans="1:5" ht="14.25" customHeight="1" x14ac:dyDescent="0.2">
      <c r="A579" s="46"/>
      <c r="B579" s="46"/>
      <c r="C579" s="46"/>
      <c r="D579" s="46"/>
      <c r="E579" s="46"/>
    </row>
    <row r="580" spans="1:5" ht="14.25" customHeight="1" x14ac:dyDescent="0.2">
      <c r="A580" s="46"/>
      <c r="B580" s="46"/>
      <c r="C580" s="46"/>
      <c r="D580" s="46"/>
      <c r="E580" s="46"/>
    </row>
    <row r="581" spans="1:5" ht="14.25" customHeight="1" x14ac:dyDescent="0.2">
      <c r="A581" s="46"/>
      <c r="B581" s="46"/>
      <c r="C581" s="46"/>
      <c r="D581" s="46"/>
      <c r="E581" s="46"/>
    </row>
    <row r="582" spans="1:5" ht="14.25" customHeight="1" x14ac:dyDescent="0.2">
      <c r="A582" s="46"/>
      <c r="B582" s="46"/>
      <c r="C582" s="46"/>
      <c r="D582" s="46"/>
      <c r="E582" s="46"/>
    </row>
    <row r="583" spans="1:5" ht="14.25" customHeight="1" x14ac:dyDescent="0.2">
      <c r="A583" s="46"/>
      <c r="B583" s="46"/>
      <c r="C583" s="46"/>
      <c r="D583" s="46"/>
      <c r="E583" s="46"/>
    </row>
    <row r="584" spans="1:5" ht="14.25" customHeight="1" x14ac:dyDescent="0.2">
      <c r="A584" s="46"/>
      <c r="B584" s="46"/>
      <c r="C584" s="46"/>
      <c r="D584" s="46"/>
      <c r="E584" s="46"/>
    </row>
    <row r="585" spans="1:5" ht="14.25" customHeight="1" x14ac:dyDescent="0.2">
      <c r="A585" s="46"/>
      <c r="B585" s="46"/>
      <c r="C585" s="46"/>
      <c r="D585" s="46"/>
      <c r="E585" s="46"/>
    </row>
    <row r="586" spans="1:5" ht="14.25" customHeight="1" x14ac:dyDescent="0.2">
      <c r="A586" s="46"/>
      <c r="B586" s="46"/>
      <c r="C586" s="46"/>
      <c r="D586" s="46"/>
      <c r="E586" s="46"/>
    </row>
    <row r="587" spans="1:5" ht="14.25" customHeight="1" x14ac:dyDescent="0.2">
      <c r="A587" s="46"/>
      <c r="B587" s="46"/>
      <c r="C587" s="46"/>
      <c r="D587" s="46"/>
      <c r="E587" s="46"/>
    </row>
    <row r="588" spans="1:5" ht="14.25" customHeight="1" x14ac:dyDescent="0.2">
      <c r="A588" s="46"/>
      <c r="B588" s="46"/>
      <c r="C588" s="46"/>
      <c r="D588" s="46"/>
      <c r="E588" s="46"/>
    </row>
    <row r="589" spans="1:5" ht="14.25" customHeight="1" x14ac:dyDescent="0.2">
      <c r="A589" s="46"/>
      <c r="B589" s="46"/>
      <c r="C589" s="46"/>
      <c r="D589" s="46"/>
      <c r="E589" s="46"/>
    </row>
    <row r="590" spans="1:5" ht="14.25" customHeight="1" x14ac:dyDescent="0.2">
      <c r="A590" s="46"/>
      <c r="B590" s="46"/>
      <c r="C590" s="46"/>
      <c r="D590" s="46"/>
      <c r="E590" s="46"/>
    </row>
    <row r="591" spans="1:5" ht="14.25" customHeight="1" x14ac:dyDescent="0.2">
      <c r="A591" s="46"/>
      <c r="B591" s="46"/>
      <c r="C591" s="46"/>
      <c r="D591" s="46"/>
      <c r="E591" s="46"/>
    </row>
    <row r="592" spans="1:5" ht="14.25" customHeight="1" x14ac:dyDescent="0.2">
      <c r="A592" s="46"/>
      <c r="B592" s="46"/>
      <c r="C592" s="46"/>
      <c r="D592" s="46"/>
      <c r="E592" s="46"/>
    </row>
    <row r="593" spans="1:5" ht="14.25" customHeight="1" x14ac:dyDescent="0.2">
      <c r="A593" s="46"/>
      <c r="B593" s="46"/>
      <c r="C593" s="46"/>
      <c r="D593" s="46"/>
      <c r="E593" s="46"/>
    </row>
    <row r="594" spans="1:5" ht="14.25" customHeight="1" x14ac:dyDescent="0.2">
      <c r="A594" s="46"/>
      <c r="B594" s="46"/>
      <c r="C594" s="46"/>
      <c r="D594" s="46"/>
      <c r="E594" s="46"/>
    </row>
    <row r="595" spans="1:5" ht="14.25" customHeight="1" x14ac:dyDescent="0.2">
      <c r="A595" s="46"/>
      <c r="B595" s="46"/>
      <c r="C595" s="46"/>
      <c r="D595" s="46"/>
      <c r="E595" s="46"/>
    </row>
    <row r="596" spans="1:5" ht="14.25" customHeight="1" x14ac:dyDescent="0.2">
      <c r="A596" s="46"/>
      <c r="B596" s="46"/>
      <c r="C596" s="46"/>
      <c r="D596" s="46"/>
      <c r="E596" s="46"/>
    </row>
    <row r="597" spans="1:5" ht="14.25" customHeight="1" x14ac:dyDescent="0.2">
      <c r="A597" s="46"/>
      <c r="B597" s="46"/>
      <c r="C597" s="46"/>
      <c r="D597" s="46"/>
      <c r="E597" s="46"/>
    </row>
    <row r="598" spans="1:5" ht="14.25" customHeight="1" x14ac:dyDescent="0.2">
      <c r="A598" s="46"/>
      <c r="B598" s="46"/>
      <c r="C598" s="46"/>
      <c r="D598" s="46"/>
      <c r="E598" s="46"/>
    </row>
    <row r="599" spans="1:5" ht="14.25" customHeight="1" x14ac:dyDescent="0.2">
      <c r="A599" s="46"/>
      <c r="B599" s="46"/>
      <c r="C599" s="46"/>
      <c r="D599" s="46"/>
      <c r="E599" s="46"/>
    </row>
    <row r="600" spans="1:5" ht="14.25" customHeight="1" x14ac:dyDescent="0.2">
      <c r="A600" s="46"/>
      <c r="B600" s="46"/>
      <c r="C600" s="46"/>
      <c r="D600" s="46"/>
      <c r="E600" s="46"/>
    </row>
    <row r="601" spans="1:5" ht="14.25" customHeight="1" x14ac:dyDescent="0.2">
      <c r="A601" s="46"/>
      <c r="B601" s="46"/>
      <c r="C601" s="46"/>
      <c r="D601" s="46"/>
      <c r="E601" s="46"/>
    </row>
    <row r="602" spans="1:5" ht="14.25" customHeight="1" x14ac:dyDescent="0.2">
      <c r="A602" s="46"/>
      <c r="B602" s="46"/>
      <c r="C602" s="46"/>
      <c r="D602" s="46"/>
      <c r="E602" s="46"/>
    </row>
    <row r="603" spans="1:5" ht="14.25" customHeight="1" x14ac:dyDescent="0.2">
      <c r="A603" s="46"/>
      <c r="B603" s="46"/>
      <c r="C603" s="46"/>
      <c r="D603" s="46"/>
      <c r="E603" s="46"/>
    </row>
    <row r="604" spans="1:5" ht="14.25" customHeight="1" x14ac:dyDescent="0.2">
      <c r="A604" s="46"/>
      <c r="B604" s="46"/>
      <c r="C604" s="46"/>
      <c r="D604" s="46"/>
      <c r="E604" s="46"/>
    </row>
    <row r="605" spans="1:5" ht="14.25" customHeight="1" x14ac:dyDescent="0.2">
      <c r="A605" s="46"/>
      <c r="B605" s="46"/>
      <c r="C605" s="46"/>
      <c r="D605" s="46"/>
      <c r="E605" s="46"/>
    </row>
    <row r="606" spans="1:5" ht="14.25" customHeight="1" x14ac:dyDescent="0.2">
      <c r="A606" s="46"/>
      <c r="B606" s="46"/>
      <c r="C606" s="46"/>
      <c r="D606" s="46"/>
      <c r="E606" s="46"/>
    </row>
    <row r="607" spans="1:5" ht="14.25" customHeight="1" x14ac:dyDescent="0.2">
      <c r="A607" s="46"/>
      <c r="B607" s="46"/>
      <c r="C607" s="46"/>
      <c r="D607" s="46"/>
      <c r="E607" s="46"/>
    </row>
    <row r="608" spans="1:5" ht="14.25" customHeight="1" x14ac:dyDescent="0.2">
      <c r="A608" s="46"/>
      <c r="B608" s="46"/>
      <c r="C608" s="46"/>
      <c r="D608" s="46"/>
      <c r="E608" s="46"/>
    </row>
    <row r="609" spans="1:5" ht="14.25" customHeight="1" x14ac:dyDescent="0.2">
      <c r="A609" s="46"/>
      <c r="B609" s="46"/>
      <c r="C609" s="46"/>
      <c r="D609" s="46"/>
      <c r="E609" s="46"/>
    </row>
    <row r="610" spans="1:5" ht="14.25" customHeight="1" x14ac:dyDescent="0.2">
      <c r="A610" s="46"/>
      <c r="B610" s="46"/>
      <c r="C610" s="46"/>
      <c r="D610" s="46"/>
      <c r="E610" s="46"/>
    </row>
    <row r="611" spans="1:5" ht="14.25" customHeight="1" x14ac:dyDescent="0.2">
      <c r="A611" s="46"/>
      <c r="B611" s="46"/>
      <c r="C611" s="46"/>
      <c r="D611" s="46"/>
      <c r="E611" s="46"/>
    </row>
    <row r="612" spans="1:5" ht="14.25" customHeight="1" x14ac:dyDescent="0.2">
      <c r="A612" s="46"/>
      <c r="B612" s="46"/>
      <c r="C612" s="46"/>
      <c r="D612" s="46"/>
      <c r="E612" s="46"/>
    </row>
    <row r="613" spans="1:5" ht="14.25" customHeight="1" x14ac:dyDescent="0.2">
      <c r="A613" s="46"/>
      <c r="B613" s="46"/>
      <c r="C613" s="46"/>
      <c r="D613" s="46"/>
      <c r="E613" s="46"/>
    </row>
    <row r="614" spans="1:5" ht="14.25" customHeight="1" x14ac:dyDescent="0.2">
      <c r="A614" s="46"/>
      <c r="B614" s="46"/>
      <c r="C614" s="46"/>
      <c r="D614" s="46"/>
      <c r="E614" s="46"/>
    </row>
    <row r="615" spans="1:5" ht="14.25" customHeight="1" x14ac:dyDescent="0.2">
      <c r="A615" s="46"/>
      <c r="B615" s="46"/>
      <c r="C615" s="46"/>
      <c r="D615" s="46"/>
      <c r="E615" s="46"/>
    </row>
    <row r="616" spans="1:5" ht="14.25" customHeight="1" x14ac:dyDescent="0.2">
      <c r="A616" s="46"/>
      <c r="B616" s="46"/>
      <c r="C616" s="46"/>
      <c r="D616" s="46"/>
      <c r="E616" s="46"/>
    </row>
    <row r="617" spans="1:5" ht="14.25" customHeight="1" x14ac:dyDescent="0.2">
      <c r="A617" s="46"/>
      <c r="B617" s="46"/>
      <c r="C617" s="46"/>
      <c r="D617" s="46"/>
      <c r="E617" s="46"/>
    </row>
    <row r="618" spans="1:5" ht="14.25" customHeight="1" x14ac:dyDescent="0.2">
      <c r="A618" s="46"/>
      <c r="B618" s="46"/>
      <c r="C618" s="46"/>
      <c r="D618" s="46"/>
      <c r="E618" s="46"/>
    </row>
    <row r="619" spans="1:5" ht="14.25" customHeight="1" x14ac:dyDescent="0.2">
      <c r="A619" s="46"/>
      <c r="B619" s="46"/>
      <c r="C619" s="46"/>
      <c r="D619" s="46"/>
      <c r="E619" s="46"/>
    </row>
    <row r="620" spans="1:5" ht="14.25" customHeight="1" x14ac:dyDescent="0.2">
      <c r="A620" s="46"/>
      <c r="B620" s="46"/>
      <c r="C620" s="46"/>
      <c r="D620" s="46"/>
      <c r="E620" s="46"/>
    </row>
    <row r="621" spans="1:5" ht="14.25" customHeight="1" x14ac:dyDescent="0.2">
      <c r="A621" s="46"/>
      <c r="B621" s="46"/>
      <c r="C621" s="46"/>
      <c r="D621" s="46"/>
      <c r="E621" s="46"/>
    </row>
    <row r="622" spans="1:5" ht="14.25" customHeight="1" x14ac:dyDescent="0.2">
      <c r="A622" s="46"/>
      <c r="B622" s="46"/>
      <c r="C622" s="46"/>
      <c r="D622" s="46"/>
      <c r="E622" s="46"/>
    </row>
    <row r="623" spans="1:5" ht="14.25" customHeight="1" x14ac:dyDescent="0.2">
      <c r="A623" s="46"/>
      <c r="B623" s="46"/>
      <c r="C623" s="46"/>
      <c r="D623" s="46"/>
      <c r="E623" s="46"/>
    </row>
    <row r="624" spans="1:5" ht="14.25" customHeight="1" x14ac:dyDescent="0.2">
      <c r="A624" s="46"/>
      <c r="B624" s="46"/>
      <c r="C624" s="46"/>
      <c r="D624" s="46"/>
      <c r="E624" s="46"/>
    </row>
    <row r="625" spans="1:5" ht="14.25" customHeight="1" x14ac:dyDescent="0.2">
      <c r="A625" s="46"/>
      <c r="B625" s="46"/>
      <c r="C625" s="46"/>
      <c r="D625" s="46"/>
      <c r="E625" s="46"/>
    </row>
    <row r="626" spans="1:5" ht="14.25" customHeight="1" x14ac:dyDescent="0.2">
      <c r="A626" s="46"/>
      <c r="B626" s="46"/>
      <c r="C626" s="46"/>
      <c r="D626" s="46"/>
      <c r="E626" s="46"/>
    </row>
    <row r="627" spans="1:5" ht="14.25" customHeight="1" x14ac:dyDescent="0.2">
      <c r="A627" s="46"/>
      <c r="B627" s="46"/>
      <c r="C627" s="46"/>
      <c r="D627" s="46"/>
      <c r="E627" s="46"/>
    </row>
    <row r="628" spans="1:5" ht="14.25" customHeight="1" x14ac:dyDescent="0.2">
      <c r="A628" s="46"/>
      <c r="B628" s="46"/>
      <c r="C628" s="46"/>
      <c r="D628" s="46"/>
      <c r="E628" s="46"/>
    </row>
    <row r="629" spans="1:5" ht="14.25" customHeight="1" x14ac:dyDescent="0.2">
      <c r="A629" s="46"/>
      <c r="B629" s="46"/>
      <c r="C629" s="46"/>
      <c r="D629" s="46"/>
      <c r="E629" s="46"/>
    </row>
    <row r="630" spans="1:5" ht="14.25" customHeight="1" x14ac:dyDescent="0.2">
      <c r="A630" s="46"/>
      <c r="B630" s="46"/>
      <c r="C630" s="46"/>
      <c r="D630" s="46"/>
      <c r="E630" s="46"/>
    </row>
    <row r="631" spans="1:5" ht="14.25" customHeight="1" x14ac:dyDescent="0.2">
      <c r="A631" s="46"/>
      <c r="B631" s="46"/>
      <c r="C631" s="46"/>
      <c r="D631" s="46"/>
      <c r="E631" s="46"/>
    </row>
    <row r="632" spans="1:5" ht="14.25" customHeight="1" x14ac:dyDescent="0.2">
      <c r="A632" s="46"/>
      <c r="B632" s="46"/>
      <c r="C632" s="46"/>
      <c r="D632" s="46"/>
      <c r="E632" s="46"/>
    </row>
    <row r="633" spans="1:5" ht="14.25" customHeight="1" x14ac:dyDescent="0.2">
      <c r="A633" s="46"/>
      <c r="B633" s="46"/>
      <c r="C633" s="46"/>
      <c r="D633" s="46"/>
      <c r="E633" s="46"/>
    </row>
    <row r="634" spans="1:5" ht="14.25" customHeight="1" x14ac:dyDescent="0.2">
      <c r="A634" s="46"/>
      <c r="B634" s="46"/>
      <c r="C634" s="46"/>
      <c r="D634" s="46"/>
      <c r="E634" s="46"/>
    </row>
    <row r="635" spans="1:5" ht="14.25" customHeight="1" x14ac:dyDescent="0.2">
      <c r="A635" s="46"/>
      <c r="B635" s="46"/>
      <c r="C635" s="46"/>
      <c r="D635" s="46"/>
      <c r="E635" s="46"/>
    </row>
    <row r="636" spans="1:5" ht="14.25" customHeight="1" x14ac:dyDescent="0.2">
      <c r="A636" s="46"/>
      <c r="B636" s="46"/>
      <c r="C636" s="46"/>
      <c r="D636" s="46"/>
      <c r="E636" s="46"/>
    </row>
    <row r="637" spans="1:5" ht="14.25" customHeight="1" x14ac:dyDescent="0.2">
      <c r="A637" s="46"/>
      <c r="B637" s="46"/>
      <c r="C637" s="46"/>
      <c r="D637" s="46"/>
      <c r="E637" s="46"/>
    </row>
    <row r="638" spans="1:5" ht="14.25" customHeight="1" x14ac:dyDescent="0.2">
      <c r="A638" s="46"/>
      <c r="B638" s="46"/>
      <c r="C638" s="46"/>
      <c r="D638" s="46"/>
      <c r="E638" s="46"/>
    </row>
    <row r="639" spans="1:5" ht="14.25" customHeight="1" x14ac:dyDescent="0.2">
      <c r="A639" s="46"/>
      <c r="B639" s="46"/>
      <c r="C639" s="46"/>
      <c r="D639" s="46"/>
      <c r="E639" s="46"/>
    </row>
    <row r="640" spans="1:5" ht="14.25" customHeight="1" x14ac:dyDescent="0.2">
      <c r="A640" s="46"/>
      <c r="B640" s="46"/>
      <c r="C640" s="46"/>
      <c r="D640" s="46"/>
      <c r="E640" s="46"/>
    </row>
    <row r="641" spans="1:5" ht="14.25" customHeight="1" x14ac:dyDescent="0.2">
      <c r="A641" s="46"/>
      <c r="B641" s="46"/>
      <c r="C641" s="46"/>
      <c r="D641" s="46"/>
      <c r="E641" s="46"/>
    </row>
    <row r="642" spans="1:5" ht="14.25" customHeight="1" x14ac:dyDescent="0.2">
      <c r="A642" s="46"/>
      <c r="B642" s="46"/>
      <c r="C642" s="46"/>
      <c r="D642" s="46"/>
      <c r="E642" s="46"/>
    </row>
    <row r="643" spans="1:5" ht="14.25" customHeight="1" x14ac:dyDescent="0.2">
      <c r="A643" s="46"/>
      <c r="B643" s="46"/>
      <c r="C643" s="46"/>
      <c r="D643" s="46"/>
      <c r="E643" s="46"/>
    </row>
    <row r="644" spans="1:5" ht="14.25" customHeight="1" x14ac:dyDescent="0.2">
      <c r="A644" s="46"/>
      <c r="B644" s="46"/>
      <c r="C644" s="46"/>
      <c r="D644" s="46"/>
      <c r="E644" s="46"/>
    </row>
    <row r="645" spans="1:5" ht="14.25" customHeight="1" x14ac:dyDescent="0.2">
      <c r="A645" s="46"/>
      <c r="B645" s="46"/>
      <c r="C645" s="46"/>
      <c r="D645" s="46"/>
      <c r="E645" s="46"/>
    </row>
    <row r="646" spans="1:5" ht="14.25" customHeight="1" x14ac:dyDescent="0.2">
      <c r="A646" s="46"/>
      <c r="B646" s="46"/>
      <c r="C646" s="46"/>
      <c r="D646" s="46"/>
      <c r="E646" s="46"/>
    </row>
    <row r="647" spans="1:5" ht="14.25" customHeight="1" x14ac:dyDescent="0.2">
      <c r="A647" s="46"/>
      <c r="B647" s="46"/>
      <c r="C647" s="46"/>
      <c r="D647" s="46"/>
      <c r="E647" s="46"/>
    </row>
    <row r="648" spans="1:5" ht="14.25" customHeight="1" x14ac:dyDescent="0.2">
      <c r="A648" s="46"/>
      <c r="B648" s="46"/>
      <c r="C648" s="46"/>
      <c r="D648" s="46"/>
      <c r="E648" s="46"/>
    </row>
    <row r="649" spans="1:5" ht="14.25" customHeight="1" x14ac:dyDescent="0.2">
      <c r="A649" s="46"/>
      <c r="B649" s="46"/>
      <c r="C649" s="46"/>
      <c r="D649" s="46"/>
      <c r="E649" s="46"/>
    </row>
    <row r="650" spans="1:5" ht="14.25" customHeight="1" x14ac:dyDescent="0.2">
      <c r="A650" s="46"/>
      <c r="B650" s="46"/>
      <c r="C650" s="46"/>
      <c r="D650" s="46"/>
      <c r="E650" s="46"/>
    </row>
    <row r="651" spans="1:5" ht="14.25" customHeight="1" x14ac:dyDescent="0.2">
      <c r="A651" s="46"/>
      <c r="B651" s="46"/>
      <c r="C651" s="46"/>
      <c r="D651" s="46"/>
      <c r="E651" s="46"/>
    </row>
    <row r="652" spans="1:5" ht="14.25" customHeight="1" x14ac:dyDescent="0.2">
      <c r="A652" s="46"/>
      <c r="B652" s="46"/>
      <c r="C652" s="46"/>
      <c r="D652" s="46"/>
      <c r="E652" s="46"/>
    </row>
    <row r="653" spans="1:5" ht="14.25" customHeight="1" x14ac:dyDescent="0.2">
      <c r="A653" s="46"/>
      <c r="B653" s="46"/>
      <c r="C653" s="46"/>
      <c r="D653" s="46"/>
      <c r="E653" s="46"/>
    </row>
    <row r="654" spans="1:5" ht="14.25" customHeight="1" x14ac:dyDescent="0.2">
      <c r="A654" s="46"/>
      <c r="B654" s="46"/>
      <c r="C654" s="46"/>
      <c r="D654" s="46"/>
      <c r="E654" s="46"/>
    </row>
    <row r="655" spans="1:5" ht="14.25" customHeight="1" x14ac:dyDescent="0.2">
      <c r="A655" s="46"/>
      <c r="B655" s="46"/>
      <c r="C655" s="46"/>
      <c r="D655" s="46"/>
      <c r="E655" s="46"/>
    </row>
    <row r="656" spans="1:5" ht="14.25" customHeight="1" x14ac:dyDescent="0.2">
      <c r="A656" s="46"/>
      <c r="B656" s="46"/>
      <c r="C656" s="46"/>
      <c r="D656" s="46"/>
      <c r="E656" s="46"/>
    </row>
    <row r="657" spans="1:5" ht="14.25" customHeight="1" x14ac:dyDescent="0.2">
      <c r="A657" s="46"/>
      <c r="B657" s="46"/>
      <c r="C657" s="46"/>
      <c r="D657" s="46"/>
      <c r="E657" s="46"/>
    </row>
    <row r="658" spans="1:5" ht="14.25" customHeight="1" x14ac:dyDescent="0.2">
      <c r="A658" s="46"/>
      <c r="B658" s="46"/>
      <c r="C658" s="46"/>
      <c r="D658" s="46"/>
      <c r="E658" s="46"/>
    </row>
    <row r="659" spans="1:5" ht="14.25" customHeight="1" x14ac:dyDescent="0.2">
      <c r="A659" s="46"/>
      <c r="B659" s="46"/>
      <c r="C659" s="46"/>
      <c r="D659" s="46"/>
      <c r="E659" s="46"/>
    </row>
    <row r="660" spans="1:5" ht="14.25" customHeight="1" x14ac:dyDescent="0.2">
      <c r="A660" s="46"/>
      <c r="B660" s="46"/>
      <c r="C660" s="46"/>
      <c r="D660" s="46"/>
      <c r="E660" s="46"/>
    </row>
    <row r="661" spans="1:5" ht="14.25" customHeight="1" x14ac:dyDescent="0.2">
      <c r="A661" s="46"/>
      <c r="B661" s="46"/>
      <c r="C661" s="46"/>
      <c r="D661" s="46"/>
      <c r="E661" s="46"/>
    </row>
    <row r="662" spans="1:5" ht="14.25" customHeight="1" x14ac:dyDescent="0.2">
      <c r="A662" s="46"/>
      <c r="B662" s="46"/>
      <c r="C662" s="46"/>
      <c r="D662" s="46"/>
      <c r="E662" s="46"/>
    </row>
    <row r="663" spans="1:5" ht="14.25" customHeight="1" x14ac:dyDescent="0.2">
      <c r="A663" s="46"/>
      <c r="B663" s="46"/>
      <c r="C663" s="46"/>
      <c r="D663" s="46"/>
      <c r="E663" s="46"/>
    </row>
    <row r="664" spans="1:5" ht="14.25" customHeight="1" x14ac:dyDescent="0.2">
      <c r="A664" s="46"/>
      <c r="B664" s="46"/>
      <c r="C664" s="46"/>
      <c r="D664" s="46"/>
      <c r="E664" s="46"/>
    </row>
    <row r="665" spans="1:5" ht="14.25" customHeight="1" x14ac:dyDescent="0.2">
      <c r="A665" s="46"/>
      <c r="B665" s="46"/>
      <c r="C665" s="46"/>
      <c r="D665" s="46"/>
      <c r="E665" s="46"/>
    </row>
    <row r="666" spans="1:5" ht="14.25" customHeight="1" x14ac:dyDescent="0.2">
      <c r="A666" s="46"/>
      <c r="B666" s="46"/>
      <c r="C666" s="46"/>
      <c r="D666" s="46"/>
      <c r="E666" s="46"/>
    </row>
    <row r="667" spans="1:5" ht="14.25" customHeight="1" x14ac:dyDescent="0.2">
      <c r="A667" s="46"/>
      <c r="B667" s="46"/>
      <c r="C667" s="46"/>
      <c r="D667" s="46"/>
      <c r="E667" s="46"/>
    </row>
    <row r="668" spans="1:5" ht="14.25" customHeight="1" x14ac:dyDescent="0.2">
      <c r="A668" s="46"/>
      <c r="B668" s="46"/>
      <c r="C668" s="46"/>
      <c r="D668" s="46"/>
      <c r="E668" s="46"/>
    </row>
    <row r="669" spans="1:5" ht="14.25" customHeight="1" x14ac:dyDescent="0.2">
      <c r="A669" s="46"/>
      <c r="B669" s="46"/>
      <c r="C669" s="46"/>
      <c r="D669" s="46"/>
      <c r="E669" s="46"/>
    </row>
    <row r="670" spans="1:5" ht="14.25" customHeight="1" x14ac:dyDescent="0.2">
      <c r="A670" s="46"/>
      <c r="B670" s="46"/>
      <c r="C670" s="46"/>
      <c r="D670" s="46"/>
      <c r="E670" s="46"/>
    </row>
    <row r="671" spans="1:5" ht="14.25" customHeight="1" x14ac:dyDescent="0.2">
      <c r="A671" s="46"/>
      <c r="B671" s="46"/>
      <c r="C671" s="46"/>
      <c r="D671" s="46"/>
      <c r="E671" s="46"/>
    </row>
    <row r="672" spans="1:5" ht="14.25" customHeight="1" x14ac:dyDescent="0.2">
      <c r="A672" s="46"/>
      <c r="B672" s="46"/>
      <c r="C672" s="46"/>
      <c r="D672" s="46"/>
      <c r="E672" s="46"/>
    </row>
    <row r="673" spans="1:5" ht="14.25" customHeight="1" x14ac:dyDescent="0.2">
      <c r="A673" s="46"/>
      <c r="B673" s="46"/>
      <c r="C673" s="46"/>
      <c r="D673" s="46"/>
      <c r="E673" s="46"/>
    </row>
    <row r="674" spans="1:5" ht="14.25" customHeight="1" x14ac:dyDescent="0.2">
      <c r="A674" s="46"/>
      <c r="B674" s="46"/>
      <c r="C674" s="46"/>
      <c r="D674" s="46"/>
      <c r="E674" s="46"/>
    </row>
    <row r="675" spans="1:5" ht="14.25" customHeight="1" x14ac:dyDescent="0.2">
      <c r="A675" s="46"/>
      <c r="B675" s="46"/>
      <c r="C675" s="46"/>
      <c r="D675" s="46"/>
      <c r="E675" s="46"/>
    </row>
    <row r="676" spans="1:5" ht="14.25" customHeight="1" x14ac:dyDescent="0.2">
      <c r="A676" s="46"/>
      <c r="B676" s="46"/>
      <c r="C676" s="46"/>
      <c r="D676" s="46"/>
      <c r="E676" s="46"/>
    </row>
    <row r="677" spans="1:5" ht="14.25" customHeight="1" x14ac:dyDescent="0.2">
      <c r="A677" s="46"/>
      <c r="B677" s="46"/>
      <c r="C677" s="46"/>
      <c r="D677" s="46"/>
      <c r="E677" s="46"/>
    </row>
    <row r="678" spans="1:5" ht="14.25" customHeight="1" x14ac:dyDescent="0.2">
      <c r="A678" s="46"/>
      <c r="B678" s="46"/>
      <c r="C678" s="46"/>
      <c r="D678" s="46"/>
      <c r="E678" s="46"/>
    </row>
    <row r="679" spans="1:5" ht="14.25" customHeight="1" x14ac:dyDescent="0.2">
      <c r="A679" s="46"/>
      <c r="B679" s="46"/>
      <c r="C679" s="46"/>
      <c r="D679" s="46"/>
      <c r="E679" s="46"/>
    </row>
    <row r="680" spans="1:5" ht="14.25" customHeight="1" x14ac:dyDescent="0.2">
      <c r="A680" s="46"/>
      <c r="B680" s="46"/>
      <c r="C680" s="46"/>
      <c r="D680" s="46"/>
      <c r="E680" s="46"/>
    </row>
    <row r="681" spans="1:5" ht="14.25" customHeight="1" x14ac:dyDescent="0.2">
      <c r="A681" s="46"/>
      <c r="B681" s="46"/>
      <c r="C681" s="46"/>
      <c r="D681" s="46"/>
      <c r="E681" s="46"/>
    </row>
    <row r="682" spans="1:5" ht="14.25" customHeight="1" x14ac:dyDescent="0.2">
      <c r="A682" s="46"/>
      <c r="B682" s="46"/>
      <c r="C682" s="46"/>
      <c r="D682" s="46"/>
      <c r="E682" s="46"/>
    </row>
    <row r="683" spans="1:5" ht="14.25" customHeight="1" x14ac:dyDescent="0.2">
      <c r="A683" s="46"/>
      <c r="B683" s="46"/>
      <c r="C683" s="46"/>
      <c r="D683" s="46"/>
      <c r="E683" s="46"/>
    </row>
    <row r="684" spans="1:5" ht="14.25" customHeight="1" x14ac:dyDescent="0.2">
      <c r="A684" s="46"/>
      <c r="B684" s="46"/>
      <c r="C684" s="46"/>
      <c r="D684" s="46"/>
      <c r="E684" s="46"/>
    </row>
    <row r="685" spans="1:5" ht="14.25" customHeight="1" x14ac:dyDescent="0.2">
      <c r="A685" s="46"/>
      <c r="B685" s="46"/>
      <c r="C685" s="46"/>
      <c r="D685" s="46"/>
      <c r="E685" s="46"/>
    </row>
    <row r="686" spans="1:5" ht="14.25" customHeight="1" x14ac:dyDescent="0.2">
      <c r="A686" s="46"/>
      <c r="B686" s="46"/>
      <c r="C686" s="46"/>
      <c r="D686" s="46"/>
      <c r="E686" s="46"/>
    </row>
    <row r="687" spans="1:5" ht="14.25" customHeight="1" x14ac:dyDescent="0.2">
      <c r="A687" s="46"/>
      <c r="B687" s="46"/>
      <c r="C687" s="46"/>
      <c r="D687" s="46"/>
      <c r="E687" s="46"/>
    </row>
    <row r="688" spans="1:5" ht="14.25" customHeight="1" x14ac:dyDescent="0.2">
      <c r="A688" s="46"/>
      <c r="B688" s="46"/>
      <c r="C688" s="46"/>
      <c r="D688" s="46"/>
      <c r="E688" s="46"/>
    </row>
    <row r="689" spans="1:5" ht="14.25" customHeight="1" x14ac:dyDescent="0.2">
      <c r="A689" s="46"/>
      <c r="B689" s="46"/>
      <c r="C689" s="46"/>
      <c r="D689" s="46"/>
      <c r="E689" s="46"/>
    </row>
    <row r="690" spans="1:5" ht="14.25" customHeight="1" x14ac:dyDescent="0.2">
      <c r="A690" s="46"/>
      <c r="B690" s="46"/>
      <c r="C690" s="46"/>
      <c r="D690" s="46"/>
      <c r="E690" s="46"/>
    </row>
    <row r="691" spans="1:5" ht="14.25" customHeight="1" x14ac:dyDescent="0.2">
      <c r="A691" s="46"/>
      <c r="B691" s="46"/>
      <c r="C691" s="46"/>
      <c r="D691" s="46"/>
      <c r="E691" s="46"/>
    </row>
    <row r="692" spans="1:5" ht="14.25" customHeight="1" x14ac:dyDescent="0.2">
      <c r="A692" s="46"/>
      <c r="B692" s="46"/>
      <c r="C692" s="46"/>
      <c r="D692" s="46"/>
      <c r="E692" s="46"/>
    </row>
    <row r="693" spans="1:5" ht="14.25" customHeight="1" x14ac:dyDescent="0.2">
      <c r="A693" s="46"/>
      <c r="B693" s="46"/>
      <c r="C693" s="46"/>
      <c r="D693" s="46"/>
      <c r="E693" s="46"/>
    </row>
    <row r="694" spans="1:5" ht="14.25" customHeight="1" x14ac:dyDescent="0.2">
      <c r="A694" s="46"/>
      <c r="B694" s="46"/>
      <c r="C694" s="46"/>
      <c r="D694" s="46"/>
      <c r="E694" s="46"/>
    </row>
    <row r="695" spans="1:5" ht="14.25" customHeight="1" x14ac:dyDescent="0.2">
      <c r="A695" s="46"/>
      <c r="B695" s="46"/>
      <c r="C695" s="46"/>
      <c r="D695" s="46"/>
      <c r="E695" s="46"/>
    </row>
    <row r="696" spans="1:5" ht="14.25" customHeight="1" x14ac:dyDescent="0.2">
      <c r="A696" s="46"/>
      <c r="B696" s="46"/>
      <c r="C696" s="46"/>
      <c r="D696" s="46"/>
      <c r="E696" s="46"/>
    </row>
    <row r="697" spans="1:5" ht="14.25" customHeight="1" x14ac:dyDescent="0.2">
      <c r="A697" s="46"/>
      <c r="B697" s="46"/>
      <c r="C697" s="46"/>
      <c r="D697" s="46"/>
      <c r="E697" s="46"/>
    </row>
    <row r="698" spans="1:5" ht="14.25" customHeight="1" x14ac:dyDescent="0.2">
      <c r="A698" s="46"/>
      <c r="B698" s="46"/>
      <c r="C698" s="46"/>
      <c r="D698" s="46"/>
      <c r="E698" s="46"/>
    </row>
    <row r="699" spans="1:5" ht="14.25" customHeight="1" x14ac:dyDescent="0.2">
      <c r="A699" s="46"/>
      <c r="B699" s="46"/>
      <c r="C699" s="46"/>
      <c r="D699" s="46"/>
      <c r="E699" s="46"/>
    </row>
    <row r="700" spans="1:5" ht="14.25" customHeight="1" x14ac:dyDescent="0.2">
      <c r="A700" s="46"/>
      <c r="B700" s="46"/>
      <c r="C700" s="46"/>
      <c r="D700" s="46"/>
      <c r="E700" s="46"/>
    </row>
    <row r="701" spans="1:5" ht="14.25" customHeight="1" x14ac:dyDescent="0.2">
      <c r="A701" s="46"/>
      <c r="B701" s="46"/>
      <c r="C701" s="46"/>
      <c r="D701" s="46"/>
      <c r="E701" s="46"/>
    </row>
    <row r="702" spans="1:5" ht="14.25" customHeight="1" x14ac:dyDescent="0.2">
      <c r="A702" s="46"/>
      <c r="B702" s="46"/>
      <c r="C702" s="46"/>
      <c r="D702" s="46"/>
      <c r="E702" s="46"/>
    </row>
    <row r="703" spans="1:5" ht="14.25" customHeight="1" x14ac:dyDescent="0.2">
      <c r="A703" s="46"/>
      <c r="B703" s="46"/>
      <c r="C703" s="46"/>
      <c r="D703" s="46"/>
      <c r="E703" s="46"/>
    </row>
    <row r="704" spans="1:5" ht="14.25" customHeight="1" x14ac:dyDescent="0.2">
      <c r="A704" s="46"/>
      <c r="B704" s="46"/>
      <c r="C704" s="46"/>
      <c r="D704" s="46"/>
      <c r="E704" s="46"/>
    </row>
    <row r="705" spans="1:5" ht="14.25" customHeight="1" x14ac:dyDescent="0.2">
      <c r="A705" s="46"/>
      <c r="B705" s="46"/>
      <c r="C705" s="46"/>
      <c r="D705" s="46"/>
      <c r="E705" s="46"/>
    </row>
    <row r="706" spans="1:5" ht="14.25" customHeight="1" x14ac:dyDescent="0.2">
      <c r="A706" s="46"/>
      <c r="B706" s="46"/>
      <c r="C706" s="46"/>
      <c r="D706" s="46"/>
      <c r="E706" s="46"/>
    </row>
    <row r="707" spans="1:5" ht="14.25" customHeight="1" x14ac:dyDescent="0.2">
      <c r="A707" s="46"/>
      <c r="B707" s="46"/>
      <c r="C707" s="46"/>
      <c r="D707" s="46"/>
      <c r="E707" s="46"/>
    </row>
    <row r="708" spans="1:5" ht="14.25" customHeight="1" x14ac:dyDescent="0.2">
      <c r="A708" s="46"/>
      <c r="B708" s="46"/>
      <c r="C708" s="46"/>
      <c r="D708" s="46"/>
      <c r="E708" s="46"/>
    </row>
    <row r="709" spans="1:5" ht="14.25" customHeight="1" x14ac:dyDescent="0.2">
      <c r="A709" s="46"/>
      <c r="B709" s="46"/>
      <c r="C709" s="46"/>
      <c r="D709" s="46"/>
      <c r="E709" s="46"/>
    </row>
    <row r="710" spans="1:5" ht="14.25" customHeight="1" x14ac:dyDescent="0.2">
      <c r="A710" s="46"/>
      <c r="B710" s="46"/>
      <c r="C710" s="46"/>
      <c r="D710" s="46"/>
      <c r="E710" s="46"/>
    </row>
    <row r="711" spans="1:5" ht="14.25" customHeight="1" x14ac:dyDescent="0.2">
      <c r="A711" s="46"/>
      <c r="B711" s="46"/>
      <c r="C711" s="46"/>
      <c r="D711" s="46"/>
      <c r="E711" s="46"/>
    </row>
    <row r="712" spans="1:5" ht="14.25" customHeight="1" x14ac:dyDescent="0.2">
      <c r="A712" s="46"/>
      <c r="B712" s="46"/>
      <c r="C712" s="46"/>
      <c r="D712" s="46"/>
      <c r="E712" s="46"/>
    </row>
    <row r="713" spans="1:5" ht="14.25" customHeight="1" x14ac:dyDescent="0.2">
      <c r="A713" s="46"/>
      <c r="B713" s="46"/>
      <c r="C713" s="46"/>
      <c r="D713" s="46"/>
      <c r="E713" s="46"/>
    </row>
    <row r="714" spans="1:5" ht="14.25" customHeight="1" x14ac:dyDescent="0.2">
      <c r="A714" s="46"/>
      <c r="B714" s="46"/>
      <c r="C714" s="46"/>
      <c r="D714" s="46"/>
      <c r="E714" s="46"/>
    </row>
    <row r="715" spans="1:5" ht="14.25" customHeight="1" x14ac:dyDescent="0.2">
      <c r="A715" s="46"/>
      <c r="B715" s="46"/>
      <c r="C715" s="46"/>
      <c r="D715" s="46"/>
      <c r="E715" s="46"/>
    </row>
    <row r="716" spans="1:5" ht="14.25" customHeight="1" x14ac:dyDescent="0.2">
      <c r="A716" s="46"/>
      <c r="B716" s="46"/>
      <c r="C716" s="46"/>
      <c r="D716" s="46"/>
      <c r="E716" s="46"/>
    </row>
    <row r="717" spans="1:5" ht="14.25" customHeight="1" x14ac:dyDescent="0.2">
      <c r="A717" s="46"/>
      <c r="B717" s="46"/>
      <c r="C717" s="46"/>
      <c r="D717" s="46"/>
      <c r="E717" s="46"/>
    </row>
    <row r="718" spans="1:5" ht="14.25" customHeight="1" x14ac:dyDescent="0.2">
      <c r="A718" s="46"/>
      <c r="B718" s="46"/>
      <c r="C718" s="46"/>
      <c r="D718" s="46"/>
      <c r="E718" s="46"/>
    </row>
    <row r="719" spans="1:5" ht="14.25" customHeight="1" x14ac:dyDescent="0.2">
      <c r="A719" s="46"/>
      <c r="B719" s="46"/>
      <c r="C719" s="46"/>
      <c r="D719" s="46"/>
      <c r="E719" s="46"/>
    </row>
    <row r="720" spans="1:5" ht="14.25" customHeight="1" x14ac:dyDescent="0.2">
      <c r="A720" s="46"/>
      <c r="B720" s="46"/>
      <c r="C720" s="46"/>
      <c r="D720" s="46"/>
      <c r="E720" s="46"/>
    </row>
    <row r="721" spans="1:5" ht="14.25" customHeight="1" x14ac:dyDescent="0.2">
      <c r="A721" s="46"/>
      <c r="B721" s="46"/>
      <c r="C721" s="46"/>
      <c r="D721" s="46"/>
      <c r="E721" s="46"/>
    </row>
    <row r="722" spans="1:5" ht="14.25" customHeight="1" x14ac:dyDescent="0.2">
      <c r="A722" s="46"/>
      <c r="B722" s="46"/>
      <c r="C722" s="46"/>
      <c r="D722" s="46"/>
      <c r="E722" s="46"/>
    </row>
    <row r="723" spans="1:5" ht="14.25" customHeight="1" x14ac:dyDescent="0.2">
      <c r="A723" s="46"/>
      <c r="B723" s="46"/>
      <c r="C723" s="46"/>
      <c r="D723" s="46"/>
      <c r="E723" s="46"/>
    </row>
    <row r="724" spans="1:5" ht="14.25" customHeight="1" x14ac:dyDescent="0.2">
      <c r="A724" s="46"/>
      <c r="B724" s="46"/>
      <c r="C724" s="46"/>
      <c r="D724" s="46"/>
      <c r="E724" s="46"/>
    </row>
    <row r="725" spans="1:5" ht="14.25" customHeight="1" x14ac:dyDescent="0.2">
      <c r="A725" s="46"/>
      <c r="B725" s="46"/>
      <c r="C725" s="46"/>
      <c r="D725" s="46"/>
      <c r="E725" s="46"/>
    </row>
    <row r="726" spans="1:5" ht="14.25" customHeight="1" x14ac:dyDescent="0.2">
      <c r="A726" s="46"/>
      <c r="B726" s="46"/>
      <c r="C726" s="46"/>
      <c r="D726" s="46"/>
      <c r="E726" s="46"/>
    </row>
    <row r="727" spans="1:5" ht="14.25" customHeight="1" x14ac:dyDescent="0.2">
      <c r="A727" s="46"/>
      <c r="B727" s="46"/>
      <c r="C727" s="46"/>
      <c r="D727" s="46"/>
      <c r="E727" s="46"/>
    </row>
    <row r="728" spans="1:5" ht="14.25" customHeight="1" x14ac:dyDescent="0.2">
      <c r="A728" s="46"/>
      <c r="B728" s="46"/>
      <c r="C728" s="46"/>
      <c r="D728" s="46"/>
      <c r="E728" s="46"/>
    </row>
    <row r="729" spans="1:5" ht="14.25" customHeight="1" x14ac:dyDescent="0.2">
      <c r="A729" s="46"/>
      <c r="B729" s="46"/>
      <c r="C729" s="46"/>
      <c r="D729" s="46"/>
      <c r="E729" s="46"/>
    </row>
    <row r="730" spans="1:5" ht="14.25" customHeight="1" x14ac:dyDescent="0.2">
      <c r="A730" s="46"/>
      <c r="B730" s="46"/>
      <c r="C730" s="46"/>
      <c r="D730" s="46"/>
      <c r="E730" s="46"/>
    </row>
    <row r="731" spans="1:5" ht="14.25" customHeight="1" x14ac:dyDescent="0.2">
      <c r="A731" s="46"/>
      <c r="B731" s="46"/>
      <c r="C731" s="46"/>
      <c r="D731" s="46"/>
      <c r="E731" s="46"/>
    </row>
    <row r="732" spans="1:5" ht="14.25" customHeight="1" x14ac:dyDescent="0.2">
      <c r="A732" s="46"/>
      <c r="B732" s="46"/>
      <c r="C732" s="46"/>
      <c r="D732" s="46"/>
      <c r="E732" s="46"/>
    </row>
    <row r="733" spans="1:5" ht="14.25" customHeight="1" x14ac:dyDescent="0.2">
      <c r="A733" s="46"/>
      <c r="B733" s="46"/>
      <c r="C733" s="46"/>
      <c r="D733" s="46"/>
      <c r="E733" s="46"/>
    </row>
    <row r="734" spans="1:5" ht="14.25" customHeight="1" x14ac:dyDescent="0.2">
      <c r="A734" s="46"/>
      <c r="B734" s="46"/>
      <c r="C734" s="46"/>
      <c r="D734" s="46"/>
      <c r="E734" s="46"/>
    </row>
    <row r="735" spans="1:5" ht="14.25" customHeight="1" x14ac:dyDescent="0.2">
      <c r="A735" s="46"/>
      <c r="B735" s="46"/>
      <c r="C735" s="46"/>
      <c r="D735" s="46"/>
      <c r="E735" s="46"/>
    </row>
    <row r="736" spans="1:5" ht="14.25" customHeight="1" x14ac:dyDescent="0.2">
      <c r="A736" s="46"/>
      <c r="B736" s="46"/>
      <c r="C736" s="46"/>
      <c r="D736" s="46"/>
      <c r="E736" s="46"/>
    </row>
    <row r="737" spans="1:5" ht="14.25" customHeight="1" x14ac:dyDescent="0.2">
      <c r="A737" s="46"/>
      <c r="B737" s="46"/>
      <c r="C737" s="46"/>
      <c r="D737" s="46"/>
      <c r="E737" s="46"/>
    </row>
    <row r="738" spans="1:5" ht="14.25" customHeight="1" x14ac:dyDescent="0.2">
      <c r="A738" s="46"/>
      <c r="B738" s="46"/>
      <c r="C738" s="46"/>
      <c r="D738" s="46"/>
      <c r="E738" s="46"/>
    </row>
    <row r="739" spans="1:5" ht="14.25" customHeight="1" x14ac:dyDescent="0.2">
      <c r="A739" s="46"/>
      <c r="B739" s="46"/>
      <c r="C739" s="46"/>
      <c r="D739" s="46"/>
      <c r="E739" s="46"/>
    </row>
    <row r="740" spans="1:5" ht="14.25" customHeight="1" x14ac:dyDescent="0.2">
      <c r="A740" s="46"/>
      <c r="B740" s="46"/>
      <c r="C740" s="46"/>
      <c r="D740" s="46"/>
      <c r="E740" s="46"/>
    </row>
    <row r="741" spans="1:5" ht="14.25" customHeight="1" x14ac:dyDescent="0.2">
      <c r="A741" s="46"/>
      <c r="B741" s="46"/>
      <c r="C741" s="46"/>
      <c r="D741" s="46"/>
      <c r="E741" s="46"/>
    </row>
    <row r="742" spans="1:5" ht="14.25" customHeight="1" x14ac:dyDescent="0.2">
      <c r="A742" s="46"/>
      <c r="B742" s="46"/>
      <c r="C742" s="46"/>
      <c r="D742" s="46"/>
      <c r="E742" s="46"/>
    </row>
    <row r="743" spans="1:5" ht="14.25" customHeight="1" x14ac:dyDescent="0.2">
      <c r="A743" s="46"/>
      <c r="B743" s="46"/>
      <c r="C743" s="46"/>
      <c r="D743" s="46"/>
      <c r="E743" s="46"/>
    </row>
    <row r="744" spans="1:5" ht="14.25" customHeight="1" x14ac:dyDescent="0.2">
      <c r="A744" s="46"/>
      <c r="B744" s="46"/>
      <c r="C744" s="46"/>
      <c r="D744" s="46"/>
      <c r="E744" s="46"/>
    </row>
    <row r="745" spans="1:5" ht="14.25" customHeight="1" x14ac:dyDescent="0.2">
      <c r="A745" s="46"/>
      <c r="B745" s="46"/>
      <c r="C745" s="46"/>
      <c r="D745" s="46"/>
      <c r="E745" s="46"/>
    </row>
    <row r="746" spans="1:5" ht="14.25" customHeight="1" x14ac:dyDescent="0.2">
      <c r="A746" s="46"/>
      <c r="B746" s="46"/>
      <c r="C746" s="46"/>
      <c r="D746" s="46"/>
      <c r="E746" s="46"/>
    </row>
    <row r="747" spans="1:5" ht="14.25" customHeight="1" x14ac:dyDescent="0.2">
      <c r="A747" s="46"/>
      <c r="B747" s="46"/>
      <c r="C747" s="46"/>
      <c r="D747" s="46"/>
      <c r="E747" s="46"/>
    </row>
    <row r="748" spans="1:5" ht="14.25" customHeight="1" x14ac:dyDescent="0.2">
      <c r="A748" s="46"/>
      <c r="B748" s="46"/>
      <c r="C748" s="46"/>
      <c r="D748" s="46"/>
      <c r="E748" s="46"/>
    </row>
    <row r="749" spans="1:5" ht="14.25" customHeight="1" x14ac:dyDescent="0.2">
      <c r="A749" s="46"/>
      <c r="B749" s="46"/>
      <c r="C749" s="46"/>
      <c r="D749" s="46"/>
      <c r="E749" s="46"/>
    </row>
    <row r="750" spans="1:5" ht="14.25" customHeight="1" x14ac:dyDescent="0.2">
      <c r="A750" s="46"/>
      <c r="B750" s="46"/>
      <c r="C750" s="46"/>
      <c r="D750" s="46"/>
      <c r="E750" s="46"/>
    </row>
    <row r="751" spans="1:5" ht="14.25" customHeight="1" x14ac:dyDescent="0.2">
      <c r="A751" s="46"/>
      <c r="B751" s="46"/>
      <c r="C751" s="46"/>
      <c r="D751" s="46"/>
      <c r="E751" s="46"/>
    </row>
    <row r="752" spans="1:5" ht="14.25" customHeight="1" x14ac:dyDescent="0.2">
      <c r="A752" s="46"/>
      <c r="B752" s="46"/>
      <c r="C752" s="46"/>
      <c r="D752" s="46"/>
      <c r="E752" s="46"/>
    </row>
    <row r="753" spans="1:5" ht="14.25" customHeight="1" x14ac:dyDescent="0.2">
      <c r="A753" s="46"/>
      <c r="B753" s="46"/>
      <c r="C753" s="46"/>
      <c r="D753" s="46"/>
      <c r="E753" s="46"/>
    </row>
    <row r="754" spans="1:5" ht="14.25" customHeight="1" x14ac:dyDescent="0.2">
      <c r="A754" s="46"/>
      <c r="B754" s="46"/>
      <c r="C754" s="46"/>
      <c r="D754" s="46"/>
      <c r="E754" s="46"/>
    </row>
    <row r="755" spans="1:5" ht="14.25" customHeight="1" x14ac:dyDescent="0.2">
      <c r="A755" s="46"/>
      <c r="B755" s="46"/>
      <c r="C755" s="46"/>
      <c r="D755" s="46"/>
      <c r="E755" s="46"/>
    </row>
    <row r="756" spans="1:5" ht="14.25" customHeight="1" x14ac:dyDescent="0.2">
      <c r="A756" s="46"/>
      <c r="B756" s="46"/>
      <c r="C756" s="46"/>
      <c r="D756" s="46"/>
      <c r="E756" s="46"/>
    </row>
    <row r="757" spans="1:5" ht="14.25" customHeight="1" x14ac:dyDescent="0.2">
      <c r="A757" s="46"/>
      <c r="B757" s="46"/>
      <c r="C757" s="46"/>
      <c r="D757" s="46"/>
      <c r="E757" s="46"/>
    </row>
    <row r="758" spans="1:5" ht="14.25" customHeight="1" x14ac:dyDescent="0.2">
      <c r="A758" s="46"/>
      <c r="B758" s="46"/>
      <c r="C758" s="46"/>
      <c r="D758" s="46"/>
      <c r="E758" s="46"/>
    </row>
    <row r="759" spans="1:5" ht="14.25" customHeight="1" x14ac:dyDescent="0.2">
      <c r="A759" s="46"/>
      <c r="B759" s="46"/>
      <c r="C759" s="46"/>
      <c r="D759" s="46"/>
      <c r="E759" s="46"/>
    </row>
    <row r="760" spans="1:5" ht="14.25" customHeight="1" x14ac:dyDescent="0.2">
      <c r="A760" s="46"/>
      <c r="B760" s="46"/>
      <c r="C760" s="46"/>
      <c r="D760" s="46"/>
      <c r="E760" s="46"/>
    </row>
    <row r="761" spans="1:5" ht="14.25" customHeight="1" x14ac:dyDescent="0.2">
      <c r="A761" s="46"/>
      <c r="B761" s="46"/>
      <c r="C761" s="46"/>
      <c r="D761" s="46"/>
      <c r="E761" s="46"/>
    </row>
    <row r="762" spans="1:5" ht="14.25" customHeight="1" x14ac:dyDescent="0.2">
      <c r="A762" s="46"/>
      <c r="B762" s="46"/>
      <c r="C762" s="46"/>
      <c r="D762" s="46"/>
      <c r="E762" s="46"/>
    </row>
    <row r="763" spans="1:5" ht="14.25" customHeight="1" x14ac:dyDescent="0.2">
      <c r="A763" s="46"/>
      <c r="B763" s="46"/>
      <c r="C763" s="46"/>
      <c r="D763" s="46"/>
      <c r="E763" s="46"/>
    </row>
    <row r="764" spans="1:5" ht="14.25" customHeight="1" x14ac:dyDescent="0.2">
      <c r="A764" s="46"/>
      <c r="B764" s="46"/>
      <c r="C764" s="46"/>
      <c r="D764" s="46"/>
      <c r="E764" s="46"/>
    </row>
    <row r="765" spans="1:5" ht="14.25" customHeight="1" x14ac:dyDescent="0.2">
      <c r="A765" s="46"/>
      <c r="B765" s="46"/>
      <c r="C765" s="46"/>
      <c r="D765" s="46"/>
      <c r="E765" s="46"/>
    </row>
    <row r="766" spans="1:5" ht="14.25" customHeight="1" x14ac:dyDescent="0.2">
      <c r="A766" s="46"/>
      <c r="B766" s="46"/>
      <c r="C766" s="46"/>
      <c r="D766" s="46"/>
      <c r="E766" s="46"/>
    </row>
    <row r="767" spans="1:5" ht="14.25" customHeight="1" x14ac:dyDescent="0.2">
      <c r="A767" s="46"/>
      <c r="B767" s="46"/>
      <c r="C767" s="46"/>
      <c r="D767" s="46"/>
      <c r="E767" s="46"/>
    </row>
    <row r="768" spans="1:5" ht="14.25" customHeight="1" x14ac:dyDescent="0.2">
      <c r="A768" s="46"/>
      <c r="B768" s="46"/>
      <c r="C768" s="46"/>
      <c r="D768" s="46"/>
      <c r="E768" s="46"/>
    </row>
    <row r="769" spans="1:5" ht="14.25" customHeight="1" x14ac:dyDescent="0.2">
      <c r="A769" s="46"/>
      <c r="B769" s="46"/>
      <c r="C769" s="46"/>
      <c r="D769" s="46"/>
      <c r="E769" s="46"/>
    </row>
    <row r="770" spans="1:5" ht="14.25" customHeight="1" x14ac:dyDescent="0.2">
      <c r="A770" s="46"/>
      <c r="B770" s="46"/>
      <c r="C770" s="46"/>
      <c r="D770" s="46"/>
      <c r="E770" s="46"/>
    </row>
    <row r="771" spans="1:5" ht="14.25" customHeight="1" x14ac:dyDescent="0.2">
      <c r="A771" s="46"/>
      <c r="B771" s="46"/>
      <c r="C771" s="46"/>
      <c r="D771" s="46"/>
      <c r="E771" s="46"/>
    </row>
    <row r="772" spans="1:5" ht="14.25" customHeight="1" x14ac:dyDescent="0.2">
      <c r="A772" s="46"/>
      <c r="B772" s="46"/>
      <c r="C772" s="46"/>
      <c r="D772" s="46"/>
      <c r="E772" s="46"/>
    </row>
    <row r="773" spans="1:5" ht="14.25" customHeight="1" x14ac:dyDescent="0.2">
      <c r="A773" s="46"/>
      <c r="B773" s="46"/>
      <c r="C773" s="46"/>
      <c r="D773" s="46"/>
      <c r="E773" s="46"/>
    </row>
    <row r="774" spans="1:5" ht="14.25" customHeight="1" x14ac:dyDescent="0.2">
      <c r="A774" s="46"/>
      <c r="B774" s="46"/>
      <c r="C774" s="46"/>
      <c r="D774" s="46"/>
      <c r="E774" s="46"/>
    </row>
    <row r="775" spans="1:5" ht="14.25" customHeight="1" x14ac:dyDescent="0.2">
      <c r="A775" s="46"/>
      <c r="B775" s="46"/>
      <c r="C775" s="46"/>
      <c r="D775" s="46"/>
      <c r="E775" s="46"/>
    </row>
    <row r="776" spans="1:5" ht="14.25" customHeight="1" x14ac:dyDescent="0.2">
      <c r="A776" s="46"/>
      <c r="B776" s="46"/>
      <c r="C776" s="46"/>
      <c r="D776" s="46"/>
      <c r="E776" s="46"/>
    </row>
    <row r="777" spans="1:5" ht="14.25" customHeight="1" x14ac:dyDescent="0.2">
      <c r="A777" s="46"/>
      <c r="B777" s="46"/>
      <c r="C777" s="46"/>
      <c r="D777" s="46"/>
      <c r="E777" s="46"/>
    </row>
    <row r="778" spans="1:5" ht="14.25" customHeight="1" x14ac:dyDescent="0.2">
      <c r="A778" s="46"/>
      <c r="B778" s="46"/>
      <c r="C778" s="46"/>
      <c r="D778" s="46"/>
      <c r="E778" s="46"/>
    </row>
    <row r="779" spans="1:5" ht="14.25" customHeight="1" x14ac:dyDescent="0.2">
      <c r="A779" s="46"/>
      <c r="B779" s="46"/>
      <c r="C779" s="46"/>
      <c r="D779" s="46"/>
      <c r="E779" s="46"/>
    </row>
    <row r="780" spans="1:5" ht="14.25" customHeight="1" x14ac:dyDescent="0.2">
      <c r="A780" s="46"/>
      <c r="B780" s="46"/>
      <c r="C780" s="46"/>
      <c r="D780" s="46"/>
      <c r="E780" s="46"/>
    </row>
    <row r="781" spans="1:5" ht="14.25" customHeight="1" x14ac:dyDescent="0.2">
      <c r="A781" s="46"/>
      <c r="B781" s="46"/>
      <c r="C781" s="46"/>
      <c r="D781" s="46"/>
      <c r="E781" s="46"/>
    </row>
    <row r="782" spans="1:5" ht="14.25" customHeight="1" x14ac:dyDescent="0.2">
      <c r="A782" s="46"/>
      <c r="B782" s="46"/>
      <c r="C782" s="46"/>
      <c r="D782" s="46"/>
      <c r="E782" s="46"/>
    </row>
    <row r="783" spans="1:5" ht="14.25" customHeight="1" x14ac:dyDescent="0.2">
      <c r="A783" s="46"/>
      <c r="B783" s="46"/>
      <c r="C783" s="46"/>
      <c r="D783" s="46"/>
      <c r="E783" s="46"/>
    </row>
    <row r="784" spans="1:5" ht="14.25" customHeight="1" x14ac:dyDescent="0.2">
      <c r="A784" s="46"/>
      <c r="B784" s="46"/>
      <c r="C784" s="46"/>
      <c r="D784" s="46"/>
      <c r="E784" s="46"/>
    </row>
    <row r="785" spans="1:5" ht="14.25" customHeight="1" x14ac:dyDescent="0.2">
      <c r="A785" s="46"/>
      <c r="B785" s="46"/>
      <c r="C785" s="46"/>
      <c r="D785" s="46"/>
      <c r="E785" s="46"/>
    </row>
    <row r="786" spans="1:5" ht="14.25" customHeight="1" x14ac:dyDescent="0.2">
      <c r="A786" s="46"/>
      <c r="B786" s="46"/>
      <c r="C786" s="46"/>
      <c r="D786" s="46"/>
      <c r="E786" s="46"/>
    </row>
    <row r="787" spans="1:5" ht="14.25" customHeight="1" x14ac:dyDescent="0.2">
      <c r="A787" s="46"/>
      <c r="B787" s="46"/>
      <c r="C787" s="46"/>
      <c r="D787" s="46"/>
      <c r="E787" s="46"/>
    </row>
    <row r="788" spans="1:5" ht="14.25" customHeight="1" x14ac:dyDescent="0.2">
      <c r="A788" s="46"/>
      <c r="B788" s="46"/>
      <c r="C788" s="46"/>
      <c r="D788" s="46"/>
      <c r="E788" s="46"/>
    </row>
    <row r="789" spans="1:5" ht="14.25" customHeight="1" x14ac:dyDescent="0.2">
      <c r="A789" s="46"/>
      <c r="B789" s="46"/>
      <c r="C789" s="46"/>
      <c r="D789" s="46"/>
      <c r="E789" s="46"/>
    </row>
    <row r="790" spans="1:5" ht="14.25" customHeight="1" x14ac:dyDescent="0.2">
      <c r="A790" s="46"/>
      <c r="B790" s="46"/>
      <c r="C790" s="46"/>
      <c r="D790" s="46"/>
      <c r="E790" s="46"/>
    </row>
    <row r="791" spans="1:5" ht="14.25" customHeight="1" x14ac:dyDescent="0.2">
      <c r="A791" s="46"/>
      <c r="B791" s="46"/>
      <c r="C791" s="46"/>
      <c r="D791" s="46"/>
      <c r="E791" s="46"/>
    </row>
    <row r="792" spans="1:5" ht="14.25" customHeight="1" x14ac:dyDescent="0.2">
      <c r="A792" s="46"/>
      <c r="B792" s="46"/>
      <c r="C792" s="46"/>
      <c r="D792" s="46"/>
      <c r="E792" s="46"/>
    </row>
    <row r="793" spans="1:5" ht="14.25" customHeight="1" x14ac:dyDescent="0.2">
      <c r="A793" s="46"/>
      <c r="B793" s="46"/>
      <c r="C793" s="46"/>
      <c r="D793" s="46"/>
      <c r="E793" s="46"/>
    </row>
    <row r="794" spans="1:5" ht="14.25" customHeight="1" x14ac:dyDescent="0.2">
      <c r="A794" s="46"/>
      <c r="B794" s="46"/>
      <c r="C794" s="46"/>
      <c r="D794" s="46"/>
      <c r="E794" s="46"/>
    </row>
    <row r="795" spans="1:5" ht="14.25" customHeight="1" x14ac:dyDescent="0.2">
      <c r="A795" s="46"/>
      <c r="B795" s="46"/>
      <c r="C795" s="46"/>
      <c r="D795" s="46"/>
      <c r="E795" s="46"/>
    </row>
    <row r="796" spans="1:5" ht="14.25" customHeight="1" x14ac:dyDescent="0.2">
      <c r="A796" s="46"/>
      <c r="B796" s="46"/>
      <c r="C796" s="46"/>
      <c r="D796" s="46"/>
      <c r="E796" s="46"/>
    </row>
    <row r="797" spans="1:5" ht="14.25" customHeight="1" x14ac:dyDescent="0.2">
      <c r="A797" s="46"/>
      <c r="B797" s="46"/>
      <c r="C797" s="46"/>
      <c r="D797" s="46"/>
      <c r="E797" s="46"/>
    </row>
    <row r="798" spans="1:5" ht="14.25" customHeight="1" x14ac:dyDescent="0.2">
      <c r="A798" s="46"/>
      <c r="B798" s="46"/>
      <c r="C798" s="46"/>
      <c r="D798" s="46"/>
      <c r="E798" s="46"/>
    </row>
    <row r="799" spans="1:5" ht="14.25" customHeight="1" x14ac:dyDescent="0.2">
      <c r="A799" s="46"/>
      <c r="B799" s="46"/>
      <c r="C799" s="46"/>
      <c r="D799" s="46"/>
      <c r="E799" s="46"/>
    </row>
    <row r="800" spans="1:5" ht="14.25" customHeight="1" x14ac:dyDescent="0.2">
      <c r="A800" s="46"/>
      <c r="B800" s="46"/>
      <c r="C800" s="46"/>
      <c r="D800" s="46"/>
      <c r="E800" s="46"/>
    </row>
    <row r="801" spans="1:5" ht="14.25" customHeight="1" x14ac:dyDescent="0.2">
      <c r="A801" s="46"/>
      <c r="B801" s="46"/>
      <c r="C801" s="46"/>
      <c r="D801" s="46"/>
      <c r="E801" s="46"/>
    </row>
    <row r="802" spans="1:5" ht="14.25" customHeight="1" x14ac:dyDescent="0.2">
      <c r="A802" s="46"/>
      <c r="B802" s="46"/>
      <c r="C802" s="46"/>
      <c r="D802" s="46"/>
      <c r="E802" s="46"/>
    </row>
    <row r="803" spans="1:5" ht="14.25" customHeight="1" x14ac:dyDescent="0.2">
      <c r="A803" s="46"/>
      <c r="B803" s="46"/>
      <c r="C803" s="46"/>
      <c r="D803" s="46"/>
      <c r="E803" s="46"/>
    </row>
    <row r="804" spans="1:5" ht="14.25" customHeight="1" x14ac:dyDescent="0.2">
      <c r="A804" s="46"/>
      <c r="B804" s="46"/>
      <c r="C804" s="46"/>
      <c r="D804" s="46"/>
      <c r="E804" s="46"/>
    </row>
    <row r="805" spans="1:5" ht="14.25" customHeight="1" x14ac:dyDescent="0.2">
      <c r="A805" s="46"/>
      <c r="B805" s="46"/>
      <c r="C805" s="46"/>
      <c r="D805" s="46"/>
      <c r="E805" s="46"/>
    </row>
    <row r="806" spans="1:5" ht="14.25" customHeight="1" x14ac:dyDescent="0.2">
      <c r="A806" s="46"/>
      <c r="B806" s="46"/>
      <c r="C806" s="46"/>
      <c r="D806" s="46"/>
      <c r="E806" s="46"/>
    </row>
    <row r="807" spans="1:5" ht="14.25" customHeight="1" x14ac:dyDescent="0.2">
      <c r="A807" s="46"/>
      <c r="B807" s="46"/>
      <c r="C807" s="46"/>
      <c r="D807" s="46"/>
      <c r="E807" s="46"/>
    </row>
    <row r="808" spans="1:5" ht="14.25" customHeight="1" x14ac:dyDescent="0.2">
      <c r="A808" s="46"/>
      <c r="B808" s="46"/>
      <c r="C808" s="46"/>
      <c r="D808" s="46"/>
      <c r="E808" s="46"/>
    </row>
    <row r="809" spans="1:5" ht="14.25" customHeight="1" x14ac:dyDescent="0.2">
      <c r="A809" s="46"/>
      <c r="B809" s="46"/>
      <c r="C809" s="46"/>
      <c r="D809" s="46"/>
      <c r="E809" s="46"/>
    </row>
    <row r="810" spans="1:5" ht="14.25" customHeight="1" x14ac:dyDescent="0.2">
      <c r="A810" s="46"/>
      <c r="B810" s="46"/>
      <c r="C810" s="46"/>
      <c r="D810" s="46"/>
      <c r="E810" s="46"/>
    </row>
    <row r="811" spans="1:5" ht="14.25" customHeight="1" x14ac:dyDescent="0.2">
      <c r="A811" s="46"/>
      <c r="B811" s="46"/>
      <c r="C811" s="46"/>
      <c r="D811" s="46"/>
      <c r="E811" s="46"/>
    </row>
    <row r="812" spans="1:5" ht="14.25" customHeight="1" x14ac:dyDescent="0.2">
      <c r="A812" s="46"/>
      <c r="B812" s="46"/>
      <c r="C812" s="46"/>
      <c r="D812" s="46"/>
      <c r="E812" s="46"/>
    </row>
    <row r="813" spans="1:5" ht="14.25" customHeight="1" x14ac:dyDescent="0.2">
      <c r="A813" s="46"/>
      <c r="B813" s="46"/>
      <c r="C813" s="46"/>
      <c r="D813" s="46"/>
      <c r="E813" s="46"/>
    </row>
    <row r="814" spans="1:5" ht="14.25" customHeight="1" x14ac:dyDescent="0.2">
      <c r="A814" s="46"/>
      <c r="B814" s="46"/>
      <c r="C814" s="46"/>
      <c r="D814" s="46"/>
      <c r="E814" s="46"/>
    </row>
    <row r="815" spans="1:5" ht="14.25" customHeight="1" x14ac:dyDescent="0.2">
      <c r="A815" s="46"/>
      <c r="B815" s="46"/>
      <c r="C815" s="46"/>
      <c r="D815" s="46"/>
      <c r="E815" s="46"/>
    </row>
    <row r="816" spans="1:5" ht="14.25" customHeight="1" x14ac:dyDescent="0.2">
      <c r="A816" s="46"/>
      <c r="B816" s="46"/>
      <c r="C816" s="46"/>
      <c r="D816" s="46"/>
      <c r="E816" s="46"/>
    </row>
    <row r="817" spans="1:5" ht="14.25" customHeight="1" x14ac:dyDescent="0.2">
      <c r="A817" s="46"/>
      <c r="B817" s="46"/>
      <c r="C817" s="46"/>
      <c r="D817" s="46"/>
      <c r="E817" s="46"/>
    </row>
    <row r="818" spans="1:5" ht="14.25" customHeight="1" x14ac:dyDescent="0.2">
      <c r="A818" s="46"/>
      <c r="B818" s="46"/>
      <c r="C818" s="46"/>
      <c r="D818" s="46"/>
      <c r="E818" s="46"/>
    </row>
    <row r="819" spans="1:5" ht="14.25" customHeight="1" x14ac:dyDescent="0.2">
      <c r="A819" s="46"/>
      <c r="B819" s="46"/>
      <c r="C819" s="46"/>
      <c r="D819" s="46"/>
      <c r="E819" s="46"/>
    </row>
    <row r="820" spans="1:5" ht="14.25" customHeight="1" x14ac:dyDescent="0.2">
      <c r="A820" s="46"/>
      <c r="B820" s="46"/>
      <c r="C820" s="46"/>
      <c r="D820" s="46"/>
      <c r="E820" s="46"/>
    </row>
    <row r="821" spans="1:5" ht="14.25" customHeight="1" x14ac:dyDescent="0.2">
      <c r="A821" s="46"/>
      <c r="B821" s="46"/>
      <c r="C821" s="46"/>
      <c r="D821" s="46"/>
      <c r="E821" s="46"/>
    </row>
    <row r="822" spans="1:5" ht="14.25" customHeight="1" x14ac:dyDescent="0.2">
      <c r="A822" s="46"/>
      <c r="B822" s="46"/>
      <c r="C822" s="46"/>
      <c r="D822" s="46"/>
      <c r="E822" s="46"/>
    </row>
    <row r="823" spans="1:5" ht="14.25" customHeight="1" x14ac:dyDescent="0.2">
      <c r="A823" s="46"/>
      <c r="B823" s="46"/>
      <c r="C823" s="46"/>
      <c r="D823" s="46"/>
      <c r="E823" s="46"/>
    </row>
    <row r="824" spans="1:5" ht="14.25" customHeight="1" x14ac:dyDescent="0.2">
      <c r="A824" s="46"/>
      <c r="B824" s="46"/>
      <c r="C824" s="46"/>
      <c r="D824" s="46"/>
      <c r="E824" s="46"/>
    </row>
    <row r="825" spans="1:5" ht="14.25" customHeight="1" x14ac:dyDescent="0.2">
      <c r="A825" s="46"/>
      <c r="B825" s="46"/>
      <c r="C825" s="46"/>
      <c r="D825" s="46"/>
      <c r="E825" s="46"/>
    </row>
    <row r="826" spans="1:5" ht="14.25" customHeight="1" x14ac:dyDescent="0.2">
      <c r="A826" s="46"/>
      <c r="B826" s="46"/>
      <c r="C826" s="46"/>
      <c r="D826" s="46"/>
      <c r="E826" s="46"/>
    </row>
    <row r="827" spans="1:5" ht="14.25" customHeight="1" x14ac:dyDescent="0.2">
      <c r="A827" s="46"/>
      <c r="B827" s="46"/>
      <c r="C827" s="46"/>
      <c r="D827" s="46"/>
      <c r="E827" s="46"/>
    </row>
    <row r="828" spans="1:5" ht="14.25" customHeight="1" x14ac:dyDescent="0.2">
      <c r="A828" s="46"/>
      <c r="B828" s="46"/>
      <c r="C828" s="46"/>
      <c r="D828" s="46"/>
      <c r="E828" s="46"/>
    </row>
    <row r="829" spans="1:5" ht="14.25" customHeight="1" x14ac:dyDescent="0.2">
      <c r="A829" s="46"/>
      <c r="B829" s="46"/>
      <c r="C829" s="46"/>
      <c r="D829" s="46"/>
      <c r="E829" s="46"/>
    </row>
    <row r="830" spans="1:5" ht="14.25" customHeight="1" x14ac:dyDescent="0.2">
      <c r="A830" s="46"/>
      <c r="B830" s="46"/>
      <c r="C830" s="46"/>
      <c r="D830" s="46"/>
      <c r="E830" s="46"/>
    </row>
    <row r="831" spans="1:5" ht="14.25" customHeight="1" x14ac:dyDescent="0.2">
      <c r="A831" s="46"/>
      <c r="B831" s="46"/>
      <c r="C831" s="46"/>
      <c r="D831" s="46"/>
      <c r="E831" s="46"/>
    </row>
    <row r="832" spans="1:5" ht="14.25" customHeight="1" x14ac:dyDescent="0.2">
      <c r="A832" s="46"/>
      <c r="B832" s="46"/>
      <c r="C832" s="46"/>
      <c r="D832" s="46"/>
      <c r="E832" s="46"/>
    </row>
    <row r="833" spans="1:5" ht="14.25" customHeight="1" x14ac:dyDescent="0.2">
      <c r="A833" s="46"/>
      <c r="B833" s="46"/>
      <c r="C833" s="46"/>
      <c r="D833" s="46"/>
      <c r="E833" s="46"/>
    </row>
    <row r="834" spans="1:5" ht="14.25" customHeight="1" x14ac:dyDescent="0.2">
      <c r="A834" s="46"/>
      <c r="B834" s="46"/>
      <c r="C834" s="46"/>
      <c r="D834" s="46"/>
      <c r="E834" s="46"/>
    </row>
    <row r="835" spans="1:5" ht="14.25" customHeight="1" x14ac:dyDescent="0.2">
      <c r="A835" s="46"/>
      <c r="B835" s="46"/>
      <c r="C835" s="46"/>
      <c r="D835" s="46"/>
      <c r="E835" s="46"/>
    </row>
    <row r="836" spans="1:5" ht="14.25" customHeight="1" x14ac:dyDescent="0.2">
      <c r="A836" s="46"/>
      <c r="B836" s="46"/>
      <c r="C836" s="46"/>
      <c r="D836" s="46"/>
      <c r="E836" s="46"/>
    </row>
    <row r="837" spans="1:5" ht="14.25" customHeight="1" x14ac:dyDescent="0.2">
      <c r="A837" s="46"/>
      <c r="B837" s="46"/>
      <c r="C837" s="46"/>
      <c r="D837" s="46"/>
      <c r="E837" s="46"/>
    </row>
    <row r="838" spans="1:5" ht="14.25" customHeight="1" x14ac:dyDescent="0.2">
      <c r="A838" s="46"/>
      <c r="B838" s="46"/>
      <c r="C838" s="46"/>
      <c r="D838" s="46"/>
      <c r="E838" s="46"/>
    </row>
    <row r="839" spans="1:5" ht="14.25" customHeight="1" x14ac:dyDescent="0.2">
      <c r="A839" s="46"/>
      <c r="B839" s="46"/>
      <c r="C839" s="46"/>
      <c r="D839" s="46"/>
      <c r="E839" s="46"/>
    </row>
    <row r="840" spans="1:5" ht="14.25" customHeight="1" x14ac:dyDescent="0.2">
      <c r="A840" s="46"/>
      <c r="B840" s="46"/>
      <c r="C840" s="46"/>
      <c r="D840" s="46"/>
      <c r="E840" s="46"/>
    </row>
    <row r="841" spans="1:5" ht="14.25" customHeight="1" x14ac:dyDescent="0.2">
      <c r="A841" s="46"/>
      <c r="B841" s="46"/>
      <c r="C841" s="46"/>
      <c r="D841" s="46"/>
      <c r="E841" s="46"/>
    </row>
    <row r="842" spans="1:5" ht="14.25" customHeight="1" x14ac:dyDescent="0.2">
      <c r="A842" s="46"/>
      <c r="B842" s="46"/>
      <c r="C842" s="46"/>
      <c r="D842" s="46"/>
      <c r="E842" s="46"/>
    </row>
    <row r="843" spans="1:5" ht="14.25" customHeight="1" x14ac:dyDescent="0.2">
      <c r="A843" s="46"/>
      <c r="B843" s="46"/>
      <c r="C843" s="46"/>
      <c r="D843" s="46"/>
      <c r="E843" s="46"/>
    </row>
    <row r="844" spans="1:5" ht="14.25" customHeight="1" x14ac:dyDescent="0.2">
      <c r="A844" s="46"/>
      <c r="B844" s="46"/>
      <c r="C844" s="46"/>
      <c r="D844" s="46"/>
      <c r="E844" s="46"/>
    </row>
    <row r="845" spans="1:5" ht="14.25" customHeight="1" x14ac:dyDescent="0.2">
      <c r="A845" s="46"/>
      <c r="B845" s="46"/>
      <c r="C845" s="46"/>
      <c r="D845" s="46"/>
      <c r="E845" s="46"/>
    </row>
    <row r="846" spans="1:5" ht="14.25" customHeight="1" x14ac:dyDescent="0.2">
      <c r="A846" s="46"/>
      <c r="B846" s="46"/>
      <c r="C846" s="46"/>
      <c r="D846" s="46"/>
      <c r="E846" s="46"/>
    </row>
    <row r="847" spans="1:5" ht="14.25" customHeight="1" x14ac:dyDescent="0.2">
      <c r="A847" s="46"/>
      <c r="B847" s="46"/>
      <c r="C847" s="46"/>
      <c r="D847" s="46"/>
      <c r="E847" s="46"/>
    </row>
    <row r="848" spans="1:5" ht="14.25" customHeight="1" x14ac:dyDescent="0.2">
      <c r="A848" s="46"/>
      <c r="B848" s="46"/>
      <c r="C848" s="46"/>
      <c r="D848" s="46"/>
      <c r="E848" s="46"/>
    </row>
    <row r="849" spans="1:5" ht="14.25" customHeight="1" x14ac:dyDescent="0.2">
      <c r="A849" s="46"/>
      <c r="B849" s="46"/>
      <c r="C849" s="46"/>
      <c r="D849" s="46"/>
      <c r="E849" s="46"/>
    </row>
    <row r="850" spans="1:5" ht="14.25" customHeight="1" x14ac:dyDescent="0.2">
      <c r="A850" s="46"/>
      <c r="B850" s="46"/>
      <c r="C850" s="46"/>
      <c r="D850" s="46"/>
      <c r="E850" s="46"/>
    </row>
    <row r="851" spans="1:5" ht="14.25" customHeight="1" x14ac:dyDescent="0.2">
      <c r="A851" s="46"/>
      <c r="B851" s="46"/>
      <c r="C851" s="46"/>
      <c r="D851" s="46"/>
      <c r="E851" s="46"/>
    </row>
    <row r="852" spans="1:5" ht="14.25" customHeight="1" x14ac:dyDescent="0.2">
      <c r="A852" s="46"/>
      <c r="B852" s="46"/>
      <c r="C852" s="46"/>
      <c r="D852" s="46"/>
      <c r="E852" s="46"/>
    </row>
    <row r="853" spans="1:5" ht="14.25" customHeight="1" x14ac:dyDescent="0.2">
      <c r="A853" s="46"/>
      <c r="B853" s="46"/>
      <c r="C853" s="46"/>
      <c r="D853" s="46"/>
      <c r="E853" s="46"/>
    </row>
    <row r="854" spans="1:5" ht="14.25" customHeight="1" x14ac:dyDescent="0.2">
      <c r="A854" s="46"/>
      <c r="B854" s="46"/>
      <c r="C854" s="46"/>
      <c r="D854" s="46"/>
      <c r="E854" s="46"/>
    </row>
    <row r="855" spans="1:5" ht="14.25" customHeight="1" x14ac:dyDescent="0.2">
      <c r="A855" s="46"/>
      <c r="B855" s="46"/>
      <c r="C855" s="46"/>
      <c r="D855" s="46"/>
      <c r="E855" s="46"/>
    </row>
    <row r="856" spans="1:5" ht="14.25" customHeight="1" x14ac:dyDescent="0.2">
      <c r="A856" s="46"/>
      <c r="B856" s="46"/>
      <c r="C856" s="46"/>
      <c r="D856" s="46"/>
      <c r="E856" s="46"/>
    </row>
    <row r="857" spans="1:5" ht="14.25" customHeight="1" x14ac:dyDescent="0.2">
      <c r="A857" s="46"/>
      <c r="B857" s="46"/>
      <c r="C857" s="46"/>
      <c r="D857" s="46"/>
      <c r="E857" s="46"/>
    </row>
    <row r="858" spans="1:5" ht="14.25" customHeight="1" x14ac:dyDescent="0.2">
      <c r="A858" s="46"/>
      <c r="B858" s="46"/>
      <c r="C858" s="46"/>
      <c r="D858" s="46"/>
      <c r="E858" s="46"/>
    </row>
    <row r="859" spans="1:5" ht="14.25" customHeight="1" x14ac:dyDescent="0.2">
      <c r="A859" s="46"/>
      <c r="B859" s="46"/>
      <c r="C859" s="46"/>
      <c r="D859" s="46"/>
      <c r="E859" s="46"/>
    </row>
    <row r="860" spans="1:5" ht="14.25" customHeight="1" x14ac:dyDescent="0.2">
      <c r="A860" s="46"/>
      <c r="B860" s="46"/>
      <c r="C860" s="46"/>
      <c r="D860" s="46"/>
      <c r="E860" s="46"/>
    </row>
    <row r="861" spans="1:5" ht="14.25" customHeight="1" x14ac:dyDescent="0.2">
      <c r="A861" s="46"/>
      <c r="B861" s="46"/>
      <c r="C861" s="46"/>
      <c r="D861" s="46"/>
      <c r="E861" s="46"/>
    </row>
    <row r="862" spans="1:5" ht="14.25" customHeight="1" x14ac:dyDescent="0.2">
      <c r="A862" s="46"/>
      <c r="B862" s="46"/>
      <c r="C862" s="46"/>
      <c r="D862" s="46"/>
      <c r="E862" s="46"/>
    </row>
    <row r="863" spans="1:5" ht="14.25" customHeight="1" x14ac:dyDescent="0.2">
      <c r="A863" s="46"/>
      <c r="B863" s="46"/>
      <c r="C863" s="46"/>
      <c r="D863" s="46"/>
      <c r="E863" s="46"/>
    </row>
    <row r="864" spans="1:5" ht="14.25" customHeight="1" x14ac:dyDescent="0.2">
      <c r="A864" s="46"/>
      <c r="B864" s="46"/>
      <c r="C864" s="46"/>
      <c r="D864" s="46"/>
      <c r="E864" s="46"/>
    </row>
    <row r="865" spans="1:5" ht="14.25" customHeight="1" x14ac:dyDescent="0.2">
      <c r="A865" s="46"/>
      <c r="B865" s="46"/>
      <c r="C865" s="46"/>
      <c r="D865" s="46"/>
      <c r="E865" s="46"/>
    </row>
    <row r="866" spans="1:5" ht="14.25" customHeight="1" x14ac:dyDescent="0.2">
      <c r="A866" s="46"/>
      <c r="B866" s="46"/>
      <c r="C866" s="46"/>
      <c r="D866" s="46"/>
      <c r="E866" s="46"/>
    </row>
    <row r="867" spans="1:5" ht="14.25" customHeight="1" x14ac:dyDescent="0.2">
      <c r="A867" s="46"/>
      <c r="B867" s="46"/>
      <c r="C867" s="46"/>
      <c r="D867" s="46"/>
      <c r="E867" s="46"/>
    </row>
    <row r="868" spans="1:5" ht="14.25" customHeight="1" x14ac:dyDescent="0.2">
      <c r="A868" s="46"/>
      <c r="B868" s="46"/>
      <c r="C868" s="46"/>
      <c r="D868" s="46"/>
      <c r="E868" s="46"/>
    </row>
    <row r="869" spans="1:5" ht="14.25" customHeight="1" x14ac:dyDescent="0.2">
      <c r="A869" s="46"/>
      <c r="B869" s="46"/>
      <c r="C869" s="46"/>
      <c r="D869" s="46"/>
      <c r="E869" s="46"/>
    </row>
    <row r="870" spans="1:5" ht="14.25" customHeight="1" x14ac:dyDescent="0.2">
      <c r="A870" s="46"/>
      <c r="B870" s="46"/>
      <c r="C870" s="46"/>
      <c r="D870" s="46"/>
      <c r="E870" s="46"/>
    </row>
    <row r="871" spans="1:5" ht="14.25" customHeight="1" x14ac:dyDescent="0.2">
      <c r="A871" s="46"/>
      <c r="B871" s="46"/>
      <c r="C871" s="46"/>
      <c r="D871" s="46"/>
      <c r="E871" s="46"/>
    </row>
    <row r="872" spans="1:5" ht="14.25" customHeight="1" x14ac:dyDescent="0.2">
      <c r="A872" s="46"/>
      <c r="B872" s="46"/>
      <c r="C872" s="46"/>
      <c r="D872" s="46"/>
      <c r="E872" s="46"/>
    </row>
    <row r="873" spans="1:5" ht="14.25" customHeight="1" x14ac:dyDescent="0.2">
      <c r="A873" s="46"/>
      <c r="B873" s="46"/>
      <c r="C873" s="46"/>
      <c r="D873" s="46"/>
      <c r="E873" s="46"/>
    </row>
    <row r="874" spans="1:5" ht="14.25" customHeight="1" x14ac:dyDescent="0.2">
      <c r="A874" s="46"/>
      <c r="B874" s="46"/>
      <c r="C874" s="46"/>
      <c r="D874" s="46"/>
      <c r="E874" s="46"/>
    </row>
    <row r="875" spans="1:5" ht="14.25" customHeight="1" x14ac:dyDescent="0.2">
      <c r="A875" s="46"/>
      <c r="B875" s="46"/>
      <c r="C875" s="46"/>
      <c r="D875" s="46"/>
      <c r="E875" s="46"/>
    </row>
    <row r="876" spans="1:5" ht="14.25" customHeight="1" x14ac:dyDescent="0.2">
      <c r="A876" s="46"/>
      <c r="B876" s="46"/>
      <c r="C876" s="46"/>
      <c r="D876" s="46"/>
      <c r="E876" s="46"/>
    </row>
    <row r="877" spans="1:5" ht="14.25" customHeight="1" x14ac:dyDescent="0.2">
      <c r="A877" s="46"/>
      <c r="B877" s="46"/>
      <c r="C877" s="46"/>
      <c r="D877" s="46"/>
      <c r="E877" s="46"/>
    </row>
    <row r="878" spans="1:5" ht="14.25" customHeight="1" x14ac:dyDescent="0.2">
      <c r="A878" s="46"/>
      <c r="B878" s="46"/>
      <c r="C878" s="46"/>
      <c r="D878" s="46"/>
      <c r="E878" s="46"/>
    </row>
    <row r="879" spans="1:5" ht="14.25" customHeight="1" x14ac:dyDescent="0.2">
      <c r="A879" s="46"/>
      <c r="B879" s="46"/>
      <c r="C879" s="46"/>
      <c r="D879" s="46"/>
      <c r="E879" s="46"/>
    </row>
    <row r="880" spans="1:5" ht="14.25" customHeight="1" x14ac:dyDescent="0.2">
      <c r="A880" s="46"/>
      <c r="B880" s="46"/>
      <c r="C880" s="46"/>
      <c r="D880" s="46"/>
      <c r="E880" s="46"/>
    </row>
    <row r="881" spans="1:5" ht="14.25" customHeight="1" x14ac:dyDescent="0.2">
      <c r="A881" s="46"/>
      <c r="B881" s="46"/>
      <c r="C881" s="46"/>
      <c r="D881" s="46"/>
      <c r="E881" s="46"/>
    </row>
    <row r="882" spans="1:5" ht="14.25" customHeight="1" x14ac:dyDescent="0.2">
      <c r="A882" s="46"/>
      <c r="B882" s="46"/>
      <c r="C882" s="46"/>
      <c r="D882" s="46"/>
      <c r="E882" s="46"/>
    </row>
    <row r="883" spans="1:5" ht="14.25" customHeight="1" x14ac:dyDescent="0.2">
      <c r="A883" s="46"/>
      <c r="B883" s="46"/>
      <c r="C883" s="46"/>
      <c r="D883" s="46"/>
      <c r="E883" s="46"/>
    </row>
    <row r="884" spans="1:5" ht="14.25" customHeight="1" x14ac:dyDescent="0.2">
      <c r="A884" s="46"/>
      <c r="B884" s="46"/>
      <c r="C884" s="46"/>
      <c r="D884" s="46"/>
      <c r="E884" s="46"/>
    </row>
    <row r="885" spans="1:5" ht="14.25" customHeight="1" x14ac:dyDescent="0.2">
      <c r="A885" s="46"/>
      <c r="B885" s="46"/>
      <c r="C885" s="46"/>
      <c r="D885" s="46"/>
      <c r="E885" s="46"/>
    </row>
    <row r="886" spans="1:5" ht="14.25" customHeight="1" x14ac:dyDescent="0.2">
      <c r="A886" s="46"/>
      <c r="B886" s="46"/>
      <c r="C886" s="46"/>
      <c r="D886" s="46"/>
      <c r="E886" s="46"/>
    </row>
    <row r="887" spans="1:5" ht="14.25" customHeight="1" x14ac:dyDescent="0.2">
      <c r="A887" s="46"/>
      <c r="B887" s="46"/>
      <c r="C887" s="46"/>
      <c r="D887" s="46"/>
      <c r="E887" s="46"/>
    </row>
    <row r="888" spans="1:5" ht="14.25" customHeight="1" x14ac:dyDescent="0.2">
      <c r="A888" s="46"/>
      <c r="B888" s="46"/>
      <c r="C888" s="46"/>
      <c r="D888" s="46"/>
      <c r="E888" s="46"/>
    </row>
    <row r="889" spans="1:5" ht="14.25" customHeight="1" x14ac:dyDescent="0.2">
      <c r="A889" s="46"/>
      <c r="B889" s="46"/>
      <c r="C889" s="46"/>
      <c r="D889" s="46"/>
      <c r="E889" s="46"/>
    </row>
    <row r="890" spans="1:5" ht="14.25" customHeight="1" x14ac:dyDescent="0.2">
      <c r="A890" s="46"/>
      <c r="B890" s="46"/>
      <c r="C890" s="46"/>
      <c r="D890" s="46"/>
      <c r="E890" s="46"/>
    </row>
    <row r="891" spans="1:5" ht="14.25" customHeight="1" x14ac:dyDescent="0.2">
      <c r="A891" s="46"/>
      <c r="B891" s="46"/>
      <c r="C891" s="46"/>
      <c r="D891" s="46"/>
      <c r="E891" s="46"/>
    </row>
    <row r="892" spans="1:5" ht="14.25" customHeight="1" x14ac:dyDescent="0.2">
      <c r="A892" s="46"/>
      <c r="B892" s="46"/>
      <c r="C892" s="46"/>
      <c r="D892" s="46"/>
      <c r="E892" s="46"/>
    </row>
    <row r="893" spans="1:5" ht="14.25" customHeight="1" x14ac:dyDescent="0.2">
      <c r="A893" s="46"/>
      <c r="B893" s="46"/>
      <c r="C893" s="46"/>
      <c r="D893" s="46"/>
      <c r="E893" s="46"/>
    </row>
    <row r="894" spans="1:5" ht="14.25" customHeight="1" x14ac:dyDescent="0.2">
      <c r="A894" s="46"/>
      <c r="B894" s="46"/>
      <c r="C894" s="46"/>
      <c r="D894" s="46"/>
      <c r="E894" s="46"/>
    </row>
    <row r="895" spans="1:5" ht="14.25" customHeight="1" x14ac:dyDescent="0.2">
      <c r="A895" s="46"/>
      <c r="B895" s="46"/>
      <c r="C895" s="46"/>
      <c r="D895" s="46"/>
      <c r="E895" s="46"/>
    </row>
    <row r="896" spans="1:5" ht="14.25" customHeight="1" x14ac:dyDescent="0.2">
      <c r="A896" s="46"/>
      <c r="B896" s="46"/>
      <c r="C896" s="46"/>
      <c r="D896" s="46"/>
      <c r="E896" s="46"/>
    </row>
    <row r="897" spans="1:5" ht="14.25" customHeight="1" x14ac:dyDescent="0.2">
      <c r="A897" s="46"/>
      <c r="B897" s="46"/>
      <c r="C897" s="46"/>
      <c r="D897" s="46"/>
      <c r="E897" s="46"/>
    </row>
    <row r="898" spans="1:5" ht="14.25" customHeight="1" x14ac:dyDescent="0.2">
      <c r="A898" s="46"/>
      <c r="B898" s="46"/>
      <c r="C898" s="46"/>
      <c r="D898" s="46"/>
      <c r="E898" s="46"/>
    </row>
    <row r="899" spans="1:5" ht="14.25" customHeight="1" x14ac:dyDescent="0.2">
      <c r="A899" s="46"/>
      <c r="B899" s="46"/>
      <c r="C899" s="46"/>
      <c r="D899" s="46"/>
      <c r="E899" s="46"/>
    </row>
    <row r="900" spans="1:5" ht="14.25" customHeight="1" x14ac:dyDescent="0.2">
      <c r="A900" s="46"/>
      <c r="B900" s="46"/>
      <c r="C900" s="46"/>
      <c r="D900" s="46"/>
      <c r="E900" s="46"/>
    </row>
    <row r="901" spans="1:5" ht="14.25" customHeight="1" x14ac:dyDescent="0.2">
      <c r="A901" s="46"/>
      <c r="B901" s="46"/>
      <c r="C901" s="46"/>
      <c r="D901" s="46"/>
      <c r="E901" s="46"/>
    </row>
    <row r="902" spans="1:5" ht="14.25" customHeight="1" x14ac:dyDescent="0.2">
      <c r="A902" s="46"/>
      <c r="B902" s="46"/>
      <c r="C902" s="46"/>
      <c r="D902" s="46"/>
      <c r="E902" s="46"/>
    </row>
    <row r="903" spans="1:5" ht="14.25" customHeight="1" x14ac:dyDescent="0.2">
      <c r="A903" s="46"/>
      <c r="B903" s="46"/>
      <c r="C903" s="46"/>
      <c r="D903" s="46"/>
      <c r="E903" s="46"/>
    </row>
    <row r="904" spans="1:5" ht="14.25" customHeight="1" x14ac:dyDescent="0.2">
      <c r="A904" s="46"/>
      <c r="B904" s="46"/>
      <c r="C904" s="46"/>
      <c r="D904" s="46"/>
      <c r="E904" s="46"/>
    </row>
    <row r="905" spans="1:5" ht="14.25" customHeight="1" x14ac:dyDescent="0.2">
      <c r="A905" s="46"/>
      <c r="B905" s="46"/>
      <c r="C905" s="46"/>
      <c r="D905" s="46"/>
      <c r="E905" s="46"/>
    </row>
    <row r="906" spans="1:5" ht="14.25" customHeight="1" x14ac:dyDescent="0.2">
      <c r="A906" s="46"/>
      <c r="B906" s="46"/>
      <c r="C906" s="46"/>
      <c r="D906" s="46"/>
      <c r="E906" s="46"/>
    </row>
    <row r="907" spans="1:5" ht="14.25" customHeight="1" x14ac:dyDescent="0.2">
      <c r="A907" s="46"/>
      <c r="B907" s="46"/>
      <c r="C907" s="46"/>
      <c r="D907" s="46"/>
      <c r="E907" s="46"/>
    </row>
    <row r="908" spans="1:5" ht="14.25" customHeight="1" x14ac:dyDescent="0.2">
      <c r="A908" s="46"/>
      <c r="B908" s="46"/>
      <c r="C908" s="46"/>
      <c r="D908" s="46"/>
      <c r="E908" s="46"/>
    </row>
    <row r="909" spans="1:5" ht="14.25" customHeight="1" x14ac:dyDescent="0.2">
      <c r="A909" s="46"/>
      <c r="B909" s="46"/>
      <c r="C909" s="46"/>
      <c r="D909" s="46"/>
      <c r="E909" s="46"/>
    </row>
    <row r="910" spans="1:5" ht="14.25" customHeight="1" x14ac:dyDescent="0.2">
      <c r="A910" s="46"/>
      <c r="B910" s="46"/>
      <c r="C910" s="46"/>
      <c r="D910" s="46"/>
      <c r="E910" s="46"/>
    </row>
    <row r="911" spans="1:5" ht="14.25" customHeight="1" x14ac:dyDescent="0.2">
      <c r="A911" s="46"/>
      <c r="B911" s="46"/>
      <c r="C911" s="46"/>
      <c r="D911" s="46"/>
      <c r="E911" s="46"/>
    </row>
    <row r="912" spans="1:5" ht="14.25" customHeight="1" x14ac:dyDescent="0.2">
      <c r="A912" s="46"/>
      <c r="B912" s="46"/>
      <c r="C912" s="46"/>
      <c r="D912" s="46"/>
      <c r="E912" s="46"/>
    </row>
    <row r="913" spans="1:5" ht="14.25" customHeight="1" x14ac:dyDescent="0.2">
      <c r="A913" s="46"/>
      <c r="B913" s="46"/>
      <c r="C913" s="46"/>
      <c r="D913" s="46"/>
      <c r="E913" s="46"/>
    </row>
    <row r="914" spans="1:5" ht="14.25" customHeight="1" x14ac:dyDescent="0.2">
      <c r="A914" s="46"/>
      <c r="B914" s="46"/>
      <c r="C914" s="46"/>
      <c r="D914" s="46"/>
      <c r="E914" s="46"/>
    </row>
    <row r="915" spans="1:5" ht="14.25" customHeight="1" x14ac:dyDescent="0.2">
      <c r="A915" s="46"/>
      <c r="B915" s="46"/>
      <c r="C915" s="46"/>
      <c r="D915" s="46"/>
      <c r="E915" s="46"/>
    </row>
    <row r="916" spans="1:5" ht="14.25" customHeight="1" x14ac:dyDescent="0.2">
      <c r="A916" s="46"/>
      <c r="B916" s="46"/>
      <c r="C916" s="46"/>
      <c r="D916" s="46"/>
      <c r="E916" s="46"/>
    </row>
    <row r="917" spans="1:5" ht="14.25" customHeight="1" x14ac:dyDescent="0.2">
      <c r="A917" s="46"/>
      <c r="B917" s="46"/>
      <c r="C917" s="46"/>
      <c r="D917" s="46"/>
      <c r="E917" s="46"/>
    </row>
    <row r="918" spans="1:5" ht="14.25" customHeight="1" x14ac:dyDescent="0.2">
      <c r="A918" s="46"/>
      <c r="B918" s="46"/>
      <c r="C918" s="46"/>
      <c r="D918" s="46"/>
      <c r="E918" s="46"/>
    </row>
    <row r="919" spans="1:5" ht="14.25" customHeight="1" x14ac:dyDescent="0.2">
      <c r="A919" s="46"/>
      <c r="B919" s="46"/>
      <c r="C919" s="46"/>
      <c r="D919" s="46"/>
      <c r="E919" s="46"/>
    </row>
    <row r="920" spans="1:5" ht="14.25" customHeight="1" x14ac:dyDescent="0.2">
      <c r="A920" s="46"/>
      <c r="B920" s="46"/>
      <c r="C920" s="46"/>
      <c r="D920" s="46"/>
      <c r="E920" s="46"/>
    </row>
    <row r="921" spans="1:5" ht="14.25" customHeight="1" x14ac:dyDescent="0.2">
      <c r="A921" s="46"/>
      <c r="B921" s="46"/>
      <c r="C921" s="46"/>
      <c r="D921" s="46"/>
      <c r="E921" s="46"/>
    </row>
    <row r="922" spans="1:5" ht="14.25" customHeight="1" x14ac:dyDescent="0.2">
      <c r="A922" s="46"/>
      <c r="B922" s="46"/>
      <c r="C922" s="46"/>
      <c r="D922" s="46"/>
      <c r="E922" s="46"/>
    </row>
    <row r="923" spans="1:5" ht="14.25" customHeight="1" x14ac:dyDescent="0.2">
      <c r="A923" s="46"/>
      <c r="B923" s="46"/>
      <c r="C923" s="46"/>
      <c r="D923" s="46"/>
      <c r="E923" s="46"/>
    </row>
    <row r="924" spans="1:5" ht="14.25" customHeight="1" x14ac:dyDescent="0.2">
      <c r="A924" s="46"/>
      <c r="B924" s="46"/>
      <c r="C924" s="46"/>
      <c r="D924" s="46"/>
      <c r="E924" s="46"/>
    </row>
    <row r="925" spans="1:5" ht="14.25" customHeight="1" x14ac:dyDescent="0.2">
      <c r="A925" s="46"/>
      <c r="B925" s="46"/>
      <c r="C925" s="46"/>
      <c r="D925" s="46"/>
      <c r="E925" s="46"/>
    </row>
    <row r="926" spans="1:5" ht="14.25" customHeight="1" x14ac:dyDescent="0.2">
      <c r="A926" s="46"/>
      <c r="B926" s="46"/>
      <c r="C926" s="46"/>
      <c r="D926" s="46"/>
      <c r="E926" s="46"/>
    </row>
    <row r="927" spans="1:5" ht="14.25" customHeight="1" x14ac:dyDescent="0.2">
      <c r="A927" s="46"/>
      <c r="B927" s="46"/>
      <c r="C927" s="46"/>
      <c r="D927" s="46"/>
      <c r="E927" s="46"/>
    </row>
    <row r="928" spans="1:5" ht="14.25" customHeight="1" x14ac:dyDescent="0.2">
      <c r="A928" s="46"/>
      <c r="B928" s="46"/>
      <c r="C928" s="46"/>
      <c r="D928" s="46"/>
      <c r="E928" s="46"/>
    </row>
    <row r="929" spans="1:5" ht="14.25" customHeight="1" x14ac:dyDescent="0.2">
      <c r="A929" s="46"/>
      <c r="B929" s="46"/>
      <c r="C929" s="46"/>
      <c r="D929" s="46"/>
      <c r="E929" s="46"/>
    </row>
    <row r="930" spans="1:5" ht="14.25" customHeight="1" x14ac:dyDescent="0.2">
      <c r="A930" s="46"/>
      <c r="B930" s="46"/>
      <c r="C930" s="46"/>
      <c r="D930" s="46"/>
      <c r="E930" s="46"/>
    </row>
    <row r="931" spans="1:5" ht="14.25" customHeight="1" x14ac:dyDescent="0.2">
      <c r="A931" s="46"/>
      <c r="B931" s="46"/>
      <c r="C931" s="46"/>
      <c r="D931" s="46"/>
      <c r="E931" s="46"/>
    </row>
    <row r="932" spans="1:5" ht="14.25" customHeight="1" x14ac:dyDescent="0.2">
      <c r="A932" s="46"/>
      <c r="B932" s="46"/>
      <c r="C932" s="46"/>
      <c r="D932" s="46"/>
      <c r="E932" s="46"/>
    </row>
    <row r="933" spans="1:5" ht="14.25" customHeight="1" x14ac:dyDescent="0.2">
      <c r="A933" s="46"/>
      <c r="B933" s="46"/>
      <c r="C933" s="46"/>
      <c r="D933" s="46"/>
      <c r="E933" s="46"/>
    </row>
    <row r="934" spans="1:5" ht="14.25" customHeight="1" x14ac:dyDescent="0.2">
      <c r="A934" s="46"/>
      <c r="B934" s="46"/>
      <c r="C934" s="46"/>
      <c r="D934" s="46"/>
      <c r="E934" s="46"/>
    </row>
    <row r="935" spans="1:5" ht="14.25" customHeight="1" x14ac:dyDescent="0.2">
      <c r="A935" s="46"/>
      <c r="B935" s="46"/>
      <c r="C935" s="46"/>
      <c r="D935" s="46"/>
      <c r="E935" s="46"/>
    </row>
    <row r="936" spans="1:5" ht="14.25" customHeight="1" x14ac:dyDescent="0.2">
      <c r="A936" s="46"/>
      <c r="B936" s="46"/>
      <c r="C936" s="46"/>
      <c r="D936" s="46"/>
      <c r="E936" s="46"/>
    </row>
    <row r="937" spans="1:5" ht="14.25" customHeight="1" x14ac:dyDescent="0.2">
      <c r="A937" s="46"/>
      <c r="B937" s="46"/>
      <c r="C937" s="46"/>
      <c r="D937" s="46"/>
      <c r="E937" s="46"/>
    </row>
    <row r="938" spans="1:5" ht="14.25" customHeight="1" x14ac:dyDescent="0.2">
      <c r="A938" s="46"/>
      <c r="B938" s="46"/>
      <c r="C938" s="46"/>
      <c r="D938" s="46"/>
      <c r="E938" s="46"/>
    </row>
    <row r="939" spans="1:5" ht="14.25" customHeight="1" x14ac:dyDescent="0.2">
      <c r="A939" s="46"/>
      <c r="B939" s="46"/>
      <c r="C939" s="46"/>
      <c r="D939" s="46"/>
      <c r="E939" s="46"/>
    </row>
    <row r="940" spans="1:5" ht="14.25" customHeight="1" x14ac:dyDescent="0.2">
      <c r="A940" s="46"/>
      <c r="B940" s="46"/>
      <c r="C940" s="46"/>
      <c r="D940" s="46"/>
      <c r="E940" s="46"/>
    </row>
    <row r="941" spans="1:5" ht="14.25" customHeight="1" x14ac:dyDescent="0.2">
      <c r="A941" s="46"/>
      <c r="B941" s="46"/>
      <c r="C941" s="46"/>
      <c r="D941" s="46"/>
      <c r="E941" s="46"/>
    </row>
    <row r="942" spans="1:5" ht="14.25" customHeight="1" x14ac:dyDescent="0.2">
      <c r="A942" s="46"/>
      <c r="B942" s="46"/>
      <c r="C942" s="46"/>
      <c r="D942" s="46"/>
      <c r="E942" s="46"/>
    </row>
    <row r="943" spans="1:5" ht="14.25" customHeight="1" x14ac:dyDescent="0.2">
      <c r="A943" s="46"/>
      <c r="B943" s="46"/>
      <c r="C943" s="46"/>
      <c r="D943" s="46"/>
      <c r="E943" s="46"/>
    </row>
    <row r="944" spans="1:5" ht="14.25" customHeight="1" x14ac:dyDescent="0.2">
      <c r="A944" s="46"/>
      <c r="B944" s="46"/>
      <c r="C944" s="46"/>
      <c r="D944" s="46"/>
      <c r="E944" s="46"/>
    </row>
    <row r="945" spans="1:5" ht="14.25" customHeight="1" x14ac:dyDescent="0.2">
      <c r="A945" s="46"/>
      <c r="B945" s="46"/>
      <c r="C945" s="46"/>
      <c r="D945" s="46"/>
      <c r="E945" s="46"/>
    </row>
    <row r="946" spans="1:5" ht="14.25" customHeight="1" x14ac:dyDescent="0.2">
      <c r="A946" s="46"/>
      <c r="B946" s="46"/>
      <c r="C946" s="46"/>
      <c r="D946" s="46"/>
      <c r="E946" s="46"/>
    </row>
    <row r="947" spans="1:5" ht="14.25" customHeight="1" x14ac:dyDescent="0.2">
      <c r="A947" s="46"/>
      <c r="B947" s="46"/>
      <c r="C947" s="46"/>
      <c r="D947" s="46"/>
      <c r="E947" s="46"/>
    </row>
    <row r="948" spans="1:5" ht="14.25" customHeight="1" x14ac:dyDescent="0.2">
      <c r="A948" s="46"/>
      <c r="B948" s="46"/>
      <c r="C948" s="46"/>
      <c r="D948" s="46"/>
      <c r="E948" s="46"/>
    </row>
    <row r="949" spans="1:5" ht="14.25" customHeight="1" x14ac:dyDescent="0.2">
      <c r="A949" s="46"/>
      <c r="B949" s="46"/>
      <c r="C949" s="46"/>
      <c r="D949" s="46"/>
      <c r="E949" s="46"/>
    </row>
    <row r="950" spans="1:5" ht="14.25" customHeight="1" x14ac:dyDescent="0.2">
      <c r="A950" s="46"/>
      <c r="B950" s="46"/>
      <c r="C950" s="46"/>
      <c r="D950" s="46"/>
      <c r="E950" s="46"/>
    </row>
    <row r="951" spans="1:5" ht="14.25" customHeight="1" x14ac:dyDescent="0.2">
      <c r="A951" s="46"/>
      <c r="B951" s="46"/>
      <c r="C951" s="46"/>
      <c r="D951" s="46"/>
      <c r="E951" s="46"/>
    </row>
    <row r="952" spans="1:5" ht="14.25" customHeight="1" x14ac:dyDescent="0.2">
      <c r="A952" s="46"/>
      <c r="B952" s="46"/>
      <c r="C952" s="46"/>
      <c r="D952" s="46"/>
      <c r="E952" s="46"/>
    </row>
    <row r="953" spans="1:5" ht="14.25" customHeight="1" x14ac:dyDescent="0.2">
      <c r="A953" s="46"/>
      <c r="B953" s="46"/>
      <c r="C953" s="46"/>
      <c r="D953" s="46"/>
      <c r="E953" s="46"/>
    </row>
    <row r="954" spans="1:5" ht="14.25" customHeight="1" x14ac:dyDescent="0.2">
      <c r="A954" s="46"/>
      <c r="B954" s="46"/>
      <c r="C954" s="46"/>
      <c r="D954" s="46"/>
      <c r="E954" s="46"/>
    </row>
    <row r="955" spans="1:5" ht="14.25" customHeight="1" x14ac:dyDescent="0.2">
      <c r="A955" s="46"/>
      <c r="B955" s="46"/>
      <c r="C955" s="46"/>
      <c r="D955" s="46"/>
      <c r="E955" s="46"/>
    </row>
    <row r="956" spans="1:5" ht="14.25" customHeight="1" x14ac:dyDescent="0.2">
      <c r="A956" s="46"/>
      <c r="B956" s="46"/>
      <c r="C956" s="46"/>
      <c r="D956" s="46"/>
      <c r="E956" s="46"/>
    </row>
    <row r="957" spans="1:5" ht="14.25" customHeight="1" x14ac:dyDescent="0.2">
      <c r="A957" s="46"/>
      <c r="B957" s="46"/>
      <c r="C957" s="46"/>
      <c r="D957" s="46"/>
      <c r="E957" s="46"/>
    </row>
    <row r="958" spans="1:5" ht="14.25" customHeight="1" x14ac:dyDescent="0.2">
      <c r="A958" s="46"/>
      <c r="B958" s="46"/>
      <c r="C958" s="46"/>
      <c r="D958" s="46"/>
      <c r="E958" s="46"/>
    </row>
    <row r="959" spans="1:5" ht="14.25" customHeight="1" x14ac:dyDescent="0.2">
      <c r="A959" s="46"/>
      <c r="B959" s="46"/>
      <c r="C959" s="46"/>
      <c r="D959" s="46"/>
      <c r="E959" s="46"/>
    </row>
    <row r="960" spans="1:5" ht="14.25" customHeight="1" x14ac:dyDescent="0.2">
      <c r="A960" s="46"/>
      <c r="B960" s="46"/>
      <c r="C960" s="46"/>
      <c r="D960" s="46"/>
      <c r="E960" s="46"/>
    </row>
    <row r="961" spans="1:5" ht="14.25" customHeight="1" x14ac:dyDescent="0.2">
      <c r="A961" s="46"/>
      <c r="B961" s="46"/>
      <c r="C961" s="46"/>
      <c r="D961" s="46"/>
      <c r="E961" s="46"/>
    </row>
    <row r="962" spans="1:5" ht="14.25" customHeight="1" x14ac:dyDescent="0.2">
      <c r="A962" s="46"/>
      <c r="B962" s="46"/>
      <c r="C962" s="46"/>
      <c r="D962" s="46"/>
      <c r="E962" s="46"/>
    </row>
    <row r="963" spans="1:5" ht="14.25" customHeight="1" x14ac:dyDescent="0.2">
      <c r="A963" s="46"/>
      <c r="B963" s="46"/>
      <c r="C963" s="46"/>
      <c r="D963" s="46"/>
      <c r="E963" s="46"/>
    </row>
    <row r="964" spans="1:5" ht="14.25" customHeight="1" x14ac:dyDescent="0.2">
      <c r="A964" s="46"/>
      <c r="B964" s="46"/>
      <c r="C964" s="46"/>
      <c r="D964" s="46"/>
      <c r="E964" s="46"/>
    </row>
    <row r="965" spans="1:5" ht="14.25" customHeight="1" x14ac:dyDescent="0.2">
      <c r="A965" s="46"/>
      <c r="B965" s="46"/>
      <c r="C965" s="46"/>
      <c r="D965" s="46"/>
      <c r="E965" s="46"/>
    </row>
    <row r="966" spans="1:5" ht="14.25" customHeight="1" x14ac:dyDescent="0.2">
      <c r="A966" s="46"/>
      <c r="B966" s="46"/>
      <c r="C966" s="46"/>
      <c r="D966" s="46"/>
      <c r="E966" s="46"/>
    </row>
    <row r="967" spans="1:5" ht="14.25" customHeight="1" x14ac:dyDescent="0.2">
      <c r="A967" s="46"/>
      <c r="B967" s="46"/>
      <c r="C967" s="46"/>
      <c r="D967" s="46"/>
      <c r="E967" s="46"/>
    </row>
    <row r="968" spans="1:5" ht="14.25" customHeight="1" x14ac:dyDescent="0.2">
      <c r="A968" s="46"/>
      <c r="B968" s="46"/>
      <c r="C968" s="46"/>
      <c r="D968" s="46"/>
      <c r="E968" s="46"/>
    </row>
    <row r="969" spans="1:5" ht="14.25" customHeight="1" x14ac:dyDescent="0.2">
      <c r="A969" s="46"/>
      <c r="B969" s="46"/>
      <c r="C969" s="46"/>
      <c r="D969" s="46"/>
      <c r="E969" s="46"/>
    </row>
    <row r="970" spans="1:5" ht="14.25" customHeight="1" x14ac:dyDescent="0.2">
      <c r="A970" s="46"/>
      <c r="B970" s="46"/>
      <c r="C970" s="46"/>
      <c r="D970" s="46"/>
      <c r="E970" s="46"/>
    </row>
    <row r="971" spans="1:5" ht="14.25" customHeight="1" x14ac:dyDescent="0.2">
      <c r="A971" s="46"/>
      <c r="B971" s="46"/>
      <c r="C971" s="46"/>
      <c r="D971" s="46"/>
      <c r="E971" s="46"/>
    </row>
    <row r="972" spans="1:5" ht="14.25" customHeight="1" x14ac:dyDescent="0.2">
      <c r="A972" s="46"/>
      <c r="B972" s="46"/>
      <c r="C972" s="46"/>
      <c r="D972" s="46"/>
      <c r="E972" s="46"/>
    </row>
    <row r="973" spans="1:5" ht="14.25" customHeight="1" x14ac:dyDescent="0.2">
      <c r="A973" s="46"/>
      <c r="B973" s="46"/>
      <c r="C973" s="46"/>
      <c r="D973" s="46"/>
      <c r="E973" s="46"/>
    </row>
    <row r="974" spans="1:5" ht="14.25" customHeight="1" x14ac:dyDescent="0.2">
      <c r="A974" s="46"/>
      <c r="B974" s="46"/>
      <c r="C974" s="46"/>
      <c r="D974" s="46"/>
      <c r="E974" s="46"/>
    </row>
    <row r="975" spans="1:5" ht="14.25" customHeight="1" x14ac:dyDescent="0.2">
      <c r="A975" s="46"/>
      <c r="B975" s="46"/>
      <c r="C975" s="46"/>
      <c r="D975" s="46"/>
      <c r="E975" s="46"/>
    </row>
    <row r="976" spans="1:5" ht="14.25" customHeight="1" x14ac:dyDescent="0.2">
      <c r="A976" s="46"/>
      <c r="B976" s="46"/>
      <c r="C976" s="46"/>
      <c r="D976" s="46"/>
      <c r="E976" s="46"/>
    </row>
    <row r="977" spans="1:5" ht="14.25" customHeight="1" x14ac:dyDescent="0.2">
      <c r="A977" s="46"/>
      <c r="B977" s="46"/>
      <c r="C977" s="46"/>
      <c r="D977" s="46"/>
      <c r="E977" s="46"/>
    </row>
    <row r="978" spans="1:5" ht="14.25" customHeight="1" x14ac:dyDescent="0.2">
      <c r="A978" s="46"/>
      <c r="B978" s="46"/>
      <c r="C978" s="46"/>
      <c r="D978" s="46"/>
      <c r="E978" s="46"/>
    </row>
    <row r="979" spans="1:5" ht="14.25" customHeight="1" x14ac:dyDescent="0.2">
      <c r="A979" s="46"/>
      <c r="B979" s="46"/>
      <c r="C979" s="46"/>
      <c r="D979" s="46"/>
      <c r="E979" s="46"/>
    </row>
    <row r="980" spans="1:5" ht="14.25" customHeight="1" x14ac:dyDescent="0.2">
      <c r="A980" s="46"/>
      <c r="B980" s="46"/>
      <c r="C980" s="46"/>
      <c r="D980" s="46"/>
      <c r="E980" s="46"/>
    </row>
    <row r="981" spans="1:5" ht="14.25" customHeight="1" x14ac:dyDescent="0.2">
      <c r="A981" s="46"/>
      <c r="B981" s="46"/>
      <c r="C981" s="46"/>
      <c r="D981" s="46"/>
      <c r="E981" s="46"/>
    </row>
    <row r="982" spans="1:5" ht="14.25" customHeight="1" x14ac:dyDescent="0.2">
      <c r="A982" s="46"/>
      <c r="B982" s="46"/>
      <c r="C982" s="46"/>
      <c r="D982" s="46"/>
      <c r="E982" s="46"/>
    </row>
    <row r="983" spans="1:5" ht="14.25" customHeight="1" x14ac:dyDescent="0.2">
      <c r="A983" s="46"/>
      <c r="B983" s="46"/>
      <c r="C983" s="46"/>
      <c r="D983" s="46"/>
      <c r="E983" s="46"/>
    </row>
    <row r="984" spans="1:5" ht="14.25" customHeight="1" x14ac:dyDescent="0.2">
      <c r="A984" s="46"/>
      <c r="B984" s="46"/>
      <c r="C984" s="46"/>
      <c r="D984" s="46"/>
      <c r="E984" s="46"/>
    </row>
    <row r="985" spans="1:5" ht="14.25" customHeight="1" x14ac:dyDescent="0.2">
      <c r="A985" s="46"/>
      <c r="B985" s="46"/>
      <c r="C985" s="46"/>
      <c r="D985" s="46"/>
      <c r="E985" s="46"/>
    </row>
    <row r="986" spans="1:5" ht="14.25" customHeight="1" x14ac:dyDescent="0.2">
      <c r="A986" s="46"/>
      <c r="B986" s="46"/>
      <c r="C986" s="46"/>
      <c r="D986" s="46"/>
      <c r="E986" s="46"/>
    </row>
    <row r="987" spans="1:5" ht="14.25" customHeight="1" x14ac:dyDescent="0.2">
      <c r="A987" s="46"/>
      <c r="B987" s="46"/>
      <c r="C987" s="46"/>
      <c r="D987" s="46"/>
      <c r="E987" s="46"/>
    </row>
    <row r="988" spans="1:5" ht="14.25" customHeight="1" x14ac:dyDescent="0.2">
      <c r="A988" s="46"/>
      <c r="B988" s="46"/>
      <c r="C988" s="46"/>
      <c r="D988" s="46"/>
      <c r="E988" s="46"/>
    </row>
    <row r="989" spans="1:5" ht="14.25" customHeight="1" x14ac:dyDescent="0.2">
      <c r="A989" s="46"/>
      <c r="B989" s="46"/>
      <c r="C989" s="46"/>
      <c r="D989" s="46"/>
      <c r="E989" s="46"/>
    </row>
    <row r="990" spans="1:5" ht="14.25" customHeight="1" x14ac:dyDescent="0.2">
      <c r="A990" s="46"/>
      <c r="B990" s="46"/>
      <c r="C990" s="46"/>
      <c r="D990" s="46"/>
      <c r="E990" s="46"/>
    </row>
    <row r="991" spans="1:5" ht="14.25" customHeight="1" x14ac:dyDescent="0.2">
      <c r="A991" s="46"/>
      <c r="B991" s="46"/>
      <c r="C991" s="46"/>
      <c r="D991" s="46"/>
      <c r="E991" s="46"/>
    </row>
    <row r="992" spans="1:5" ht="14.25" customHeight="1" x14ac:dyDescent="0.2">
      <c r="A992" s="46"/>
      <c r="B992" s="46"/>
      <c r="C992" s="46"/>
      <c r="D992" s="46"/>
      <c r="E992" s="46"/>
    </row>
    <row r="993" spans="1:5" ht="14.25" customHeight="1" x14ac:dyDescent="0.2">
      <c r="A993" s="46"/>
      <c r="B993" s="46"/>
      <c r="C993" s="46"/>
      <c r="D993" s="46"/>
      <c r="E993" s="46"/>
    </row>
    <row r="994" spans="1:5" ht="14.25" customHeight="1" x14ac:dyDescent="0.2">
      <c r="A994" s="46"/>
      <c r="B994" s="46"/>
      <c r="C994" s="46"/>
      <c r="D994" s="46"/>
      <c r="E994" s="46"/>
    </row>
    <row r="995" spans="1:5" ht="14.25" customHeight="1" x14ac:dyDescent="0.2">
      <c r="A995" s="46"/>
      <c r="B995" s="46"/>
      <c r="C995" s="46"/>
      <c r="D995" s="46"/>
      <c r="E995" s="46"/>
    </row>
    <row r="996" spans="1:5" ht="14.25" customHeight="1" x14ac:dyDescent="0.2">
      <c r="A996" s="46"/>
      <c r="B996" s="46"/>
      <c r="C996" s="46"/>
      <c r="D996" s="46"/>
      <c r="E996" s="46"/>
    </row>
    <row r="997" spans="1:5" ht="14.25" customHeight="1" x14ac:dyDescent="0.2">
      <c r="A997" s="46"/>
      <c r="B997" s="46"/>
      <c r="C997" s="46"/>
      <c r="D997" s="46"/>
      <c r="E997" s="46"/>
    </row>
    <row r="998" spans="1:5" ht="14.25" customHeight="1" x14ac:dyDescent="0.2">
      <c r="A998" s="46"/>
      <c r="B998" s="46"/>
      <c r="C998" s="46"/>
      <c r="D998" s="46"/>
      <c r="E998" s="46"/>
    </row>
    <row r="999" spans="1:5" ht="14.25" customHeight="1" x14ac:dyDescent="0.2">
      <c r="A999" s="46"/>
      <c r="B999" s="46"/>
      <c r="C999" s="46"/>
      <c r="D999" s="46"/>
      <c r="E999" s="46"/>
    </row>
    <row r="1000" spans="1:5" ht="14.25" customHeight="1" x14ac:dyDescent="0.2">
      <c r="A1000" s="46"/>
      <c r="B1000" s="46"/>
      <c r="C1000" s="46"/>
      <c r="D1000" s="46"/>
      <c r="E1000" s="46"/>
    </row>
    <row r="1001" spans="1:5" ht="14.25" customHeight="1" x14ac:dyDescent="0.2">
      <c r="A1001" s="46"/>
      <c r="B1001" s="46"/>
      <c r="C1001" s="46"/>
      <c r="D1001" s="46"/>
      <c r="E1001" s="46"/>
    </row>
    <row r="1002" spans="1:5" ht="14.25" customHeight="1" x14ac:dyDescent="0.2">
      <c r="A1002" s="46"/>
      <c r="B1002" s="46"/>
      <c r="C1002" s="46"/>
      <c r="D1002" s="46"/>
      <c r="E1002" s="46"/>
    </row>
    <row r="1003" spans="1:5" ht="14.25" customHeight="1" x14ac:dyDescent="0.2">
      <c r="A1003" s="46"/>
      <c r="B1003" s="46"/>
      <c r="C1003" s="46"/>
      <c r="D1003" s="46"/>
      <c r="E1003" s="46"/>
    </row>
    <row r="1004" spans="1:5" ht="14.25" customHeight="1" x14ac:dyDescent="0.2">
      <c r="A1004" s="46"/>
      <c r="B1004" s="46"/>
      <c r="C1004" s="46"/>
      <c r="D1004" s="46"/>
      <c r="E1004" s="46"/>
    </row>
    <row r="1005" spans="1:5" ht="14.25" customHeight="1" x14ac:dyDescent="0.2">
      <c r="A1005" s="46"/>
      <c r="B1005" s="46"/>
      <c r="C1005" s="46"/>
      <c r="D1005" s="46"/>
      <c r="E1005" s="46"/>
    </row>
    <row r="1006" spans="1:5" ht="14.25" customHeight="1" x14ac:dyDescent="0.2">
      <c r="A1006" s="46"/>
      <c r="B1006" s="46"/>
      <c r="C1006" s="46"/>
      <c r="D1006" s="46"/>
      <c r="E1006" s="46"/>
    </row>
    <row r="1007" spans="1:5" ht="14.25" customHeight="1" x14ac:dyDescent="0.2">
      <c r="A1007" s="46"/>
      <c r="B1007" s="46"/>
      <c r="C1007" s="46"/>
      <c r="D1007" s="46"/>
      <c r="E1007" s="46"/>
    </row>
    <row r="1008" spans="1:5" ht="14.25" customHeight="1" x14ac:dyDescent="0.2">
      <c r="A1008" s="46"/>
      <c r="B1008" s="46"/>
      <c r="C1008" s="46"/>
      <c r="D1008" s="46"/>
      <c r="E1008" s="46"/>
    </row>
    <row r="1009" spans="1:5" ht="14.25" customHeight="1" x14ac:dyDescent="0.2">
      <c r="A1009" s="46"/>
      <c r="B1009" s="46"/>
      <c r="C1009" s="46"/>
      <c r="D1009" s="46"/>
      <c r="E1009" s="46"/>
    </row>
  </sheetData>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030A0"/>
  </sheetPr>
  <dimension ref="A1:G1003"/>
  <sheetViews>
    <sheetView rightToLeft="1" workbookViewId="0">
      <selection activeCell="E4" sqref="E4:E39"/>
    </sheetView>
  </sheetViews>
  <sheetFormatPr defaultColWidth="12.625" defaultRowHeight="15" customHeight="1" x14ac:dyDescent="0.2"/>
  <cols>
    <col min="1" max="1" width="38.625" customWidth="1"/>
    <col min="2" max="6" width="15.625" customWidth="1"/>
    <col min="7" max="7" width="70.625" customWidth="1"/>
    <col min="8" max="28" width="8.625" customWidth="1"/>
  </cols>
  <sheetData>
    <row r="1" spans="1:7" ht="14.25" customHeight="1" x14ac:dyDescent="0.2">
      <c r="A1" s="86" t="s">
        <v>243</v>
      </c>
      <c r="B1" s="87"/>
      <c r="C1" s="87"/>
      <c r="D1" s="87"/>
      <c r="E1" s="87"/>
      <c r="F1" s="87"/>
      <c r="G1" s="88"/>
    </row>
    <row r="2" spans="1:7" ht="14.25" customHeight="1" x14ac:dyDescent="0.2">
      <c r="A2" s="4" t="s">
        <v>356</v>
      </c>
      <c r="B2" s="4"/>
      <c r="C2" s="4"/>
      <c r="D2" s="4"/>
      <c r="E2" s="4"/>
      <c r="F2" s="4"/>
      <c r="G2" s="4"/>
    </row>
    <row r="3" spans="1:7" ht="14.25" customHeight="1" x14ac:dyDescent="0.2">
      <c r="A3" s="4"/>
      <c r="B3" s="4"/>
      <c r="C3" s="4"/>
      <c r="D3" s="4"/>
      <c r="E3" s="4"/>
      <c r="F3" s="4"/>
      <c r="G3" s="4"/>
    </row>
    <row r="4" spans="1:7" ht="14.25" customHeight="1" x14ac:dyDescent="0.25">
      <c r="A4" s="59" t="s">
        <v>174</v>
      </c>
      <c r="B4" s="59" t="s">
        <v>175</v>
      </c>
      <c r="C4" s="59" t="s">
        <v>176</v>
      </c>
      <c r="D4" s="59" t="s">
        <v>244</v>
      </c>
      <c r="E4" s="59" t="s">
        <v>346</v>
      </c>
      <c r="F4" s="59" t="s">
        <v>177</v>
      </c>
      <c r="G4" s="59" t="s">
        <v>178</v>
      </c>
    </row>
    <row r="5" spans="1:7" ht="14.25" customHeight="1" x14ac:dyDescent="0.2">
      <c r="A5" s="4" t="s">
        <v>179</v>
      </c>
      <c r="B5" s="7">
        <f>'עובדים זרים - יוני'!B3</f>
        <v>707644.75</v>
      </c>
      <c r="C5" s="7">
        <f>'עובדים זרים - יולי'!B3</f>
        <v>971024.5</v>
      </c>
      <c r="D5" s="7">
        <f>'עובדים זרים - אוגוסט'!B3</f>
        <v>1047144.5</v>
      </c>
      <c r="E5" s="7">
        <f>'עובדים זרים - ספטמבר'!B3</f>
        <v>682461.5</v>
      </c>
      <c r="F5" s="7">
        <f>E5-D5</f>
        <v>-364683</v>
      </c>
      <c r="G5" s="30">
        <f>E5/D5-1</f>
        <v>-0.34826425579277742</v>
      </c>
    </row>
    <row r="6" spans="1:7" ht="14.25" customHeight="1" x14ac:dyDescent="0.2">
      <c r="A6" s="4" t="s">
        <v>181</v>
      </c>
      <c r="B6" s="7">
        <f>'עובדים זרים - יוני'!B4</f>
        <v>590480</v>
      </c>
      <c r="C6" s="7">
        <f>'עובדים זרים - יולי'!B4</f>
        <v>795551.25</v>
      </c>
      <c r="D6" s="7">
        <f>'עובדים זרים - אוגוסט'!B4</f>
        <v>881166</v>
      </c>
      <c r="E6" s="7">
        <f>'עובדים זרים - ספטמבר'!B4</f>
        <v>569835.5</v>
      </c>
      <c r="F6" s="7">
        <f>E6-D6</f>
        <v>-311330.5</v>
      </c>
      <c r="G6" s="31">
        <f>E6/D6-1</f>
        <v>-0.35331651470891978</v>
      </c>
    </row>
    <row r="7" spans="1:7" ht="14.25" customHeight="1" x14ac:dyDescent="0.2">
      <c r="A7" s="4" t="s">
        <v>183</v>
      </c>
      <c r="B7" s="7">
        <f>SUM('עובדים זרים - יוני'!G9:G53)</f>
        <v>17700</v>
      </c>
      <c r="C7" s="7">
        <f>'עובדים זרים - יולי'!G75</f>
        <v>38940</v>
      </c>
      <c r="D7" s="7">
        <f>'עובדים זרים - אוגוסט'!G68</f>
        <v>30680</v>
      </c>
      <c r="E7" s="7">
        <f>'עובדים זרים - ספטמבר'!G59</f>
        <v>23600</v>
      </c>
      <c r="F7" s="7">
        <f>E7-D7</f>
        <v>-7080</v>
      </c>
      <c r="G7" s="30">
        <f>E7/D7-1</f>
        <v>-0.23076923076923073</v>
      </c>
    </row>
    <row r="8" spans="1:7" ht="14.25" customHeight="1" x14ac:dyDescent="0.25">
      <c r="A8" s="60" t="s">
        <v>185</v>
      </c>
      <c r="B8" s="64">
        <f>'עובדים זרים - יוני'!B5</f>
        <v>117164.75</v>
      </c>
      <c r="C8" s="64">
        <f>'עובדים זרים - יולי'!B5</f>
        <v>175473.25</v>
      </c>
      <c r="D8" s="64">
        <f>'עובדים זרים - אוגוסט'!B5</f>
        <v>165978.5</v>
      </c>
      <c r="E8" s="64">
        <f>'עובדים זרים - ספטמבר'!B5</f>
        <v>112626</v>
      </c>
      <c r="F8" s="64">
        <f>E8-D8</f>
        <v>-53352.5</v>
      </c>
      <c r="G8" s="61">
        <f>E8/D8-1</f>
        <v>-0.32144223498826652</v>
      </c>
    </row>
    <row r="9" spans="1:7" ht="14.25" customHeight="1" x14ac:dyDescent="0.25">
      <c r="A9" s="60" t="s">
        <v>186</v>
      </c>
      <c r="B9" s="61">
        <f t="shared" ref="B9:C9" si="0">B8/B5</f>
        <v>0.16557001235436283</v>
      </c>
      <c r="C9" s="61">
        <f t="shared" si="0"/>
        <v>0.18070939507705522</v>
      </c>
      <c r="D9" s="61">
        <f>D8/D5</f>
        <v>0.15850582226235252</v>
      </c>
      <c r="E9" s="61">
        <f>E8/E5</f>
        <v>0.16502908955303705</v>
      </c>
      <c r="F9" s="61">
        <f>E9-D9</f>
        <v>6.5232672906845313E-3</v>
      </c>
      <c r="G9" s="60"/>
    </row>
    <row r="10" spans="1:7" ht="14.25" customHeight="1" x14ac:dyDescent="0.2">
      <c r="A10" s="4"/>
      <c r="B10" s="4"/>
      <c r="C10" s="4"/>
      <c r="D10" s="4"/>
      <c r="E10" s="4"/>
      <c r="F10" s="4"/>
      <c r="G10" s="4"/>
    </row>
    <row r="11" spans="1:7" ht="14.25" customHeight="1" x14ac:dyDescent="0.25">
      <c r="A11" s="59" t="s">
        <v>188</v>
      </c>
      <c r="B11" s="59" t="s">
        <v>175</v>
      </c>
      <c r="C11" s="59" t="s">
        <v>176</v>
      </c>
      <c r="D11" s="59" t="s">
        <v>244</v>
      </c>
      <c r="E11" s="59" t="s">
        <v>346</v>
      </c>
      <c r="F11" s="59" t="s">
        <v>177</v>
      </c>
      <c r="G11" s="59" t="s">
        <v>189</v>
      </c>
    </row>
    <row r="12" spans="1:7" ht="42.75" x14ac:dyDescent="0.2">
      <c r="A12" s="4" t="s">
        <v>138</v>
      </c>
      <c r="B12" s="7">
        <v>95068</v>
      </c>
      <c r="C12" s="7">
        <v>239146</v>
      </c>
      <c r="D12" s="7">
        <v>243091</v>
      </c>
      <c r="E12" s="7">
        <f>SUMIF('עובדים זרים - ספטמבר'!$A$9:$A$58,"שלום ברגשטיין",'עובדים זרים - ספטמבר'!$H$9:$H$58)</f>
        <v>132545</v>
      </c>
      <c r="F12" s="7">
        <f t="shared" ref="F12:F27" si="1">E12-D12</f>
        <v>-110546</v>
      </c>
      <c r="G12" s="56" t="s">
        <v>366</v>
      </c>
    </row>
    <row r="13" spans="1:7" ht="42.75" x14ac:dyDescent="0.2">
      <c r="A13" s="4" t="s">
        <v>134</v>
      </c>
      <c r="B13" s="7">
        <v>154955</v>
      </c>
      <c r="C13" s="7">
        <v>155360</v>
      </c>
      <c r="D13" s="7">
        <v>109700</v>
      </c>
      <c r="E13" s="7">
        <f>SUMIF('עובדים זרים - ספטמבר'!$A$9:$A$58,"רמא",'עובדים זרים - ספטמבר'!$H$9:$H$58)</f>
        <v>94950</v>
      </c>
      <c r="F13" s="7">
        <f t="shared" si="1"/>
        <v>-14750</v>
      </c>
      <c r="G13" s="56" t="s">
        <v>365</v>
      </c>
    </row>
    <row r="14" spans="1:7" ht="42.75" x14ac:dyDescent="0.2">
      <c r="A14" s="4" t="s">
        <v>149</v>
      </c>
      <c r="B14" s="7">
        <v>35657.5</v>
      </c>
      <c r="C14" s="7">
        <v>87238</v>
      </c>
      <c r="D14" s="7">
        <v>83245.5</v>
      </c>
      <c r="E14" s="7">
        <f>SUMIF('עובדים זרים - ספטמבר'!$A$9:$A$58,"ש.ח.נ כרמלי",'עובדים זרים - ספטמבר'!$H$9:$H$58)</f>
        <v>65490</v>
      </c>
      <c r="F14" s="7">
        <f t="shared" si="1"/>
        <v>-17755.5</v>
      </c>
      <c r="G14" s="56" t="s">
        <v>364</v>
      </c>
    </row>
    <row r="15" spans="1:7" ht="42.75" x14ac:dyDescent="0.2">
      <c r="A15" s="4" t="s">
        <v>84</v>
      </c>
      <c r="B15" s="7">
        <v>83850</v>
      </c>
      <c r="C15" s="7">
        <v>135000</v>
      </c>
      <c r="D15" s="7">
        <v>244762.5</v>
      </c>
      <c r="E15" s="7">
        <f>SUMIF('עובדים זרים - ספטמבר'!$A$9:$A$58,"גרייטדור",'עובדים זרים - ספטמבר'!$H$9:$H$58)</f>
        <v>135600</v>
      </c>
      <c r="F15" s="7">
        <f t="shared" si="1"/>
        <v>-109162.5</v>
      </c>
      <c r="G15" s="56" t="s">
        <v>363</v>
      </c>
    </row>
    <row r="16" spans="1:7" ht="28.5" x14ac:dyDescent="0.2">
      <c r="A16" s="4" t="s">
        <v>191</v>
      </c>
      <c r="B16" s="7">
        <v>107030</v>
      </c>
      <c r="C16" s="7">
        <v>94017</v>
      </c>
      <c r="D16" s="7">
        <v>77539</v>
      </c>
      <c r="E16" s="7">
        <f>SUMIF('עובדים זרים - ספטמבר'!$A$9:$A$58,"אחמד מצודת השלום",'עובדים זרים - ספטמבר'!$H$9:$H$58)</f>
        <v>47316.5</v>
      </c>
      <c r="F16" s="7">
        <f t="shared" si="1"/>
        <v>-30222.5</v>
      </c>
      <c r="G16" s="56" t="s">
        <v>362</v>
      </c>
    </row>
    <row r="17" spans="1:7" ht="28.5" x14ac:dyDescent="0.2">
      <c r="A17" s="4" t="s">
        <v>192</v>
      </c>
      <c r="B17" s="7">
        <v>88435</v>
      </c>
      <c r="C17" s="7">
        <v>88602.5</v>
      </c>
      <c r="D17" s="7">
        <v>94052.5</v>
      </c>
      <c r="E17" s="7">
        <f>SUMIF('עובדים זרים - ספטמבר'!$A$9:$A$58,"אופיר קבלן",'עובדים זרים - ספטמבר'!$H$9:$H$58)</f>
        <v>56417.5</v>
      </c>
      <c r="F17" s="7">
        <f t="shared" si="1"/>
        <v>-37635</v>
      </c>
      <c r="G17" s="56" t="s">
        <v>361</v>
      </c>
    </row>
    <row r="18" spans="1:7" ht="28.5" x14ac:dyDescent="0.2">
      <c r="A18" s="4" t="s">
        <v>193</v>
      </c>
      <c r="B18" s="7">
        <v>44298</v>
      </c>
      <c r="C18" s="7">
        <v>42872</v>
      </c>
      <c r="D18" s="7">
        <v>36248</v>
      </c>
      <c r="E18" s="7">
        <f>SUMIF('עובדים זרים - ספטמבר'!$A$9:$A$58,"אלי אביאלי",'עובדים זרים - ספטמבר'!$H$9:$H$58)</f>
        <v>13340</v>
      </c>
      <c r="F18" s="7">
        <f t="shared" si="1"/>
        <v>-22908</v>
      </c>
      <c r="G18" s="56" t="s">
        <v>360</v>
      </c>
    </row>
    <row r="19" spans="1:7" x14ac:dyDescent="0.2">
      <c r="A19" s="4" t="s">
        <v>194</v>
      </c>
      <c r="B19" s="7">
        <v>36575</v>
      </c>
      <c r="C19" s="7">
        <v>34419</v>
      </c>
      <c r="D19" s="7">
        <v>34804</v>
      </c>
      <c r="E19" s="7">
        <f>SUMIF('עובדים זרים - ספטמבר'!$A$9:$A$58,"רוטנברג",'עובדים זרים - ספטמבר'!$H$9:$H$58)</f>
        <v>29337</v>
      </c>
      <c r="F19" s="7">
        <f t="shared" si="1"/>
        <v>-5467</v>
      </c>
      <c r="G19" s="56" t="s">
        <v>359</v>
      </c>
    </row>
    <row r="20" spans="1:7" ht="28.5" x14ac:dyDescent="0.2">
      <c r="A20" s="4" t="s">
        <v>196</v>
      </c>
      <c r="B20" s="7">
        <v>30206.25</v>
      </c>
      <c r="C20" s="7">
        <v>30750</v>
      </c>
      <c r="D20" s="7">
        <v>19635</v>
      </c>
      <c r="E20" s="7">
        <f>SUMIF('עובדים זרים - ספטמבר'!$A$9:$A$58,"אסף תאגיד השידור",'עובדים זרים - ספטמבר'!$H$9:$H$58)</f>
        <v>6545</v>
      </c>
      <c r="F20" s="7">
        <f t="shared" si="1"/>
        <v>-13090</v>
      </c>
      <c r="G20" s="56" t="s">
        <v>358</v>
      </c>
    </row>
    <row r="21" spans="1:7" x14ac:dyDescent="0.2">
      <c r="A21" s="4" t="s">
        <v>197</v>
      </c>
      <c r="B21" s="7">
        <v>8550</v>
      </c>
      <c r="C21" s="7">
        <v>18050</v>
      </c>
      <c r="D21" s="7">
        <v>0</v>
      </c>
      <c r="E21" s="7">
        <f>SUMIF('עובדים זרים - ספטמבר'!$A$9:$A$58,"דוד בן חמו קבלן",'עובדים זרים - ספטמבר'!$H$9:$H$58)</f>
        <v>0</v>
      </c>
      <c r="F21" s="7">
        <f t="shared" si="1"/>
        <v>0</v>
      </c>
      <c r="G21" s="56" t="s">
        <v>357</v>
      </c>
    </row>
    <row r="22" spans="1:7" x14ac:dyDescent="0.2">
      <c r="A22" s="4" t="s">
        <v>96</v>
      </c>
      <c r="B22" s="7">
        <v>16940</v>
      </c>
      <c r="C22" s="7">
        <v>16170</v>
      </c>
      <c r="D22" s="7">
        <v>0</v>
      </c>
      <c r="E22" s="7">
        <f>SUMIF('עובדים זרים - ספטמבר'!$A$9:$A$58,"גרשון",'עובדים זרים - ספטמבר'!$H$9:$H$58)</f>
        <v>0</v>
      </c>
      <c r="F22" s="7">
        <f t="shared" si="1"/>
        <v>0</v>
      </c>
      <c r="G22" s="56" t="s">
        <v>357</v>
      </c>
    </row>
    <row r="23" spans="1:7" x14ac:dyDescent="0.2">
      <c r="A23" s="4" t="s">
        <v>107</v>
      </c>
      <c r="B23" s="7">
        <v>6080</v>
      </c>
      <c r="C23" s="7">
        <v>13920</v>
      </c>
      <c r="D23" s="7">
        <v>0</v>
      </c>
      <c r="E23" s="7">
        <f>SUMIF('עובדים זרים - ספטמבר'!$A$9:$A$58,"נריה קידוח הצפון",'עובדים זרים - ספטמבר'!$H$9:$H$58)</f>
        <v>0</v>
      </c>
      <c r="F23" s="7">
        <f t="shared" si="1"/>
        <v>0</v>
      </c>
      <c r="G23" s="56" t="s">
        <v>357</v>
      </c>
    </row>
    <row r="24" spans="1:7" ht="57" x14ac:dyDescent="0.2">
      <c r="A24" s="4" t="s">
        <v>86</v>
      </c>
      <c r="B24" s="7">
        <v>0</v>
      </c>
      <c r="C24" s="7">
        <v>8550</v>
      </c>
      <c r="D24" s="7">
        <v>56057.5</v>
      </c>
      <c r="E24" s="7">
        <f>SUMIF('עובדים זרים - ספטמבר'!$A$9:$A$58,"אליעזר הקר אלומיניום",'עובדים זרים - ספטמבר'!$H$9:$H$58)</f>
        <v>70775</v>
      </c>
      <c r="F24" s="7">
        <f t="shared" si="1"/>
        <v>14717.5</v>
      </c>
      <c r="G24" s="56" t="s">
        <v>370</v>
      </c>
    </row>
    <row r="25" spans="1:7" ht="28.5" x14ac:dyDescent="0.2">
      <c r="A25" s="4" t="s">
        <v>157</v>
      </c>
      <c r="B25" s="7">
        <v>0</v>
      </c>
      <c r="C25" s="7">
        <v>6930</v>
      </c>
      <c r="D25" s="7">
        <v>16093</v>
      </c>
      <c r="E25" s="7">
        <f>SUMIF('עובדים זרים - ספטמבר'!$A$9:$A$58,"שי רם חברה לבנייה",'עובדים זרים - ספטמבר'!$H$9:$H$58)</f>
        <v>13898.5</v>
      </c>
      <c r="F25" s="7">
        <f t="shared" si="1"/>
        <v>-2194.5</v>
      </c>
      <c r="G25" s="56" t="s">
        <v>369</v>
      </c>
    </row>
    <row r="26" spans="1:7" ht="28.5" x14ac:dyDescent="0.2">
      <c r="A26" s="4" t="s">
        <v>233</v>
      </c>
      <c r="B26" s="7">
        <v>0</v>
      </c>
      <c r="C26" s="7">
        <v>0</v>
      </c>
      <c r="D26" s="7">
        <v>21175</v>
      </c>
      <c r="E26" s="7">
        <f>SUMIF('עובדים זרים - ספטמבר'!$A$9:$A$58,"ארי שבט בנימין",'עובדים זרים - ספטמבר'!$H$9:$H$58)</f>
        <v>16247</v>
      </c>
      <c r="F26" s="7">
        <f t="shared" si="1"/>
        <v>-4928</v>
      </c>
      <c r="G26" s="56" t="s">
        <v>368</v>
      </c>
    </row>
    <row r="27" spans="1:7" x14ac:dyDescent="0.2">
      <c r="A27" s="4" t="s">
        <v>230</v>
      </c>
      <c r="B27" s="7">
        <v>0</v>
      </c>
      <c r="C27" s="7">
        <v>0</v>
      </c>
      <c r="D27" s="7">
        <v>10741.5</v>
      </c>
      <c r="E27" s="7">
        <f>SUMIF('עובדים זרים - ספטמבר'!$A$9:$A$58,"מאי מערכות חשמל",'עובדים זרים - ספטמבר'!$H$9:$H$58)</f>
        <v>0</v>
      </c>
      <c r="F27" s="7">
        <f t="shared" si="1"/>
        <v>-10741.5</v>
      </c>
      <c r="G27" s="56" t="s">
        <v>367</v>
      </c>
    </row>
    <row r="28" spans="1:7" ht="14.25" customHeight="1" x14ac:dyDescent="0.25">
      <c r="A28" s="62" t="s">
        <v>59</v>
      </c>
      <c r="B28" s="63">
        <f>SUM(B12:B27)</f>
        <v>707644.75</v>
      </c>
      <c r="C28" s="63">
        <f>SUM(C12:C27)</f>
        <v>971024.5</v>
      </c>
      <c r="D28" s="63">
        <f>SUM(D12:D27)</f>
        <v>1047144.5</v>
      </c>
      <c r="E28" s="63">
        <f>SUM(E12:E27)</f>
        <v>682461.5</v>
      </c>
      <c r="F28" s="63">
        <f>SUM(F12:F27)</f>
        <v>-364683</v>
      </c>
      <c r="G28" s="62"/>
    </row>
    <row r="29" spans="1:7" ht="14.25" customHeight="1" x14ac:dyDescent="0.2">
      <c r="A29" s="4"/>
      <c r="B29" s="4"/>
      <c r="C29" s="4"/>
      <c r="D29" s="4"/>
      <c r="E29" s="4"/>
      <c r="F29" s="4"/>
      <c r="G29" s="4"/>
    </row>
    <row r="30" spans="1:7" ht="14.25" customHeight="1" x14ac:dyDescent="0.25">
      <c r="A30" s="59" t="s">
        <v>199</v>
      </c>
      <c r="B30" s="59" t="s">
        <v>175</v>
      </c>
      <c r="C30" s="59" t="s">
        <v>176</v>
      </c>
      <c r="D30" s="59" t="s">
        <v>244</v>
      </c>
      <c r="E30" s="59" t="s">
        <v>346</v>
      </c>
      <c r="F30" s="59" t="s">
        <v>177</v>
      </c>
      <c r="G30" s="59" t="s">
        <v>178</v>
      </c>
    </row>
    <row r="31" spans="1:7" ht="14.25" customHeight="1" x14ac:dyDescent="0.2">
      <c r="A31" s="4" t="s">
        <v>200</v>
      </c>
      <c r="B31" s="7">
        <f>'דירות - יוני'!E14</f>
        <v>98165</v>
      </c>
      <c r="C31" s="7">
        <f>'דירות - שירותי קרקע'!E15</f>
        <v>116489.99</v>
      </c>
      <c r="D31" s="7">
        <f>'דירות - אוגוסט'!E15</f>
        <v>112497.79000000001</v>
      </c>
      <c r="E31" s="7">
        <f>'דירות - ספטמבר'!E15</f>
        <v>101149.99</v>
      </c>
      <c r="F31" s="7">
        <f>E31-D31</f>
        <v>-11347.800000000003</v>
      </c>
      <c r="G31" s="30">
        <f>E31/D31-1</f>
        <v>-0.10087131489427481</v>
      </c>
    </row>
    <row r="32" spans="1:7" ht="14.25" customHeight="1" x14ac:dyDescent="0.2">
      <c r="A32" s="4" t="s">
        <v>202</v>
      </c>
      <c r="B32" s="7">
        <f>'דירות - יוני'!I14</f>
        <v>65800</v>
      </c>
      <c r="C32" s="7">
        <f>'דירות - שירותי קרקע'!I15</f>
        <v>76120</v>
      </c>
      <c r="D32" s="7">
        <f>'דירות - אוגוסט'!I15</f>
        <v>74920</v>
      </c>
      <c r="E32" s="7">
        <f>'דירות - ספטמבר'!I15</f>
        <v>74320</v>
      </c>
      <c r="F32" s="7">
        <f>E32-D32</f>
        <v>-600</v>
      </c>
      <c r="G32" s="30">
        <f>E32/D32-1</f>
        <v>-8.0085424452749354E-3</v>
      </c>
    </row>
    <row r="33" spans="1:7" ht="14.25" customHeight="1" x14ac:dyDescent="0.25">
      <c r="A33" s="60" t="s">
        <v>203</v>
      </c>
      <c r="B33" s="64">
        <f t="shared" ref="B33:C33" si="2">B31-B32</f>
        <v>32365</v>
      </c>
      <c r="C33" s="64">
        <f t="shared" si="2"/>
        <v>40369.990000000005</v>
      </c>
      <c r="D33" s="64">
        <f>D31-D32</f>
        <v>37577.790000000008</v>
      </c>
      <c r="E33" s="64">
        <f>E31-E32</f>
        <v>26829.990000000005</v>
      </c>
      <c r="F33" s="64">
        <f>E33-D33</f>
        <v>-10747.800000000003</v>
      </c>
      <c r="G33" s="61">
        <f>E33/D33-1</f>
        <v>-0.28601469112473088</v>
      </c>
    </row>
    <row r="34" spans="1:7" ht="14.25" customHeight="1" x14ac:dyDescent="0.2">
      <c r="A34" s="4"/>
      <c r="B34" s="4"/>
      <c r="C34" s="4"/>
      <c r="D34" s="4"/>
      <c r="E34" s="4"/>
      <c r="F34" s="4"/>
      <c r="G34" s="4"/>
    </row>
    <row r="35" spans="1:7" ht="14.25" customHeight="1" x14ac:dyDescent="0.25">
      <c r="A35" s="59" t="s">
        <v>204</v>
      </c>
      <c r="B35" s="59" t="s">
        <v>175</v>
      </c>
      <c r="C35" s="59" t="s">
        <v>176</v>
      </c>
      <c r="D35" s="59" t="s">
        <v>244</v>
      </c>
      <c r="E35" s="59" t="s">
        <v>346</v>
      </c>
      <c r="F35" s="59" t="s">
        <v>177</v>
      </c>
      <c r="G35" s="59" t="s">
        <v>178</v>
      </c>
    </row>
    <row r="36" spans="1:7" ht="14.25" customHeight="1" x14ac:dyDescent="0.2">
      <c r="A36" s="4" t="s">
        <v>122</v>
      </c>
      <c r="B36" s="7">
        <f t="shared" ref="B36:C36" si="3">B8+B33</f>
        <v>149529.75</v>
      </c>
      <c r="C36" s="7">
        <f t="shared" si="3"/>
        <v>215843.24</v>
      </c>
      <c r="D36" s="7">
        <f>D8+D33</f>
        <v>203556.29</v>
      </c>
      <c r="E36" s="7">
        <f>E8+E33</f>
        <v>139455.99</v>
      </c>
      <c r="F36" s="7">
        <f>E36-D36</f>
        <v>-64100.300000000017</v>
      </c>
      <c r="G36" s="30">
        <f>E36/D36-1</f>
        <v>-0.31490208433254518</v>
      </c>
    </row>
    <row r="37" spans="1:7" ht="14.25" customHeight="1" x14ac:dyDescent="0.2">
      <c r="A37" s="4" t="s">
        <v>271</v>
      </c>
      <c r="B37" s="7">
        <f>'סיכום מאוחד'!B93+'סיכום מאוחד'!B94</f>
        <v>9626</v>
      </c>
      <c r="C37" s="7">
        <f>'סיכום מאוחד'!C93+'סיכום מאוחד'!C94</f>
        <v>8326</v>
      </c>
      <c r="D37" s="7">
        <f>'סיכום מאוחד'!D93+'סיכום מאוחד'!D94+'עובדים זרים - אוגוסט'!M68</f>
        <v>15070</v>
      </c>
      <c r="E37" s="7">
        <f>'סיכום מאוחד'!E93+'סיכום מאוחד'!E94+'סיכום מאוחד'!E96+'עובדים זרים - ספטמבר'!M59</f>
        <v>17114</v>
      </c>
      <c r="F37" s="7">
        <f>E37-D37</f>
        <v>2044</v>
      </c>
      <c r="G37" s="30">
        <f>E37/D37-1</f>
        <v>0.13563370935633712</v>
      </c>
    </row>
    <row r="38" spans="1:7" ht="14.25" customHeight="1" x14ac:dyDescent="0.2">
      <c r="A38" s="4" t="s">
        <v>205</v>
      </c>
      <c r="B38" s="7">
        <v>79567.48</v>
      </c>
      <c r="C38" s="7">
        <f>'הוצאות תפעוליות'!D15</f>
        <v>68946.565000000002</v>
      </c>
      <c r="D38" s="7">
        <f>'הוצאות תפעוליות'!D44</f>
        <v>34801.86</v>
      </c>
      <c r="E38" s="7">
        <f>'הוצאות תפעוליות'!D63</f>
        <v>3127</v>
      </c>
      <c r="F38" s="7">
        <f>E38-D38</f>
        <v>-31674.86</v>
      </c>
      <c r="G38" s="30">
        <f>E38/D38-1</f>
        <v>-0.91014848056971664</v>
      </c>
    </row>
    <row r="39" spans="1:7" ht="14.25" customHeight="1" x14ac:dyDescent="0.25">
      <c r="A39" s="60" t="s">
        <v>206</v>
      </c>
      <c r="B39" s="64">
        <f>B36-B37-B38</f>
        <v>60336.270000000004</v>
      </c>
      <c r="C39" s="64">
        <f>C36-C37-C38</f>
        <v>138570.67499999999</v>
      </c>
      <c r="D39" s="64">
        <f>D36-D37-D38</f>
        <v>153684.43</v>
      </c>
      <c r="E39" s="64">
        <f>E36-E37-E38</f>
        <v>119214.98999999999</v>
      </c>
      <c r="F39" s="64">
        <f>E39-D39</f>
        <v>-34469.440000000002</v>
      </c>
      <c r="G39" s="61">
        <f>E39/D39-1</f>
        <v>-0.22428713175433579</v>
      </c>
    </row>
    <row r="40" spans="1:7" ht="14.25" customHeight="1" x14ac:dyDescent="0.2">
      <c r="A40" s="4"/>
      <c r="B40" s="4"/>
      <c r="C40" s="4"/>
      <c r="D40" s="4"/>
      <c r="E40" s="4"/>
      <c r="F40" s="4"/>
      <c r="G40" s="4"/>
    </row>
    <row r="41" spans="1:7" ht="14.25" customHeight="1" x14ac:dyDescent="0.25">
      <c r="A41" s="38" t="s">
        <v>14</v>
      </c>
      <c r="B41" s="4"/>
      <c r="C41" s="4"/>
      <c r="D41" s="4"/>
      <c r="E41" s="4"/>
      <c r="F41" s="4"/>
      <c r="G41" s="4"/>
    </row>
    <row r="42" spans="1:7" ht="14.25" customHeight="1" x14ac:dyDescent="0.2">
      <c r="A42" s="57" t="s">
        <v>371</v>
      </c>
      <c r="B42" s="4"/>
      <c r="C42" s="4"/>
      <c r="D42" s="4"/>
      <c r="E42" s="4"/>
      <c r="F42" s="4"/>
      <c r="G42" s="4"/>
    </row>
    <row r="43" spans="1:7" ht="14.25" customHeight="1" x14ac:dyDescent="0.2">
      <c r="A43" s="58" t="s">
        <v>372</v>
      </c>
      <c r="B43" s="4"/>
      <c r="C43" s="4"/>
      <c r="D43" s="4"/>
      <c r="E43" s="4"/>
      <c r="F43" s="4"/>
      <c r="G43" s="4"/>
    </row>
    <row r="44" spans="1:7" ht="14.25" customHeight="1" x14ac:dyDescent="0.2">
      <c r="A44" s="57" t="s">
        <v>373</v>
      </c>
      <c r="B44" s="4"/>
      <c r="C44" s="4"/>
      <c r="D44" s="4"/>
      <c r="E44" s="4"/>
      <c r="F44" s="4"/>
      <c r="G44" s="4"/>
    </row>
    <row r="45" spans="1:7" ht="14.25" customHeight="1" x14ac:dyDescent="0.2">
      <c r="A45" s="57" t="s">
        <v>374</v>
      </c>
      <c r="B45" s="4"/>
      <c r="C45" s="4"/>
      <c r="D45" s="4"/>
      <c r="E45" s="4"/>
      <c r="F45" s="4"/>
      <c r="G45" s="4"/>
    </row>
    <row r="46" spans="1:7" ht="14.25" customHeight="1" x14ac:dyDescent="0.2">
      <c r="A46" s="35" t="s">
        <v>375</v>
      </c>
      <c r="B46" s="4"/>
      <c r="C46" s="4"/>
      <c r="D46" s="4"/>
      <c r="E46" s="4"/>
      <c r="F46" s="4"/>
      <c r="G46" s="4"/>
    </row>
    <row r="47" spans="1:7" ht="14.25" customHeight="1" x14ac:dyDescent="0.2">
      <c r="A47" s="35"/>
      <c r="B47" s="4"/>
      <c r="C47" s="4"/>
      <c r="D47" s="4"/>
      <c r="E47" s="4"/>
      <c r="F47" s="4"/>
      <c r="G47" s="4"/>
    </row>
    <row r="48" spans="1:7" ht="14.25" customHeight="1" x14ac:dyDescent="0.2">
      <c r="A48" s="35"/>
      <c r="B48" s="4"/>
      <c r="C48" s="4"/>
      <c r="D48" s="4"/>
      <c r="E48" s="4"/>
      <c r="F48" s="4"/>
      <c r="G48" s="4"/>
    </row>
    <row r="49" spans="1:1" ht="14.25" customHeight="1" x14ac:dyDescent="0.2">
      <c r="A49" s="36"/>
    </row>
    <row r="50" spans="1:1" ht="14.25" customHeight="1" x14ac:dyDescent="0.2"/>
    <row r="51" spans="1:1" ht="14.25" customHeight="1" x14ac:dyDescent="0.2"/>
    <row r="52" spans="1:1" ht="14.25" customHeight="1" x14ac:dyDescent="0.2"/>
    <row r="53" spans="1:1" ht="14.25" customHeight="1" x14ac:dyDescent="0.2"/>
    <row r="54" spans="1:1" ht="14.25" customHeight="1" x14ac:dyDescent="0.2"/>
    <row r="55" spans="1:1" ht="14.25" customHeight="1" x14ac:dyDescent="0.2"/>
    <row r="56" spans="1:1" ht="14.25" customHeight="1" x14ac:dyDescent="0.2"/>
    <row r="57" spans="1:1" ht="14.25" customHeight="1" x14ac:dyDescent="0.2"/>
    <row r="58" spans="1:1" ht="14.25" customHeight="1" x14ac:dyDescent="0.2"/>
    <row r="59" spans="1:1" ht="14.25" customHeight="1" x14ac:dyDescent="0.2"/>
    <row r="60" spans="1:1" ht="14.25" customHeight="1" x14ac:dyDescent="0.2"/>
    <row r="61" spans="1:1" ht="14.25" customHeight="1" x14ac:dyDescent="0.2"/>
    <row r="62" spans="1:1" ht="14.25" customHeight="1" x14ac:dyDescent="0.2"/>
    <row r="63" spans="1:1" ht="14.25" customHeight="1" x14ac:dyDescent="0.2"/>
    <row r="64" spans="1:1"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sheetData>
  <mergeCells count="1">
    <mergeCell ref="A1:G1"/>
  </mergeCells>
  <conditionalFormatting sqref="F12:F27">
    <cfRule type="cellIs" dxfId="11" priority="11" stopIfTrue="1" operator="greaterThan">
      <formula>0</formula>
    </cfRule>
    <cfRule type="cellIs" dxfId="10" priority="12" stopIfTrue="1" operator="lessThan">
      <formula>0</formula>
    </cfRule>
  </conditionalFormatting>
  <conditionalFormatting sqref="F28">
    <cfRule type="cellIs" dxfId="9" priority="1" stopIfTrue="1" operator="greaterThan">
      <formula>0</formula>
    </cfRule>
    <cfRule type="cellIs" dxfId="8" priority="2" stopIfTrue="1" operator="lessThan">
      <formula>0</formula>
    </cfRule>
  </conditionalFormatting>
  <conditionalFormatting sqref="F5:G8">
    <cfRule type="cellIs" dxfId="7" priority="9" stopIfTrue="1" operator="greaterThan">
      <formula>0</formula>
    </cfRule>
    <cfRule type="cellIs" dxfId="6" priority="10" stopIfTrue="1" operator="lessThan">
      <formula>0</formula>
    </cfRule>
  </conditionalFormatting>
  <conditionalFormatting sqref="F9:G9">
    <cfRule type="cellIs" dxfId="5" priority="3" stopIfTrue="1" operator="greaterThan">
      <formula>0</formula>
    </cfRule>
    <cfRule type="cellIs" dxfId="4" priority="4" stopIfTrue="1" operator="lessThan">
      <formula>0</formula>
    </cfRule>
  </conditionalFormatting>
  <conditionalFormatting sqref="F31:G33">
    <cfRule type="cellIs" dxfId="3" priority="13" stopIfTrue="1" operator="greaterThan">
      <formula>0</formula>
    </cfRule>
    <cfRule type="cellIs" dxfId="2" priority="14" stopIfTrue="1" operator="lessThan">
      <formula>0</formula>
    </cfRule>
  </conditionalFormatting>
  <conditionalFormatting sqref="F36:G39">
    <cfRule type="cellIs" dxfId="1" priority="15" stopIfTrue="1" operator="greaterThan">
      <formula>0</formula>
    </cfRule>
    <cfRule type="cellIs" dxfId="0" priority="16" stopIfTrue="1" operator="lessThan">
      <formula>0</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13</vt:i4>
      </vt:variant>
    </vt:vector>
  </HeadingPairs>
  <TitlesOfParts>
    <vt:vector size="13" baseType="lpstr">
      <vt:lpstr>דשבורד</vt:lpstr>
      <vt:lpstr>עובדים זרים - ספטמבר</vt:lpstr>
      <vt:lpstr>עובדים זרים - אוגוסט</vt:lpstr>
      <vt:lpstr>עובדים זרים - יולי</vt:lpstr>
      <vt:lpstr>עובדים זרים - יוני</vt:lpstr>
      <vt:lpstr>דירות - ספטמבר</vt:lpstr>
      <vt:lpstr>דירות - אוגוסט</vt:lpstr>
      <vt:lpstr>דירות - שירותי קרקע</vt:lpstr>
      <vt:lpstr>דירות - יוני</vt:lpstr>
      <vt:lpstr>סיכום מאוחד</vt:lpstr>
      <vt:lpstr>הוצאות תפעוליות</vt:lpstr>
      <vt:lpstr>מעקב תשלומים</vt:lpstr>
      <vt:lpstr>השוואה חודשית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2026-08-11T07:39:50Z</dcterms:created>
  <dcterms:modified xsi:type="dcterms:W3CDTF">2026-10-06T09:47:35Z</dcterms:modified>
</cp:coreProperties>
</file>