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UDE FILES\"/>
    </mc:Choice>
  </mc:AlternateContent>
  <xr:revisionPtr revIDLastSave="0" documentId="13_ncr:1_{79A410EF-8226-40B4-992F-C2BE2A2F56A0}" xr6:coauthVersionLast="47" xr6:coauthVersionMax="47" xr10:uidLastSave="{00000000-0000-0000-0000-000000000000}"/>
  <bookViews>
    <workbookView xWindow="1950" yWindow="1950" windowWidth="21600" windowHeight="11295" activeTab="3" xr2:uid="{4E1CD8AB-412A-47F5-B817-2B835250EFCA}"/>
  </bookViews>
  <sheets>
    <sheet name="סיכום" sheetId="3" r:id="rId1"/>
    <sheet name="לוח סילוקין - ישראכרט" sheetId="1" r:id="rId2"/>
    <sheet name="לוח סילוקין - מגדל" sheetId="2" r:id="rId3"/>
    <sheet name="חיובים בפועל - בנק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3" l="1"/>
  <c r="F6" i="3"/>
  <c r="D28" i="4"/>
  <c r="D26" i="4"/>
  <c r="D25" i="4"/>
  <c r="H7" i="3"/>
  <c r="H6" i="3"/>
  <c r="B22" i="3"/>
  <c r="B17" i="3"/>
  <c r="D7" i="3"/>
  <c r="C7" i="3"/>
  <c r="E7" i="3" s="1"/>
  <c r="D6" i="3"/>
  <c r="C6" i="3"/>
  <c r="E6" i="3" s="1"/>
  <c r="D27" i="4" l="1"/>
  <c r="H8" i="3"/>
  <c r="F8" i="3"/>
  <c r="G7" i="3"/>
  <c r="G6" i="3"/>
  <c r="D8" i="3"/>
  <c r="E8" i="3"/>
  <c r="E24" i="3" s="1"/>
  <c r="E26" i="3" l="1"/>
  <c r="G8" i="3"/>
</calcChain>
</file>

<file path=xl/sharedStrings.xml><?xml version="1.0" encoding="utf-8"?>
<sst xmlns="http://schemas.openxmlformats.org/spreadsheetml/2006/main" count="132" uniqueCount="74">
  <si>
    <t>הלוואת ישראכרט 1097674719 - לוח סילוקין מלא</t>
  </si>
  <si>
    <t>תשלום #</t>
  </si>
  <si>
    <t>תאריך</t>
  </si>
  <si>
    <t>קרן (₪)</t>
  </si>
  <si>
    <t>ריבית (₪)</t>
  </si>
  <si>
    <t>סה"כ תשלום (₪)</t>
  </si>
  <si>
    <t>יתרה לאחר תשלום (₪)</t>
  </si>
  <si>
    <t>💰 התחשבנות שמואל מינסקי מול ישר שירותי קרקע</t>
  </si>
  <si>
    <t>מתעדכן אוטומטית לפי תאריך היום - אין צורך לעדכן ידנית (חוץ מהוצאות אישיות חדשות והלוואות עתידיות)</t>
  </si>
  <si>
    <t>📊 מצב הלוואות (נכון להיום)</t>
  </si>
  <si>
    <t>הלוואה</t>
  </si>
  <si>
    <t>סכום מקורי</t>
  </si>
  <si>
    <t>תשלומים ששולמו</t>
  </si>
  <si>
    <t>ירד עד כה (₪)</t>
  </si>
  <si>
    <t>יתרה נוכחית (₪)</t>
  </si>
  <si>
    <t>ישראכרט (1097674719)</t>
  </si>
  <si>
    <t>מגדל (1-25455296-4)</t>
  </si>
  <si>
    <t>סה"כ הלוואות</t>
  </si>
  <si>
    <t>פירוט</t>
  </si>
  <si>
    <t>סכום</t>
  </si>
  <si>
    <t>איך שולם</t>
  </si>
  <si>
    <t>חשמלאי גיל אוטוצטיציה</t>
  </si>
  <si>
    <t>העברה</t>
  </si>
  <si>
    <t>קומר מנהל הודים</t>
  </si>
  <si>
    <t>משיכת מזומן עם קוד</t>
  </si>
  <si>
    <t>רכישת כרטיסי דלק</t>
  </si>
  <si>
    <t>💸 תשלומים ששולמו לשמואל על חשבון החוב (מפחית מהסה"כ)</t>
  </si>
  <si>
    <t>עבור מה</t>
  </si>
  <si>
    <t>סה"כ ששולם לשמואל</t>
  </si>
  <si>
    <t>ℹ️ הערות</t>
  </si>
  <si>
    <t>• ישראכרט: 96,500 ₪, ריבית משתנה 9% (פריים+3.5%) - הלוח מניח שהריבית תישאר קבועה; אם התאגיד מודיע על שינוי ריבית, יש לעדכן את הלוח</t>
  </si>
  <si>
    <t>• מגדל: 30,000 ₪, ריבית קבועה צמודת מדד 3.3% - הסכומים עשויים להשתנות עקב שינויי מדד המחירים לצרכן</t>
  </si>
  <si>
    <t>• אם שילמת לשמואל על חשבון החוב - הוסף שורה בטבלת "תשלומים ששולמו" למעלה, הסה"כ יתעדכן אוטומטית</t>
  </si>
  <si>
    <t>📌 סה"כ אם כוללים את כל יתרת ההלוואות (עתידי, לא הכל ירד עדיין)</t>
  </si>
  <si>
    <t xml:space="preserve">וכנל </t>
  </si>
  <si>
    <t>גורם</t>
  </si>
  <si>
    <t>סוג חיוב</t>
  </si>
  <si>
    <t>סכום (₪)</t>
  </si>
  <si>
    <t>אסמכתא</t>
  </si>
  <si>
    <t>הערה</t>
  </si>
  <si>
    <t>ישראכרט</t>
  </si>
  <si>
    <t>חיוב בפועל 03/04</t>
  </si>
  <si>
    <t>חיוב בפועל 03/05</t>
  </si>
  <si>
    <t>מגדל</t>
  </si>
  <si>
    <t>ביטוח</t>
  </si>
  <si>
    <t>ביטוח - לא הלוואה</t>
  </si>
  <si>
    <t>תשלום 1 - ריבית בלבד</t>
  </si>
  <si>
    <t>תשלום 2 - ריבית בלבד</t>
  </si>
  <si>
    <t>תשלום 3</t>
  </si>
  <si>
    <t>תשלום 4</t>
  </si>
  <si>
    <t>תשלום 5</t>
  </si>
  <si>
    <t>סה"כ הלוואת ישראכרט (ירד בפועל)</t>
  </si>
  <si>
    <t>סה"כ הלוואת מגדל (ירד בפועל)</t>
  </si>
  <si>
    <t>סה"כ הלוואות - ירד בפועל</t>
  </si>
  <si>
    <t>סה"כ ביטוח מגדל (לא נכלל בחוב)</t>
  </si>
  <si>
    <t>חיוב מגדל של כ-327 ש"ח בחודש (מ-11/01/2026) הוא ביטוח ולא החזר הלוואה - לא נכלל בחוב של ישר כלפי שמואל</t>
  </si>
  <si>
    <t>תשלומי מגדל בפועל גבוהים במעט מהלוח (הצמדת מדד); תשלומי ישראכרט נמוכים במעט (ריבית פריים משתנה) - ראה עמודת פער בגיליון סיכום</t>
  </si>
  <si>
    <t>כשמגיע דף בנק חדש - הוסף שורות בהמשך הטבלה והסכומים בגיליון סיכום יתעדכנו לבד</t>
  </si>
  <si>
    <t>ירד בפועל - בנק (₪)</t>
  </si>
  <si>
    <t>פער מול הלוח (₪)</t>
  </si>
  <si>
    <t>חיובי מגדל של כ-327 ש"ח לחודש הם ביטוח (לא הלוואה) - מפורטים בגיליון חיובים בפועל - בנק ואינם נכללים בחוב</t>
  </si>
  <si>
    <t>העברה כספית לחשבון ישר - 09/09/2026</t>
  </si>
  <si>
    <t>העברה בנקאית</t>
  </si>
  <si>
    <t>📋 הוצאות אישיות והעברות כסף פתוחות (שילם/העביר מהכיס, טרם הוחזר)</t>
  </si>
  <si>
    <t>סה"כ הוצאות והעברות פתוחות</t>
  </si>
  <si>
    <t>אם שמואל שילם הוצאה חדשה מהכיס או העביר כסף לחברה - הוסף שורה בטבלת "הוצאות אישיות והעברות כסף פתוחות" למעלה</t>
  </si>
  <si>
    <t>טרם צוין</t>
  </si>
  <si>
    <t>החזר ה-5,000 שהעביר לישר - שולם בשיק</t>
  </si>
  <si>
    <t>צפוי לפי הלוח מאז דף הבנק האחרון (₪)</t>
  </si>
  <si>
    <t>✅ מה שישר חייבת לשמואל עכשיו (ירד בפועל לפי הבנק + תשלומים לפי הלוח שהגיע מועדם מאז דף הבנק האחרון) - מתעדכן אוטומטית כל יום</t>
  </si>
  <si>
    <t>ירד בפועל נלקח מדף הבנק (מעודכן ל-07/09/2026). תשלומים שהגיע מועדם אחרי דף הבנק האחרון נכנסים אוטומטית לפי לוח הסילוקין (עמודה H) עד שיתווספו מדף בנק חדש - אז הם עוברים לעמודה F לפי הסכום בפועל</t>
  </si>
  <si>
    <t>🏦 חיובים בפועל לפי דף הבנק (מקור: תנועות בחשבון, נכון ל-11/10/2026)</t>
  </si>
  <si>
    <t>חיוב בפועל 02/10 - תשלום 7</t>
  </si>
  <si>
    <t>תשלום 7 (10/10 חל בשבת - ירד 11/10)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</si>
</sst>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₪&quot;"/>
  </numFmts>
  <fonts count="12" x14ac:knownFonts="1">
    <font>
      <sz val="11"/>
      <color theme="1"/>
      <name val="Arial"/>
      <family val="2"/>
      <charset val="177"/>
      <scheme val="minor"/>
    </font>
    <font>
      <b/>
      <sz val="16"/>
      <color rgb="FFFFFFFF"/>
      <name val="Arial"/>
      <family val="2"/>
      <scheme val="minor"/>
    </font>
    <font>
      <i/>
      <sz val="9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3"/>
      <color rgb="FFFFFFFF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1"/>
      <color rgb="FF808080"/>
      <name val="Arial"/>
      <family val="2"/>
      <charset val="177"/>
      <scheme val="minor"/>
    </font>
    <font>
      <i/>
      <sz val="11"/>
      <color theme="1"/>
      <name val="Arial"/>
      <family val="2"/>
      <scheme val="minor"/>
    </font>
    <font>
      <i/>
      <sz val="11"/>
      <color rgb="FF808080"/>
      <name val="Arial"/>
      <family val="2"/>
      <scheme val="minor"/>
    </font>
    <font>
      <sz val="11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A18C2B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D97A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EEDF0"/>
        <bgColor indexed="64"/>
      </patternFill>
    </fill>
    <fill>
      <patternFill patternType="solid">
        <fgColor rgb="FFEFEEDC"/>
        <bgColor indexed="64"/>
      </patternFill>
    </fill>
    <fill>
      <patternFill patternType="solid">
        <fgColor rgb="FF32003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4" borderId="0" xfId="0" applyFont="1" applyFill="1"/>
    <xf numFmtId="0" fontId="0" fillId="10" borderId="0" xfId="0" applyFill="1"/>
    <xf numFmtId="164" fontId="5" fillId="10" borderId="0" xfId="0" applyNumberFormat="1" applyFont="1" applyFill="1"/>
    <xf numFmtId="0" fontId="3" fillId="5" borderId="1" xfId="0" applyFont="1" applyFill="1" applyBorder="1"/>
    <xf numFmtId="0" fontId="0" fillId="6" borderId="1" xfId="0" applyFill="1" applyBorder="1"/>
    <xf numFmtId="4" fontId="0" fillId="6" borderId="1" xfId="0" applyNumberFormat="1" applyFill="1" applyBorder="1"/>
    <xf numFmtId="0" fontId="3" fillId="7" borderId="1" xfId="0" applyFont="1" applyFill="1" applyBorder="1"/>
    <xf numFmtId="4" fontId="3" fillId="7" borderId="1" xfId="0" applyNumberFormat="1" applyFont="1" applyFill="1" applyBorder="1"/>
    <xf numFmtId="0" fontId="0" fillId="8" borderId="1" xfId="0" applyFill="1" applyBorder="1"/>
    <xf numFmtId="4" fontId="0" fillId="8" borderId="1" xfId="0" applyNumberFormat="1" applyFill="1" applyBorder="1"/>
    <xf numFmtId="0" fontId="0" fillId="0" borderId="1" xfId="0" applyBorder="1"/>
    <xf numFmtId="0" fontId="3" fillId="9" borderId="1" xfId="0" applyFont="1" applyFill="1" applyBorder="1"/>
    <xf numFmtId="4" fontId="3" fillId="9" borderId="1" xfId="0" applyNumberFormat="1" applyFont="1" applyFill="1" applyBorder="1"/>
    <xf numFmtId="0" fontId="3" fillId="5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4" borderId="0" xfId="0" applyFill="1"/>
    <xf numFmtId="0" fontId="7" fillId="4" borderId="0" xfId="0" applyFont="1" applyFill="1"/>
    <xf numFmtId="164" fontId="7" fillId="4" borderId="0" xfId="0" applyNumberFormat="1" applyFont="1" applyFill="1"/>
    <xf numFmtId="0" fontId="4" fillId="10" borderId="0" xfId="0" applyFont="1" applyFill="1"/>
    <xf numFmtId="0" fontId="8" fillId="6" borderId="0" xfId="0" applyFont="1" applyFill="1"/>
    <xf numFmtId="4" fontId="8" fillId="6" borderId="0" xfId="0" applyNumberFormat="1" applyFont="1" applyFill="1"/>
    <xf numFmtId="0" fontId="4" fillId="12" borderId="3" xfId="0" applyFont="1" applyFill="1" applyBorder="1" applyAlignment="1">
      <alignment horizontal="center"/>
    </xf>
    <xf numFmtId="14" fontId="0" fillId="13" borderId="3" xfId="0" applyNumberFormat="1" applyFill="1" applyBorder="1"/>
    <xf numFmtId="0" fontId="0" fillId="13" borderId="3" xfId="0" applyFill="1" applyBorder="1"/>
    <xf numFmtId="4" fontId="0" fillId="13" borderId="3" xfId="0" applyNumberFormat="1" applyFill="1" applyBorder="1"/>
    <xf numFmtId="14" fontId="8" fillId="6" borderId="3" xfId="0" applyNumberFormat="1" applyFont="1" applyFill="1" applyBorder="1"/>
    <xf numFmtId="0" fontId="8" fillId="6" borderId="3" xfId="0" applyFont="1" applyFill="1" applyBorder="1"/>
    <xf numFmtId="4" fontId="8" fillId="6" borderId="3" xfId="0" applyNumberFormat="1" applyFont="1" applyFill="1" applyBorder="1"/>
    <xf numFmtId="0" fontId="3" fillId="14" borderId="0" xfId="0" applyFont="1" applyFill="1"/>
    <xf numFmtId="0" fontId="4" fillId="15" borderId="0" xfId="0" applyFont="1" applyFill="1"/>
    <xf numFmtId="4" fontId="3" fillId="14" borderId="0" xfId="0" applyNumberFormat="1" applyFont="1" applyFill="1"/>
    <xf numFmtId="4" fontId="4" fillId="15" borderId="0" xfId="0" applyNumberFormat="1" applyFont="1" applyFill="1"/>
    <xf numFmtId="0" fontId="9" fillId="0" borderId="0" xfId="0" applyFont="1"/>
    <xf numFmtId="0" fontId="10" fillId="0" borderId="0" xfId="0" applyFont="1"/>
    <xf numFmtId="0" fontId="11" fillId="7" borderId="1" xfId="0" applyFont="1" applyFill="1" applyBorder="1"/>
    <xf numFmtId="4" fontId="11" fillId="7" borderId="1" xfId="0" applyNumberFormat="1" applyFont="1" applyFill="1" applyBorder="1"/>
    <xf numFmtId="0" fontId="11" fillId="0" borderId="1" xfId="0" applyFont="1" applyBorder="1"/>
    <xf numFmtId="0" fontId="6" fillId="11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4FEF-5D45-419F-8259-C697DDC83AA1}">
  <dimension ref="A1:H35"/>
  <sheetViews>
    <sheetView rightToLeft="1" workbookViewId="0">
      <selection activeCell="H5" sqref="H5:H8"/>
    </sheetView>
  </sheetViews>
  <sheetFormatPr defaultRowHeight="14.25" x14ac:dyDescent="0.2"/>
  <cols>
    <col min="1" max="1" width="30.625" customWidth="1"/>
    <col min="2" max="2" width="16.625" customWidth="1"/>
    <col min="3" max="3" width="20.625" customWidth="1"/>
    <col min="4" max="4" width="18.625" customWidth="1"/>
    <col min="5" max="6" width="20.625" customWidth="1"/>
    <col min="7" max="8" width="18.625" customWidth="1"/>
  </cols>
  <sheetData>
    <row r="1" spans="1:8" ht="27.95" customHeight="1" x14ac:dyDescent="0.3">
      <c r="A1" s="42" t="s">
        <v>7</v>
      </c>
      <c r="B1" s="43"/>
      <c r="C1" s="43"/>
      <c r="D1" s="43"/>
      <c r="E1" s="43"/>
    </row>
    <row r="2" spans="1:8" x14ac:dyDescent="0.2">
      <c r="A2" s="44" t="s">
        <v>8</v>
      </c>
      <c r="B2" s="43"/>
      <c r="C2" s="43"/>
      <c r="D2" s="43"/>
      <c r="E2" s="43"/>
    </row>
    <row r="4" spans="1:8" ht="15" x14ac:dyDescent="0.25">
      <c r="A4" s="1" t="s">
        <v>9</v>
      </c>
      <c r="B4" s="1"/>
      <c r="C4" s="1"/>
      <c r="D4" s="1"/>
      <c r="E4" s="1"/>
    </row>
    <row r="5" spans="1:8" ht="15" x14ac:dyDescent="0.25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58</v>
      </c>
      <c r="G5" s="5" t="s">
        <v>59</v>
      </c>
      <c r="H5" s="5" t="s">
        <v>68</v>
      </c>
    </row>
    <row r="6" spans="1:8" x14ac:dyDescent="0.2">
      <c r="A6" s="6" t="s">
        <v>15</v>
      </c>
      <c r="B6" s="7">
        <v>96500</v>
      </c>
      <c r="C6" s="7">
        <f ca="1">COUNTIFS('לוח סילוקין - ישראכרט'!B3:B102,"&lt;="&amp;TODAY())</f>
        <v>7</v>
      </c>
      <c r="D6" s="7">
        <f ca="1">SUMIFS('לוח סילוקין - ישראכרט'!E3:E102,'לוח סילוקין - ישראכרט'!B3:B102,"&lt;="&amp;TODAY())</f>
        <v>9818.01</v>
      </c>
      <c r="E6" s="7">
        <f ca="1">IF(C6=0,B6,INDEX('לוח סילוקין - ישראכרט'!F3:F102,C6))</f>
        <v>91836.33</v>
      </c>
      <c r="F6" s="7">
        <f>SUMIFS('חיובים בפועל - בנק'!D3:D23,'חיובים בפועל - בנק'!B3:B23,"ישראכרט",'חיובים בפועל - בנק'!C3:C23,"הלוואה")</f>
        <v>9664.31</v>
      </c>
      <c r="G6" s="7">
        <f ca="1">F6-D6</f>
        <v>-153.70000000000073</v>
      </c>
      <c r="H6" s="7">
        <f ca="1">SUMIFS('לוח סילוקין - ישראכרט'!E3:E102,'לוח סילוקין - ישראכרט'!A3:A102,"&gt;"&amp;COUNTIFS('חיובים בפועל - בנק'!B3:B24,"ישראכרט",'חיובים בפועל - בנק'!C3:C24,"הלוואה"),'לוח סילוקין - ישראכרט'!B3:B102,"&lt;="&amp;TODAY())</f>
        <v>0</v>
      </c>
    </row>
    <row r="7" spans="1:8" x14ac:dyDescent="0.2">
      <c r="A7" s="6" t="s">
        <v>16</v>
      </c>
      <c r="B7" s="7">
        <v>30000</v>
      </c>
      <c r="C7" s="7">
        <f ca="1">COUNTIFS('לוח סילוקין - מגדל'!B3:B18,"&lt;="&amp;TODAY())</f>
        <v>7</v>
      </c>
      <c r="D7" s="7">
        <f ca="1">SUMIFS('לוח סילוקין - מגדל'!E3:E18,'לוח סילוקין - מגדל'!B3:B18,"&lt;="&amp;TODAY())</f>
        <v>11107.48</v>
      </c>
      <c r="E7" s="7">
        <f ca="1">IF(C7=0,B7,INDEX('לוח סילוקין - מגדל'!F3:F18,C7))</f>
        <v>19417.86</v>
      </c>
      <c r="F7" s="7">
        <f>SUMIFS('חיובים בפועל - בנק'!D3:D23,'חיובים בפועל - בנק'!B3:B23,"מגדל",'חיובים בפועל - בנק'!C3:C23,"הלוואה")</f>
        <v>9075.369999999999</v>
      </c>
      <c r="G7" s="7">
        <f ca="1">F7-D7</f>
        <v>-2032.1100000000006</v>
      </c>
      <c r="H7" s="7">
        <f ca="1">SUMIFS('לוח סילוקין - מגדל'!E3:E18,'לוח סילוקין - מגדל'!A3:A18,"&gt;"&amp;COUNTIFS('חיובים בפועל - בנק'!B3:B24,"מגדל",'חיובים בפועל - בנק'!C3:C24,"הלוואה"),'לוח סילוקין - מגדל'!B3:B18,"&lt;="&amp;TODAY())</f>
        <v>2187.3200000000002</v>
      </c>
    </row>
    <row r="8" spans="1:8" ht="15" x14ac:dyDescent="0.25">
      <c r="A8" s="8" t="s">
        <v>17</v>
      </c>
      <c r="B8" s="9"/>
      <c r="C8" s="9"/>
      <c r="D8" s="9">
        <f ca="1">SUM(D6:D7)</f>
        <v>20925.489999999998</v>
      </c>
      <c r="E8" s="9">
        <f ca="1">SUM(E6:E7)</f>
        <v>111254.19</v>
      </c>
      <c r="F8" s="9">
        <f>SUM(F6:F7)</f>
        <v>18739.68</v>
      </c>
      <c r="G8" s="9">
        <f ca="1">F8-D8</f>
        <v>-2185.8099999999977</v>
      </c>
      <c r="H8" s="9">
        <f ca="1">SUM(H6:H7)</f>
        <v>2187.3200000000002</v>
      </c>
    </row>
    <row r="10" spans="1:8" ht="15" x14ac:dyDescent="0.25">
      <c r="A10" s="1" t="s">
        <v>63</v>
      </c>
      <c r="B10" s="1"/>
      <c r="C10" s="1"/>
    </row>
    <row r="11" spans="1:8" ht="15" x14ac:dyDescent="0.25">
      <c r="A11" s="5" t="s">
        <v>18</v>
      </c>
      <c r="B11" s="5" t="s">
        <v>19</v>
      </c>
      <c r="C11" s="5" t="s">
        <v>20</v>
      </c>
    </row>
    <row r="12" spans="1:8" x14ac:dyDescent="0.2">
      <c r="A12" s="10" t="s">
        <v>21</v>
      </c>
      <c r="B12" s="11">
        <v>250</v>
      </c>
      <c r="C12" s="10" t="s">
        <v>22</v>
      </c>
    </row>
    <row r="13" spans="1:8" x14ac:dyDescent="0.2">
      <c r="A13" s="10" t="s">
        <v>21</v>
      </c>
      <c r="B13" s="11">
        <v>250</v>
      </c>
      <c r="C13" s="10" t="s">
        <v>22</v>
      </c>
    </row>
    <row r="14" spans="1:8" x14ac:dyDescent="0.2">
      <c r="A14" s="10" t="s">
        <v>23</v>
      </c>
      <c r="B14" s="11">
        <v>500</v>
      </c>
      <c r="C14" s="10" t="s">
        <v>24</v>
      </c>
    </row>
    <row r="15" spans="1:8" x14ac:dyDescent="0.2">
      <c r="A15" s="10" t="s">
        <v>25</v>
      </c>
      <c r="B15" s="11">
        <v>1500</v>
      </c>
      <c r="C15" s="10" t="s">
        <v>22</v>
      </c>
    </row>
    <row r="16" spans="1:8" x14ac:dyDescent="0.2">
      <c r="A16" s="10" t="s">
        <v>61</v>
      </c>
      <c r="B16" s="11">
        <v>5000</v>
      </c>
      <c r="C16" s="10" t="s">
        <v>62</v>
      </c>
    </row>
    <row r="17" spans="1:5" ht="15" x14ac:dyDescent="0.25">
      <c r="A17" s="8" t="s">
        <v>64</v>
      </c>
      <c r="B17" s="9">
        <f>SUM(B12:B16)</f>
        <v>7500</v>
      </c>
      <c r="C17" s="12"/>
    </row>
    <row r="19" spans="1:5" ht="15" x14ac:dyDescent="0.25">
      <c r="A19" s="1" t="s">
        <v>26</v>
      </c>
      <c r="B19" s="1"/>
      <c r="C19" s="1"/>
    </row>
    <row r="20" spans="1:5" ht="15" x14ac:dyDescent="0.25">
      <c r="A20" s="5" t="s">
        <v>2</v>
      </c>
      <c r="B20" s="5" t="s">
        <v>19</v>
      </c>
      <c r="C20" s="5" t="s">
        <v>27</v>
      </c>
    </row>
    <row r="21" spans="1:5" x14ac:dyDescent="0.2">
      <c r="A21" s="38" t="s">
        <v>66</v>
      </c>
      <c r="B21" s="39">
        <v>5000</v>
      </c>
      <c r="C21" s="40" t="s">
        <v>67</v>
      </c>
    </row>
    <row r="22" spans="1:5" ht="15" x14ac:dyDescent="0.25">
      <c r="A22" s="13" t="s">
        <v>28</v>
      </c>
      <c r="B22" s="14">
        <f>SUM(B21:B21)</f>
        <v>5000</v>
      </c>
      <c r="C22" s="12"/>
    </row>
    <row r="24" spans="1:5" ht="15.75" x14ac:dyDescent="0.25">
      <c r="A24" s="20" t="s">
        <v>33</v>
      </c>
      <c r="B24" s="19"/>
      <c r="C24" s="19"/>
      <c r="D24" s="19"/>
      <c r="E24" s="21">
        <f ca="1">E8+B17-B22</f>
        <v>113754.19</v>
      </c>
    </row>
    <row r="26" spans="1:5" ht="18" x14ac:dyDescent="0.25">
      <c r="A26" s="22" t="s">
        <v>69</v>
      </c>
      <c r="B26" s="3"/>
      <c r="C26" s="3"/>
      <c r="D26" s="3"/>
      <c r="E26" s="4">
        <f ca="1">F8+H8+B17-B22</f>
        <v>23427</v>
      </c>
    </row>
    <row r="29" spans="1:5" ht="15" x14ac:dyDescent="0.25">
      <c r="A29" s="2" t="s">
        <v>29</v>
      </c>
      <c r="B29" s="2"/>
      <c r="C29" s="2"/>
      <c r="D29" s="2"/>
      <c r="E29" s="2"/>
    </row>
    <row r="30" spans="1:5" x14ac:dyDescent="0.2">
      <c r="A30" t="s">
        <v>30</v>
      </c>
    </row>
    <row r="31" spans="1:5" x14ac:dyDescent="0.2">
      <c r="A31" t="s">
        <v>31</v>
      </c>
    </row>
    <row r="32" spans="1:5" x14ac:dyDescent="0.2">
      <c r="A32" t="s">
        <v>65</v>
      </c>
    </row>
    <row r="33" spans="1:1" x14ac:dyDescent="0.2">
      <c r="A33" t="s">
        <v>32</v>
      </c>
    </row>
    <row r="34" spans="1:1" x14ac:dyDescent="0.2">
      <c r="A34" s="36" t="s">
        <v>60</v>
      </c>
    </row>
    <row r="35" spans="1:1" x14ac:dyDescent="0.2">
      <c r="A35" s="36" t="s">
        <v>70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607F-05FF-4BEA-B08C-BEECA93D7F38}">
  <dimension ref="A1:F102"/>
  <sheetViews>
    <sheetView rightToLeft="1" workbookViewId="0">
      <selection sqref="A1:F1"/>
    </sheetView>
  </sheetViews>
  <sheetFormatPr defaultRowHeight="14.25" x14ac:dyDescent="0.2"/>
  <cols>
    <col min="1" max="1" width="10.625" customWidth="1"/>
    <col min="2" max="4" width="14.625" customWidth="1"/>
    <col min="5" max="5" width="16.625" customWidth="1"/>
    <col min="6" max="6" width="20.625" customWidth="1"/>
  </cols>
  <sheetData>
    <row r="1" spans="1:6" ht="24" customHeight="1" x14ac:dyDescent="0.25">
      <c r="A1" s="45" t="s">
        <v>0</v>
      </c>
      <c r="B1" s="43"/>
      <c r="C1" s="43"/>
      <c r="D1" s="43"/>
      <c r="E1" s="43"/>
      <c r="F1" s="43"/>
    </row>
    <row r="2" spans="1:6" ht="15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spans="1:6" x14ac:dyDescent="0.2">
      <c r="A3" s="16">
        <v>1</v>
      </c>
      <c r="B3" s="17">
        <v>46114</v>
      </c>
      <c r="C3" s="18">
        <v>651.42999999999995</v>
      </c>
      <c r="D3" s="18">
        <v>904.19</v>
      </c>
      <c r="E3" s="18">
        <v>1555.62</v>
      </c>
      <c r="F3" s="18">
        <v>95848.57</v>
      </c>
    </row>
    <row r="4" spans="1:6" x14ac:dyDescent="0.2">
      <c r="A4" s="16">
        <v>2</v>
      </c>
      <c r="B4" s="17">
        <v>46144</v>
      </c>
      <c r="C4" s="18">
        <v>656.28</v>
      </c>
      <c r="D4" s="18">
        <v>709.02</v>
      </c>
      <c r="E4" s="18">
        <v>1365.3</v>
      </c>
      <c r="F4" s="18">
        <v>95192.29</v>
      </c>
    </row>
    <row r="5" spans="1:6" x14ac:dyDescent="0.2">
      <c r="A5" s="16">
        <v>3</v>
      </c>
      <c r="B5" s="17">
        <v>46175</v>
      </c>
      <c r="C5" s="18">
        <v>661.2</v>
      </c>
      <c r="D5" s="18">
        <v>727.63</v>
      </c>
      <c r="E5" s="18">
        <v>1388.83</v>
      </c>
      <c r="F5" s="18">
        <v>94531.09</v>
      </c>
    </row>
    <row r="6" spans="1:6" x14ac:dyDescent="0.2">
      <c r="A6" s="16">
        <v>4</v>
      </c>
      <c r="B6" s="17">
        <v>46205</v>
      </c>
      <c r="C6" s="18">
        <v>666.16</v>
      </c>
      <c r="D6" s="18">
        <v>699.27</v>
      </c>
      <c r="E6" s="18">
        <v>1365.43</v>
      </c>
      <c r="F6" s="18">
        <v>93864.93</v>
      </c>
    </row>
    <row r="7" spans="1:6" x14ac:dyDescent="0.2">
      <c r="A7" s="16">
        <v>5</v>
      </c>
      <c r="B7" s="17">
        <v>46236</v>
      </c>
      <c r="C7" s="18">
        <v>671.15</v>
      </c>
      <c r="D7" s="18">
        <v>717.49</v>
      </c>
      <c r="E7" s="18">
        <v>1388.64</v>
      </c>
      <c r="F7" s="18">
        <v>93193.78</v>
      </c>
    </row>
    <row r="8" spans="1:6" x14ac:dyDescent="0.2">
      <c r="A8" s="16">
        <v>6</v>
      </c>
      <c r="B8" s="17">
        <v>46267</v>
      </c>
      <c r="C8" s="18">
        <v>676.19</v>
      </c>
      <c r="D8" s="18">
        <v>712.36</v>
      </c>
      <c r="E8" s="18">
        <v>1388.55</v>
      </c>
      <c r="F8" s="18">
        <v>92517.59</v>
      </c>
    </row>
    <row r="9" spans="1:6" x14ac:dyDescent="0.2">
      <c r="A9" s="16">
        <v>7</v>
      </c>
      <c r="B9" s="17">
        <v>46297</v>
      </c>
      <c r="C9" s="18">
        <v>681.26</v>
      </c>
      <c r="D9" s="18">
        <v>684.38</v>
      </c>
      <c r="E9" s="18">
        <v>1365.64</v>
      </c>
      <c r="F9" s="18">
        <v>91836.33</v>
      </c>
    </row>
    <row r="10" spans="1:6" x14ac:dyDescent="0.2">
      <c r="A10" s="16">
        <v>8</v>
      </c>
      <c r="B10" s="17">
        <v>46328</v>
      </c>
      <c r="C10" s="18">
        <v>686.37</v>
      </c>
      <c r="D10" s="18">
        <v>701.98</v>
      </c>
      <c r="E10" s="18">
        <v>1388.35</v>
      </c>
      <c r="F10" s="18">
        <v>91149.96</v>
      </c>
    </row>
    <row r="11" spans="1:6" x14ac:dyDescent="0.2">
      <c r="A11" s="16">
        <v>9</v>
      </c>
      <c r="B11" s="17">
        <v>46358</v>
      </c>
      <c r="C11" s="18">
        <v>691.52</v>
      </c>
      <c r="D11" s="18">
        <v>674.26</v>
      </c>
      <c r="E11" s="18">
        <v>1365.78</v>
      </c>
      <c r="F11" s="18">
        <v>90458.44</v>
      </c>
    </row>
    <row r="12" spans="1:6" x14ac:dyDescent="0.2">
      <c r="A12" s="16">
        <v>10</v>
      </c>
      <c r="B12" s="17">
        <v>46389</v>
      </c>
      <c r="C12" s="18">
        <v>696.7</v>
      </c>
      <c r="D12" s="18">
        <v>691.44</v>
      </c>
      <c r="E12" s="18">
        <v>1388.14</v>
      </c>
      <c r="F12" s="18">
        <v>89761.74</v>
      </c>
    </row>
    <row r="13" spans="1:6" x14ac:dyDescent="0.2">
      <c r="A13" s="16">
        <v>11</v>
      </c>
      <c r="B13" s="17">
        <v>46420</v>
      </c>
      <c r="C13" s="18">
        <v>701.93</v>
      </c>
      <c r="D13" s="18">
        <v>686.12</v>
      </c>
      <c r="E13" s="18">
        <v>1388.05</v>
      </c>
      <c r="F13" s="18">
        <v>89059.81</v>
      </c>
    </row>
    <row r="14" spans="1:6" x14ac:dyDescent="0.2">
      <c r="A14" s="16">
        <v>12</v>
      </c>
      <c r="B14" s="17">
        <v>46448</v>
      </c>
      <c r="C14" s="18">
        <v>707.19</v>
      </c>
      <c r="D14" s="18">
        <v>614.88</v>
      </c>
      <c r="E14" s="18">
        <v>1322.07</v>
      </c>
      <c r="F14" s="18">
        <v>88352.62</v>
      </c>
    </row>
    <row r="15" spans="1:6" x14ac:dyDescent="0.2">
      <c r="A15" s="16">
        <v>13</v>
      </c>
      <c r="B15" s="17">
        <v>46479</v>
      </c>
      <c r="C15" s="18">
        <v>712.5</v>
      </c>
      <c r="D15" s="18">
        <v>675.35</v>
      </c>
      <c r="E15" s="18">
        <v>1387.85</v>
      </c>
      <c r="F15" s="18">
        <v>87640.12</v>
      </c>
    </row>
    <row r="16" spans="1:6" x14ac:dyDescent="0.2">
      <c r="A16" s="16">
        <v>14</v>
      </c>
      <c r="B16" s="17">
        <v>46509</v>
      </c>
      <c r="C16" s="18">
        <v>717.84</v>
      </c>
      <c r="D16" s="18">
        <v>648.29999999999995</v>
      </c>
      <c r="E16" s="18">
        <v>1366.14</v>
      </c>
      <c r="F16" s="18">
        <v>86922.28</v>
      </c>
    </row>
    <row r="17" spans="1:6" x14ac:dyDescent="0.2">
      <c r="A17" s="16">
        <v>15</v>
      </c>
      <c r="B17" s="17">
        <v>46540</v>
      </c>
      <c r="C17" s="18">
        <v>723.22</v>
      </c>
      <c r="D17" s="18">
        <v>664.42</v>
      </c>
      <c r="E17" s="18">
        <v>1387.64</v>
      </c>
      <c r="F17" s="18">
        <v>86199.06</v>
      </c>
    </row>
    <row r="18" spans="1:6" x14ac:dyDescent="0.2">
      <c r="A18" s="16">
        <v>16</v>
      </c>
      <c r="B18" s="17">
        <v>46570</v>
      </c>
      <c r="C18" s="18">
        <v>728.65</v>
      </c>
      <c r="D18" s="18">
        <v>637.64</v>
      </c>
      <c r="E18" s="18">
        <v>1366.29</v>
      </c>
      <c r="F18" s="18">
        <v>85470.41</v>
      </c>
    </row>
    <row r="19" spans="1:6" x14ac:dyDescent="0.2">
      <c r="A19" s="16">
        <v>17</v>
      </c>
      <c r="B19" s="17">
        <v>46601</v>
      </c>
      <c r="C19" s="18">
        <v>734.11</v>
      </c>
      <c r="D19" s="18">
        <v>653.32000000000005</v>
      </c>
      <c r="E19" s="18">
        <v>1387.43</v>
      </c>
      <c r="F19" s="18">
        <v>84736.3</v>
      </c>
    </row>
    <row r="20" spans="1:6" x14ac:dyDescent="0.2">
      <c r="A20" s="16">
        <v>18</v>
      </c>
      <c r="B20" s="17">
        <v>46632</v>
      </c>
      <c r="C20" s="18">
        <v>739.62</v>
      </c>
      <c r="D20" s="18">
        <v>647.71</v>
      </c>
      <c r="E20" s="18">
        <v>1387.33</v>
      </c>
      <c r="F20" s="18">
        <v>83996.68</v>
      </c>
    </row>
    <row r="21" spans="1:6" x14ac:dyDescent="0.2">
      <c r="A21" s="16">
        <v>19</v>
      </c>
      <c r="B21" s="17">
        <v>46662</v>
      </c>
      <c r="C21" s="18">
        <v>745.16</v>
      </c>
      <c r="D21" s="18">
        <v>621.35</v>
      </c>
      <c r="E21" s="18">
        <v>1366.51</v>
      </c>
      <c r="F21" s="18">
        <v>83251.520000000004</v>
      </c>
    </row>
    <row r="22" spans="1:6" x14ac:dyDescent="0.2">
      <c r="A22" s="16">
        <v>20</v>
      </c>
      <c r="B22" s="17">
        <v>46693</v>
      </c>
      <c r="C22" s="18">
        <v>750.75</v>
      </c>
      <c r="D22" s="18">
        <v>636.36</v>
      </c>
      <c r="E22" s="18">
        <v>1387.11</v>
      </c>
      <c r="F22" s="18">
        <v>82500.77</v>
      </c>
    </row>
    <row r="23" spans="1:6" x14ac:dyDescent="0.2">
      <c r="A23" s="16">
        <v>21</v>
      </c>
      <c r="B23" s="17">
        <v>46723</v>
      </c>
      <c r="C23" s="18">
        <v>756.38</v>
      </c>
      <c r="D23" s="18">
        <v>610.28</v>
      </c>
      <c r="E23" s="18">
        <v>1366.66</v>
      </c>
      <c r="F23" s="18">
        <v>81744.39</v>
      </c>
    </row>
    <row r="24" spans="1:6" x14ac:dyDescent="0.2">
      <c r="A24" s="16">
        <v>22</v>
      </c>
      <c r="B24" s="17">
        <v>46754</v>
      </c>
      <c r="C24" s="18">
        <v>762.06</v>
      </c>
      <c r="D24" s="18">
        <v>624.78</v>
      </c>
      <c r="E24" s="18">
        <v>1386.84</v>
      </c>
      <c r="F24" s="18">
        <v>80982.33</v>
      </c>
    </row>
    <row r="25" spans="1:6" x14ac:dyDescent="0.2">
      <c r="A25" s="16">
        <v>23</v>
      </c>
      <c r="B25" s="17">
        <v>46785</v>
      </c>
      <c r="C25" s="18">
        <v>767.77</v>
      </c>
      <c r="D25" s="18">
        <v>617.32000000000005</v>
      </c>
      <c r="E25" s="18">
        <v>1385.09</v>
      </c>
      <c r="F25" s="18">
        <v>80214.559999999998</v>
      </c>
    </row>
    <row r="26" spans="1:6" x14ac:dyDescent="0.2">
      <c r="A26" s="16">
        <v>24</v>
      </c>
      <c r="B26" s="17">
        <v>46814</v>
      </c>
      <c r="C26" s="18">
        <v>773.53</v>
      </c>
      <c r="D26" s="18">
        <v>572.02</v>
      </c>
      <c r="E26" s="18">
        <v>1345.55</v>
      </c>
      <c r="F26" s="18">
        <v>79441.03</v>
      </c>
    </row>
    <row r="27" spans="1:6" x14ac:dyDescent="0.2">
      <c r="A27" s="16">
        <v>25</v>
      </c>
      <c r="B27" s="17">
        <v>46845</v>
      </c>
      <c r="C27" s="18">
        <v>779.33</v>
      </c>
      <c r="D27" s="18">
        <v>605.58000000000004</v>
      </c>
      <c r="E27" s="18">
        <v>1384.91</v>
      </c>
      <c r="F27" s="18">
        <v>78661.7</v>
      </c>
    </row>
    <row r="28" spans="1:6" x14ac:dyDescent="0.2">
      <c r="A28" s="16">
        <v>26</v>
      </c>
      <c r="B28" s="17">
        <v>46875</v>
      </c>
      <c r="C28" s="18">
        <v>785.18</v>
      </c>
      <c r="D28" s="18">
        <v>580.29</v>
      </c>
      <c r="E28" s="18">
        <v>1365.47</v>
      </c>
      <c r="F28" s="18">
        <v>77876.52</v>
      </c>
    </row>
    <row r="29" spans="1:6" x14ac:dyDescent="0.2">
      <c r="A29" s="16">
        <v>27</v>
      </c>
      <c r="B29" s="17">
        <v>46906</v>
      </c>
      <c r="C29" s="18">
        <v>791.07</v>
      </c>
      <c r="D29" s="18">
        <v>593.65</v>
      </c>
      <c r="E29" s="18">
        <v>1384.72</v>
      </c>
      <c r="F29" s="18">
        <v>77085.45</v>
      </c>
    </row>
    <row r="30" spans="1:6" x14ac:dyDescent="0.2">
      <c r="A30" s="16">
        <v>28</v>
      </c>
      <c r="B30" s="17">
        <v>46936</v>
      </c>
      <c r="C30" s="18">
        <v>797</v>
      </c>
      <c r="D30" s="18">
        <v>568.66</v>
      </c>
      <c r="E30" s="18">
        <v>1365.66</v>
      </c>
      <c r="F30" s="18">
        <v>76288.45</v>
      </c>
    </row>
    <row r="31" spans="1:6" x14ac:dyDescent="0.2">
      <c r="A31" s="16">
        <v>29</v>
      </c>
      <c r="B31" s="17">
        <v>46967</v>
      </c>
      <c r="C31" s="18">
        <v>802.98</v>
      </c>
      <c r="D31" s="18">
        <v>581.54</v>
      </c>
      <c r="E31" s="18">
        <v>1384.52</v>
      </c>
      <c r="F31" s="18">
        <v>75485.47</v>
      </c>
    </row>
    <row r="32" spans="1:6" x14ac:dyDescent="0.2">
      <c r="A32" s="16">
        <v>30</v>
      </c>
      <c r="B32" s="17">
        <v>46998</v>
      </c>
      <c r="C32" s="18">
        <v>809</v>
      </c>
      <c r="D32" s="18">
        <v>575.41999999999996</v>
      </c>
      <c r="E32" s="18">
        <v>1384.42</v>
      </c>
      <c r="F32" s="18">
        <v>74676.47</v>
      </c>
    </row>
    <row r="33" spans="1:6" x14ac:dyDescent="0.2">
      <c r="A33" s="16">
        <v>31</v>
      </c>
      <c r="B33" s="17">
        <v>47028</v>
      </c>
      <c r="C33" s="18">
        <v>815.07</v>
      </c>
      <c r="D33" s="18">
        <v>550.89</v>
      </c>
      <c r="E33" s="18">
        <v>1365.96</v>
      </c>
      <c r="F33" s="18">
        <v>73861.399999999994</v>
      </c>
    </row>
    <row r="34" spans="1:6" x14ac:dyDescent="0.2">
      <c r="A34" s="16">
        <v>32</v>
      </c>
      <c r="B34" s="17">
        <v>47059</v>
      </c>
      <c r="C34" s="18">
        <v>821.18</v>
      </c>
      <c r="D34" s="18">
        <v>563.04</v>
      </c>
      <c r="E34" s="18">
        <v>1384.22</v>
      </c>
      <c r="F34" s="18">
        <v>73040.22</v>
      </c>
    </row>
    <row r="35" spans="1:6" x14ac:dyDescent="0.2">
      <c r="A35" s="16">
        <v>33</v>
      </c>
      <c r="B35" s="17">
        <v>47089</v>
      </c>
      <c r="C35" s="18">
        <v>827.34</v>
      </c>
      <c r="D35" s="18">
        <v>538.82000000000005</v>
      </c>
      <c r="E35" s="18">
        <v>1366.16</v>
      </c>
      <c r="F35" s="18">
        <v>72212.88</v>
      </c>
    </row>
    <row r="36" spans="1:6" x14ac:dyDescent="0.2">
      <c r="A36" s="16">
        <v>34</v>
      </c>
      <c r="B36" s="17">
        <v>47120</v>
      </c>
      <c r="C36" s="18">
        <v>833.54</v>
      </c>
      <c r="D36" s="18">
        <v>550.53</v>
      </c>
      <c r="E36" s="18">
        <v>1384.07</v>
      </c>
      <c r="F36" s="18">
        <v>71379.34</v>
      </c>
    </row>
    <row r="37" spans="1:6" x14ac:dyDescent="0.2">
      <c r="A37" s="16">
        <v>35</v>
      </c>
      <c r="B37" s="17">
        <v>47151</v>
      </c>
      <c r="C37" s="18">
        <v>839.8</v>
      </c>
      <c r="D37" s="18">
        <v>545.61</v>
      </c>
      <c r="E37" s="18">
        <v>1385.41</v>
      </c>
      <c r="F37" s="18">
        <v>70539.539999999994</v>
      </c>
    </row>
    <row r="38" spans="1:6" x14ac:dyDescent="0.2">
      <c r="A38" s="16">
        <v>36</v>
      </c>
      <c r="B38" s="17">
        <v>47179</v>
      </c>
      <c r="C38" s="18">
        <v>846.09</v>
      </c>
      <c r="D38" s="18">
        <v>487.01</v>
      </c>
      <c r="E38" s="18">
        <v>1333.1</v>
      </c>
      <c r="F38" s="18">
        <v>69693.45</v>
      </c>
    </row>
    <row r="39" spans="1:6" x14ac:dyDescent="0.2">
      <c r="A39" s="16">
        <v>37</v>
      </c>
      <c r="B39" s="17">
        <v>47210</v>
      </c>
      <c r="C39" s="18">
        <v>852.44</v>
      </c>
      <c r="D39" s="18">
        <v>532.73</v>
      </c>
      <c r="E39" s="18">
        <v>1385.17</v>
      </c>
      <c r="F39" s="18">
        <v>68841.009999999995</v>
      </c>
    </row>
    <row r="40" spans="1:6" x14ac:dyDescent="0.2">
      <c r="A40" s="16">
        <v>38</v>
      </c>
      <c r="B40" s="17">
        <v>47240</v>
      </c>
      <c r="C40" s="18">
        <v>858.83</v>
      </c>
      <c r="D40" s="18">
        <v>509.23</v>
      </c>
      <c r="E40" s="18">
        <v>1368.06</v>
      </c>
      <c r="F40" s="18">
        <v>67982.179999999993</v>
      </c>
    </row>
    <row r="41" spans="1:6" x14ac:dyDescent="0.2">
      <c r="A41" s="16">
        <v>39</v>
      </c>
      <c r="B41" s="17">
        <v>47271</v>
      </c>
      <c r="C41" s="18">
        <v>865.27</v>
      </c>
      <c r="D41" s="18">
        <v>519.64</v>
      </c>
      <c r="E41" s="18">
        <v>1384.91</v>
      </c>
      <c r="F41" s="18">
        <v>67116.91</v>
      </c>
    </row>
    <row r="42" spans="1:6" x14ac:dyDescent="0.2">
      <c r="A42" s="16">
        <v>40</v>
      </c>
      <c r="B42" s="17">
        <v>47301</v>
      </c>
      <c r="C42" s="18">
        <v>871.76</v>
      </c>
      <c r="D42" s="18">
        <v>496.48</v>
      </c>
      <c r="E42" s="18">
        <v>1368.24</v>
      </c>
      <c r="F42" s="18">
        <v>66245.149999999994</v>
      </c>
    </row>
    <row r="43" spans="1:6" x14ac:dyDescent="0.2">
      <c r="A43" s="16">
        <v>41</v>
      </c>
      <c r="B43" s="17">
        <v>47332</v>
      </c>
      <c r="C43" s="18">
        <v>878.3</v>
      </c>
      <c r="D43" s="18">
        <v>506.37</v>
      </c>
      <c r="E43" s="18">
        <v>1384.67</v>
      </c>
      <c r="F43" s="18">
        <v>65366.85</v>
      </c>
    </row>
    <row r="44" spans="1:6" x14ac:dyDescent="0.2">
      <c r="A44" s="16">
        <v>42</v>
      </c>
      <c r="B44" s="17">
        <v>47363</v>
      </c>
      <c r="C44" s="18">
        <v>884.89</v>
      </c>
      <c r="D44" s="18">
        <v>499.65</v>
      </c>
      <c r="E44" s="18">
        <v>1384.54</v>
      </c>
      <c r="F44" s="18">
        <v>64481.96</v>
      </c>
    </row>
    <row r="45" spans="1:6" x14ac:dyDescent="0.2">
      <c r="A45" s="16">
        <v>43</v>
      </c>
      <c r="B45" s="17">
        <v>47393</v>
      </c>
      <c r="C45" s="18">
        <v>891.53</v>
      </c>
      <c r="D45" s="18">
        <v>476.99</v>
      </c>
      <c r="E45" s="18">
        <v>1368.52</v>
      </c>
      <c r="F45" s="18">
        <v>63590.43</v>
      </c>
    </row>
    <row r="46" spans="1:6" x14ac:dyDescent="0.2">
      <c r="A46" s="16">
        <v>44</v>
      </c>
      <c r="B46" s="17">
        <v>47424</v>
      </c>
      <c r="C46" s="18">
        <v>898.21</v>
      </c>
      <c r="D46" s="18">
        <v>486.07</v>
      </c>
      <c r="E46" s="18">
        <v>1384.28</v>
      </c>
      <c r="F46" s="18">
        <v>62692.22</v>
      </c>
    </row>
    <row r="47" spans="1:6" x14ac:dyDescent="0.2">
      <c r="A47" s="16">
        <v>45</v>
      </c>
      <c r="B47" s="17">
        <v>47454</v>
      </c>
      <c r="C47" s="18">
        <v>904.95</v>
      </c>
      <c r="D47" s="18">
        <v>463.75</v>
      </c>
      <c r="E47" s="18">
        <v>1368.7</v>
      </c>
      <c r="F47" s="18">
        <v>61787.27</v>
      </c>
    </row>
    <row r="48" spans="1:6" x14ac:dyDescent="0.2">
      <c r="A48" s="16">
        <v>46</v>
      </c>
      <c r="B48" s="17">
        <v>47485</v>
      </c>
      <c r="C48" s="18">
        <v>911.74</v>
      </c>
      <c r="D48" s="18">
        <v>472.3</v>
      </c>
      <c r="E48" s="18">
        <v>1384.04</v>
      </c>
      <c r="F48" s="18">
        <v>60875.53</v>
      </c>
    </row>
    <row r="49" spans="1:6" x14ac:dyDescent="0.2">
      <c r="A49" s="16">
        <v>47</v>
      </c>
      <c r="B49" s="17">
        <v>47516</v>
      </c>
      <c r="C49" s="18">
        <v>918.57</v>
      </c>
      <c r="D49" s="18">
        <v>465.32</v>
      </c>
      <c r="E49" s="18">
        <v>1383.89</v>
      </c>
      <c r="F49" s="18">
        <v>59956.959999999999</v>
      </c>
    </row>
    <row r="50" spans="1:6" x14ac:dyDescent="0.2">
      <c r="A50" s="16">
        <v>48</v>
      </c>
      <c r="B50" s="17">
        <v>47544</v>
      </c>
      <c r="C50" s="18">
        <v>925.46</v>
      </c>
      <c r="D50" s="18">
        <v>413.95</v>
      </c>
      <c r="E50" s="18">
        <v>1339.41</v>
      </c>
      <c r="F50" s="18">
        <v>59031.5</v>
      </c>
    </row>
    <row r="51" spans="1:6" x14ac:dyDescent="0.2">
      <c r="A51" s="16">
        <v>49</v>
      </c>
      <c r="B51" s="17">
        <v>47575</v>
      </c>
      <c r="C51" s="18">
        <v>932.4</v>
      </c>
      <c r="D51" s="18">
        <v>451.23</v>
      </c>
      <c r="E51" s="18">
        <v>1383.63</v>
      </c>
      <c r="F51" s="18">
        <v>58099.1</v>
      </c>
    </row>
    <row r="52" spans="1:6" x14ac:dyDescent="0.2">
      <c r="A52" s="16">
        <v>50</v>
      </c>
      <c r="B52" s="17">
        <v>47605</v>
      </c>
      <c r="C52" s="18">
        <v>939.4</v>
      </c>
      <c r="D52" s="18">
        <v>429.77</v>
      </c>
      <c r="E52" s="18">
        <v>1369.17</v>
      </c>
      <c r="F52" s="18">
        <v>57159.7</v>
      </c>
    </row>
    <row r="53" spans="1:6" x14ac:dyDescent="0.2">
      <c r="A53" s="16">
        <v>51</v>
      </c>
      <c r="B53" s="17">
        <v>47636</v>
      </c>
      <c r="C53" s="18">
        <v>946.44</v>
      </c>
      <c r="D53" s="18">
        <v>436.92</v>
      </c>
      <c r="E53" s="18">
        <v>1383.36</v>
      </c>
      <c r="F53" s="18">
        <v>56213.26</v>
      </c>
    </row>
    <row r="54" spans="1:6" x14ac:dyDescent="0.2">
      <c r="A54" s="16">
        <v>52</v>
      </c>
      <c r="B54" s="17">
        <v>47666</v>
      </c>
      <c r="C54" s="18">
        <v>953.54</v>
      </c>
      <c r="D54" s="18">
        <v>415.82</v>
      </c>
      <c r="E54" s="18">
        <v>1369.36</v>
      </c>
      <c r="F54" s="18">
        <v>55259.72</v>
      </c>
    </row>
    <row r="55" spans="1:6" x14ac:dyDescent="0.2">
      <c r="A55" s="16">
        <v>53</v>
      </c>
      <c r="B55" s="17">
        <v>47697</v>
      </c>
      <c r="C55" s="18">
        <v>960.69</v>
      </c>
      <c r="D55" s="18">
        <v>422.4</v>
      </c>
      <c r="E55" s="18">
        <v>1383.09</v>
      </c>
      <c r="F55" s="18">
        <v>54299.03</v>
      </c>
    </row>
    <row r="56" spans="1:6" x14ac:dyDescent="0.2">
      <c r="A56" s="16">
        <v>54</v>
      </c>
      <c r="B56" s="17">
        <v>47728</v>
      </c>
      <c r="C56" s="18">
        <v>967.9</v>
      </c>
      <c r="D56" s="18">
        <v>415.05</v>
      </c>
      <c r="E56" s="18">
        <v>1382.95</v>
      </c>
      <c r="F56" s="18">
        <v>53331.13</v>
      </c>
    </row>
    <row r="57" spans="1:6" x14ac:dyDescent="0.2">
      <c r="A57" s="16">
        <v>55</v>
      </c>
      <c r="B57" s="17">
        <v>47758</v>
      </c>
      <c r="C57" s="18">
        <v>975.16</v>
      </c>
      <c r="D57" s="18">
        <v>394.5</v>
      </c>
      <c r="E57" s="18">
        <v>1369.66</v>
      </c>
      <c r="F57" s="18">
        <v>52355.97</v>
      </c>
    </row>
    <row r="58" spans="1:6" x14ac:dyDescent="0.2">
      <c r="A58" s="16">
        <v>56</v>
      </c>
      <c r="B58" s="17">
        <v>47789</v>
      </c>
      <c r="C58" s="18">
        <v>982.47</v>
      </c>
      <c r="D58" s="18">
        <v>400.2</v>
      </c>
      <c r="E58" s="18">
        <v>1382.67</v>
      </c>
      <c r="F58" s="18">
        <v>51373.5</v>
      </c>
    </row>
    <row r="59" spans="1:6" x14ac:dyDescent="0.2">
      <c r="A59" s="16">
        <v>57</v>
      </c>
      <c r="B59" s="17">
        <v>47819</v>
      </c>
      <c r="C59" s="18">
        <v>989.84</v>
      </c>
      <c r="D59" s="18">
        <v>380.02</v>
      </c>
      <c r="E59" s="18">
        <v>1369.86</v>
      </c>
      <c r="F59" s="18">
        <v>50383.66</v>
      </c>
    </row>
    <row r="60" spans="1:6" x14ac:dyDescent="0.2">
      <c r="A60" s="16">
        <v>58</v>
      </c>
      <c r="B60" s="17">
        <v>47850</v>
      </c>
      <c r="C60" s="18">
        <v>997.26</v>
      </c>
      <c r="D60" s="18">
        <v>385.12</v>
      </c>
      <c r="E60" s="18">
        <v>1382.38</v>
      </c>
      <c r="F60" s="18">
        <v>49386.400000000001</v>
      </c>
    </row>
    <row r="61" spans="1:6" x14ac:dyDescent="0.2">
      <c r="A61" s="16">
        <v>59</v>
      </c>
      <c r="B61" s="17">
        <v>47881</v>
      </c>
      <c r="C61" s="18">
        <v>1004.74</v>
      </c>
      <c r="D61" s="18">
        <v>377.5</v>
      </c>
      <c r="E61" s="18">
        <v>1382.24</v>
      </c>
      <c r="F61" s="18">
        <v>48381.66</v>
      </c>
    </row>
    <row r="62" spans="1:6" x14ac:dyDescent="0.2">
      <c r="A62" s="16">
        <v>60</v>
      </c>
      <c r="B62" s="17">
        <v>47909</v>
      </c>
      <c r="C62" s="18">
        <v>1012.28</v>
      </c>
      <c r="D62" s="18">
        <v>334.03</v>
      </c>
      <c r="E62" s="18">
        <v>1346.31</v>
      </c>
      <c r="F62" s="18">
        <v>47369.38</v>
      </c>
    </row>
    <row r="63" spans="1:6" x14ac:dyDescent="0.2">
      <c r="A63" s="16">
        <v>61</v>
      </c>
      <c r="B63" s="17">
        <v>47940</v>
      </c>
      <c r="C63" s="18">
        <v>1019.87</v>
      </c>
      <c r="D63" s="18">
        <v>362.08</v>
      </c>
      <c r="E63" s="18">
        <v>1381.95</v>
      </c>
      <c r="F63" s="18">
        <v>46349.51</v>
      </c>
    </row>
    <row r="64" spans="1:6" x14ac:dyDescent="0.2">
      <c r="A64" s="16">
        <v>62</v>
      </c>
      <c r="B64" s="17">
        <v>47970</v>
      </c>
      <c r="C64" s="18">
        <v>1027.52</v>
      </c>
      <c r="D64" s="18">
        <v>342.86</v>
      </c>
      <c r="E64" s="18">
        <v>1370.38</v>
      </c>
      <c r="F64" s="18">
        <v>45321.99</v>
      </c>
    </row>
    <row r="65" spans="1:6" x14ac:dyDescent="0.2">
      <c r="A65" s="16">
        <v>63</v>
      </c>
      <c r="B65" s="17">
        <v>48001</v>
      </c>
      <c r="C65" s="18">
        <v>1035.23</v>
      </c>
      <c r="D65" s="18">
        <v>346.43</v>
      </c>
      <c r="E65" s="18">
        <v>1381.66</v>
      </c>
      <c r="F65" s="18">
        <v>44286.76</v>
      </c>
    </row>
    <row r="66" spans="1:6" x14ac:dyDescent="0.2">
      <c r="A66" s="16">
        <v>64</v>
      </c>
      <c r="B66" s="17">
        <v>48031</v>
      </c>
      <c r="C66" s="18">
        <v>1042.99</v>
      </c>
      <c r="D66" s="18">
        <v>327.60000000000002</v>
      </c>
      <c r="E66" s="18">
        <v>1370.59</v>
      </c>
      <c r="F66" s="18">
        <v>43243.77</v>
      </c>
    </row>
    <row r="67" spans="1:6" x14ac:dyDescent="0.2">
      <c r="A67" s="16">
        <v>65</v>
      </c>
      <c r="B67" s="17">
        <v>48062</v>
      </c>
      <c r="C67" s="18">
        <v>1050.81</v>
      </c>
      <c r="D67" s="18">
        <v>330.55</v>
      </c>
      <c r="E67" s="18">
        <v>1381.36</v>
      </c>
      <c r="F67" s="18">
        <v>42192.959999999999</v>
      </c>
    </row>
    <row r="68" spans="1:6" x14ac:dyDescent="0.2">
      <c r="A68" s="16">
        <v>66</v>
      </c>
      <c r="B68" s="17">
        <v>48093</v>
      </c>
      <c r="C68" s="18">
        <v>1058.69</v>
      </c>
      <c r="D68" s="18">
        <v>322.52</v>
      </c>
      <c r="E68" s="18">
        <v>1381.21</v>
      </c>
      <c r="F68" s="18">
        <v>41134.269999999997</v>
      </c>
    </row>
    <row r="69" spans="1:6" x14ac:dyDescent="0.2">
      <c r="A69" s="16">
        <v>67</v>
      </c>
      <c r="B69" s="17">
        <v>48123</v>
      </c>
      <c r="C69" s="18">
        <v>1066.6300000000001</v>
      </c>
      <c r="D69" s="18">
        <v>304.27999999999997</v>
      </c>
      <c r="E69" s="18">
        <v>1370.91</v>
      </c>
      <c r="F69" s="18">
        <v>40067.64</v>
      </c>
    </row>
    <row r="70" spans="1:6" x14ac:dyDescent="0.2">
      <c r="A70" s="16">
        <v>68</v>
      </c>
      <c r="B70" s="17">
        <v>48154</v>
      </c>
      <c r="C70" s="18">
        <v>1074.6300000000001</v>
      </c>
      <c r="D70" s="18">
        <v>306.27</v>
      </c>
      <c r="E70" s="18">
        <v>1380.9</v>
      </c>
      <c r="F70" s="18">
        <v>38993.01</v>
      </c>
    </row>
    <row r="71" spans="1:6" x14ac:dyDescent="0.2">
      <c r="A71" s="16">
        <v>69</v>
      </c>
      <c r="B71" s="17">
        <v>48184</v>
      </c>
      <c r="C71" s="18">
        <v>1082.69</v>
      </c>
      <c r="D71" s="18">
        <v>288.44</v>
      </c>
      <c r="E71" s="18">
        <v>1371.13</v>
      </c>
      <c r="F71" s="18">
        <v>37910.32</v>
      </c>
    </row>
    <row r="72" spans="1:6" x14ac:dyDescent="0.2">
      <c r="A72" s="16">
        <v>70</v>
      </c>
      <c r="B72" s="17">
        <v>48215</v>
      </c>
      <c r="C72" s="18">
        <v>1090.81</v>
      </c>
      <c r="D72" s="18">
        <v>289.75</v>
      </c>
      <c r="E72" s="18">
        <v>1380.56</v>
      </c>
      <c r="F72" s="18">
        <v>36819.51</v>
      </c>
    </row>
    <row r="73" spans="1:6" x14ac:dyDescent="0.2">
      <c r="A73" s="16">
        <v>71</v>
      </c>
      <c r="B73" s="17">
        <v>48246</v>
      </c>
      <c r="C73" s="18">
        <v>1098.99</v>
      </c>
      <c r="D73" s="18">
        <v>280.67</v>
      </c>
      <c r="E73" s="18">
        <v>1379.66</v>
      </c>
      <c r="F73" s="18">
        <v>35720.519999999997</v>
      </c>
    </row>
    <row r="74" spans="1:6" x14ac:dyDescent="0.2">
      <c r="A74" s="16">
        <v>72</v>
      </c>
      <c r="B74" s="17">
        <v>48275</v>
      </c>
      <c r="C74" s="18">
        <v>1107.24</v>
      </c>
      <c r="D74" s="18">
        <v>254.73</v>
      </c>
      <c r="E74" s="18">
        <v>1361.97</v>
      </c>
      <c r="F74" s="18">
        <v>34613.279999999999</v>
      </c>
    </row>
    <row r="75" spans="1:6" x14ac:dyDescent="0.2">
      <c r="A75" s="16">
        <v>73</v>
      </c>
      <c r="B75" s="17">
        <v>48306</v>
      </c>
      <c r="C75" s="18">
        <v>1115.54</v>
      </c>
      <c r="D75" s="18">
        <v>263.86</v>
      </c>
      <c r="E75" s="18">
        <v>1379.4</v>
      </c>
      <c r="F75" s="18">
        <v>33497.74</v>
      </c>
    </row>
    <row r="76" spans="1:6" x14ac:dyDescent="0.2">
      <c r="A76" s="16">
        <v>74</v>
      </c>
      <c r="B76" s="17">
        <v>48336</v>
      </c>
      <c r="C76" s="18">
        <v>1123.9100000000001</v>
      </c>
      <c r="D76" s="18">
        <v>247.11</v>
      </c>
      <c r="E76" s="18">
        <v>1371.02</v>
      </c>
      <c r="F76" s="18">
        <v>32373.83</v>
      </c>
    </row>
    <row r="77" spans="1:6" x14ac:dyDescent="0.2">
      <c r="A77" s="16">
        <v>75</v>
      </c>
      <c r="B77" s="17">
        <v>48367</v>
      </c>
      <c r="C77" s="18">
        <v>1132.3399999999999</v>
      </c>
      <c r="D77" s="18">
        <v>246.78</v>
      </c>
      <c r="E77" s="18">
        <v>1379.12</v>
      </c>
      <c r="F77" s="18">
        <v>31241.49</v>
      </c>
    </row>
    <row r="78" spans="1:6" x14ac:dyDescent="0.2">
      <c r="A78" s="16">
        <v>76</v>
      </c>
      <c r="B78" s="17">
        <v>48397</v>
      </c>
      <c r="C78" s="18">
        <v>1140.83</v>
      </c>
      <c r="D78" s="18">
        <v>230.47</v>
      </c>
      <c r="E78" s="18">
        <v>1371.3</v>
      </c>
      <c r="F78" s="18">
        <v>30100.66</v>
      </c>
    </row>
    <row r="79" spans="1:6" x14ac:dyDescent="0.2">
      <c r="A79" s="16">
        <v>77</v>
      </c>
      <c r="B79" s="17">
        <v>48428</v>
      </c>
      <c r="C79" s="18">
        <v>1149.3900000000001</v>
      </c>
      <c r="D79" s="18">
        <v>229.46</v>
      </c>
      <c r="E79" s="18">
        <v>1378.85</v>
      </c>
      <c r="F79" s="18">
        <v>28951.27</v>
      </c>
    </row>
    <row r="80" spans="1:6" x14ac:dyDescent="0.2">
      <c r="A80" s="16">
        <v>78</v>
      </c>
      <c r="B80" s="17">
        <v>48459</v>
      </c>
      <c r="C80" s="18">
        <v>1158.01</v>
      </c>
      <c r="D80" s="18">
        <v>220.69</v>
      </c>
      <c r="E80" s="18">
        <v>1378.7</v>
      </c>
      <c r="F80" s="18">
        <v>27793.26</v>
      </c>
    </row>
    <row r="81" spans="1:6" x14ac:dyDescent="0.2">
      <c r="A81" s="16">
        <v>79</v>
      </c>
      <c r="B81" s="17">
        <v>48489</v>
      </c>
      <c r="C81" s="18">
        <v>1166.69</v>
      </c>
      <c r="D81" s="18">
        <v>205.03</v>
      </c>
      <c r="E81" s="18">
        <v>1371.72</v>
      </c>
      <c r="F81" s="18">
        <v>26626.57</v>
      </c>
    </row>
    <row r="82" spans="1:6" x14ac:dyDescent="0.2">
      <c r="A82" s="16">
        <v>80</v>
      </c>
      <c r="B82" s="17">
        <v>48520</v>
      </c>
      <c r="C82" s="18">
        <v>1175.44</v>
      </c>
      <c r="D82" s="18">
        <v>202.97</v>
      </c>
      <c r="E82" s="18">
        <v>1378.41</v>
      </c>
      <c r="F82" s="18">
        <v>25451.13</v>
      </c>
    </row>
    <row r="83" spans="1:6" x14ac:dyDescent="0.2">
      <c r="A83" s="16">
        <v>81</v>
      </c>
      <c r="B83" s="17">
        <v>48550</v>
      </c>
      <c r="C83" s="18">
        <v>1184.26</v>
      </c>
      <c r="D83" s="18">
        <v>187.75</v>
      </c>
      <c r="E83" s="18">
        <v>1372.01</v>
      </c>
      <c r="F83" s="18">
        <v>24266.87</v>
      </c>
    </row>
    <row r="84" spans="1:6" x14ac:dyDescent="0.2">
      <c r="A84" s="16">
        <v>82</v>
      </c>
      <c r="B84" s="17">
        <v>48581</v>
      </c>
      <c r="C84" s="18">
        <v>1193.1400000000001</v>
      </c>
      <c r="D84" s="18">
        <v>185</v>
      </c>
      <c r="E84" s="18">
        <v>1378.14</v>
      </c>
      <c r="F84" s="18">
        <v>23073.73</v>
      </c>
    </row>
    <row r="85" spans="1:6" x14ac:dyDescent="0.2">
      <c r="A85" s="16">
        <v>83</v>
      </c>
      <c r="B85" s="17">
        <v>48612</v>
      </c>
      <c r="C85" s="18">
        <v>1202.0899999999999</v>
      </c>
      <c r="D85" s="18">
        <v>176.37</v>
      </c>
      <c r="E85" s="18">
        <v>1378.46</v>
      </c>
      <c r="F85" s="18">
        <v>21871.64</v>
      </c>
    </row>
    <row r="86" spans="1:6" x14ac:dyDescent="0.2">
      <c r="A86" s="16">
        <v>84</v>
      </c>
      <c r="B86" s="17">
        <v>48640</v>
      </c>
      <c r="C86" s="18">
        <v>1211.0999999999999</v>
      </c>
      <c r="D86" s="18">
        <v>151</v>
      </c>
      <c r="E86" s="18">
        <v>1362.1</v>
      </c>
      <c r="F86" s="18">
        <v>20660.54</v>
      </c>
    </row>
    <row r="87" spans="1:6" x14ac:dyDescent="0.2">
      <c r="A87" s="16">
        <v>85</v>
      </c>
      <c r="B87" s="17">
        <v>48671</v>
      </c>
      <c r="C87" s="18">
        <v>1220.19</v>
      </c>
      <c r="D87" s="18">
        <v>157.93</v>
      </c>
      <c r="E87" s="18">
        <v>1378.12</v>
      </c>
      <c r="F87" s="18">
        <v>19440.349999999999</v>
      </c>
    </row>
    <row r="88" spans="1:6" x14ac:dyDescent="0.2">
      <c r="A88" s="16">
        <v>86</v>
      </c>
      <c r="B88" s="17">
        <v>48701</v>
      </c>
      <c r="C88" s="18">
        <v>1229.3399999999999</v>
      </c>
      <c r="D88" s="18">
        <v>143.81</v>
      </c>
      <c r="E88" s="18">
        <v>1373.15</v>
      </c>
      <c r="F88" s="18">
        <v>18211.009999999998</v>
      </c>
    </row>
    <row r="89" spans="1:6" x14ac:dyDescent="0.2">
      <c r="A89" s="16">
        <v>87</v>
      </c>
      <c r="B89" s="17">
        <v>48732</v>
      </c>
      <c r="C89" s="18">
        <v>1238.56</v>
      </c>
      <c r="D89" s="18">
        <v>139.19999999999999</v>
      </c>
      <c r="E89" s="18">
        <v>1377.76</v>
      </c>
      <c r="F89" s="18">
        <v>16972.45</v>
      </c>
    </row>
    <row r="90" spans="1:6" x14ac:dyDescent="0.2">
      <c r="A90" s="16">
        <v>88</v>
      </c>
      <c r="B90" s="17">
        <v>48762</v>
      </c>
      <c r="C90" s="18">
        <v>1247.8499999999999</v>
      </c>
      <c r="D90" s="18">
        <v>125.55</v>
      </c>
      <c r="E90" s="18">
        <v>1373.4</v>
      </c>
      <c r="F90" s="18">
        <v>15724.6</v>
      </c>
    </row>
    <row r="91" spans="1:6" x14ac:dyDescent="0.2">
      <c r="A91" s="16">
        <v>89</v>
      </c>
      <c r="B91" s="17">
        <v>48793</v>
      </c>
      <c r="C91" s="18">
        <v>1257.21</v>
      </c>
      <c r="D91" s="18">
        <v>120.2</v>
      </c>
      <c r="E91" s="18">
        <v>1377.41</v>
      </c>
      <c r="F91" s="18">
        <v>14467.39</v>
      </c>
    </row>
    <row r="92" spans="1:6" x14ac:dyDescent="0.2">
      <c r="A92" s="16">
        <v>90</v>
      </c>
      <c r="B92" s="17">
        <v>48824</v>
      </c>
      <c r="C92" s="18">
        <v>1266.6300000000001</v>
      </c>
      <c r="D92" s="18">
        <v>110.59</v>
      </c>
      <c r="E92" s="18">
        <v>1377.22</v>
      </c>
      <c r="F92" s="18">
        <v>13200.76</v>
      </c>
    </row>
    <row r="93" spans="1:6" x14ac:dyDescent="0.2">
      <c r="A93" s="16">
        <v>91</v>
      </c>
      <c r="B93" s="17">
        <v>48854</v>
      </c>
      <c r="C93" s="18">
        <v>1276.1300000000001</v>
      </c>
      <c r="D93" s="18">
        <v>97.65</v>
      </c>
      <c r="E93" s="18">
        <v>1373.78</v>
      </c>
      <c r="F93" s="18">
        <v>11924.63</v>
      </c>
    </row>
    <row r="94" spans="1:6" x14ac:dyDescent="0.2">
      <c r="A94" s="16">
        <v>92</v>
      </c>
      <c r="B94" s="17">
        <v>48885</v>
      </c>
      <c r="C94" s="18">
        <v>1285.71</v>
      </c>
      <c r="D94" s="18">
        <v>91.15</v>
      </c>
      <c r="E94" s="18">
        <v>1376.86</v>
      </c>
      <c r="F94" s="18">
        <v>10638.92</v>
      </c>
    </row>
    <row r="95" spans="1:6" x14ac:dyDescent="0.2">
      <c r="A95" s="16">
        <v>93</v>
      </c>
      <c r="B95" s="17">
        <v>48915</v>
      </c>
      <c r="C95" s="18">
        <v>1295.3499999999999</v>
      </c>
      <c r="D95" s="18">
        <v>78.7</v>
      </c>
      <c r="E95" s="18">
        <v>1374.05</v>
      </c>
      <c r="F95" s="18">
        <v>9343.57</v>
      </c>
    </row>
    <row r="96" spans="1:6" x14ac:dyDescent="0.2">
      <c r="A96" s="16">
        <v>94</v>
      </c>
      <c r="B96" s="17">
        <v>48946</v>
      </c>
      <c r="C96" s="18">
        <v>1305.06</v>
      </c>
      <c r="D96" s="18">
        <v>71.42</v>
      </c>
      <c r="E96" s="18">
        <v>1376.48</v>
      </c>
      <c r="F96" s="18">
        <v>8058.51</v>
      </c>
    </row>
    <row r="97" spans="1:6" x14ac:dyDescent="0.2">
      <c r="A97" s="16">
        <v>95</v>
      </c>
      <c r="B97" s="17">
        <v>48977</v>
      </c>
      <c r="C97" s="18">
        <v>1314.85</v>
      </c>
      <c r="D97" s="18">
        <v>61.45</v>
      </c>
      <c r="E97" s="18">
        <v>1376.3</v>
      </c>
      <c r="F97" s="18">
        <v>6723.66</v>
      </c>
    </row>
    <row r="98" spans="1:6" x14ac:dyDescent="0.2">
      <c r="A98" s="16">
        <v>96</v>
      </c>
      <c r="B98" s="17">
        <v>49005</v>
      </c>
      <c r="C98" s="18">
        <v>1324.71</v>
      </c>
      <c r="D98" s="18">
        <v>46.42</v>
      </c>
      <c r="E98" s="18">
        <v>1371.13</v>
      </c>
      <c r="F98" s="18">
        <v>5398.95</v>
      </c>
    </row>
    <row r="99" spans="1:6" x14ac:dyDescent="0.2">
      <c r="A99" s="16">
        <v>97</v>
      </c>
      <c r="B99" s="17">
        <v>49036</v>
      </c>
      <c r="C99" s="18">
        <v>1334.65</v>
      </c>
      <c r="D99" s="18">
        <v>41.27</v>
      </c>
      <c r="E99" s="18">
        <v>1375.92</v>
      </c>
      <c r="F99" s="18">
        <v>4064.3</v>
      </c>
    </row>
    <row r="100" spans="1:6" x14ac:dyDescent="0.2">
      <c r="A100" s="16">
        <v>98</v>
      </c>
      <c r="B100" s="17">
        <v>49066</v>
      </c>
      <c r="C100" s="18">
        <v>1344.66</v>
      </c>
      <c r="D100" s="18">
        <v>30.06</v>
      </c>
      <c r="E100" s="18">
        <v>1374.72</v>
      </c>
      <c r="F100" s="18">
        <v>2719.64</v>
      </c>
    </row>
    <row r="101" spans="1:6" x14ac:dyDescent="0.2">
      <c r="A101" s="16">
        <v>99</v>
      </c>
      <c r="B101" s="17">
        <v>49097</v>
      </c>
      <c r="C101" s="18">
        <v>1354.74</v>
      </c>
      <c r="D101" s="18">
        <v>20.79</v>
      </c>
      <c r="E101" s="18">
        <v>1375.53</v>
      </c>
      <c r="F101" s="18">
        <v>1364.9</v>
      </c>
    </row>
    <row r="102" spans="1:6" x14ac:dyDescent="0.2">
      <c r="A102" s="16">
        <v>100</v>
      </c>
      <c r="B102" s="17">
        <v>49127</v>
      </c>
      <c r="C102" s="18">
        <v>1364.9</v>
      </c>
      <c r="D102" s="18">
        <v>10.16</v>
      </c>
      <c r="E102" s="18">
        <v>1375</v>
      </c>
      <c r="F102" s="18">
        <v>0</v>
      </c>
    </row>
  </sheetData>
  <mergeCells count="1">
    <mergeCell ref="A1:F1"/>
  </mergeCells>
  <conditionalFormatting sqref="A3:F102">
    <cfRule type="expression" dxfId="1" priority="1" stopIfTrue="1">
      <formula>$B3=_xlfn.MAXIFS($B$3:$B$102,$B$3:$B$102,"&lt;="&amp;TODAY())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9ABF-B996-49FD-BAA7-48FA51446AFB}">
  <dimension ref="A1:F18"/>
  <sheetViews>
    <sheetView rightToLeft="1" workbookViewId="0">
      <selection sqref="A1:F1"/>
    </sheetView>
  </sheetViews>
  <sheetFormatPr defaultRowHeight="14.25" x14ac:dyDescent="0.2"/>
  <cols>
    <col min="1" max="1" width="10.625" customWidth="1"/>
    <col min="2" max="4" width="14.625" customWidth="1"/>
    <col min="5" max="5" width="16.625" customWidth="1"/>
    <col min="6" max="6" width="20.625" customWidth="1"/>
  </cols>
  <sheetData>
    <row r="1" spans="1:6" ht="24" customHeight="1" x14ac:dyDescent="0.25">
      <c r="A1" s="45" t="s">
        <v>34</v>
      </c>
      <c r="B1" s="43"/>
      <c r="C1" s="43"/>
      <c r="D1" s="43"/>
      <c r="E1" s="43"/>
      <c r="F1" s="43"/>
    </row>
    <row r="2" spans="1:6" ht="15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spans="1:6" x14ac:dyDescent="0.2">
      <c r="A3" s="16">
        <v>1</v>
      </c>
      <c r="B3" s="17">
        <v>46122</v>
      </c>
      <c r="C3" s="18">
        <v>0</v>
      </c>
      <c r="D3" s="18">
        <v>89.51</v>
      </c>
      <c r="E3" s="18">
        <v>89.51</v>
      </c>
      <c r="F3" s="18">
        <v>30000</v>
      </c>
    </row>
    <row r="4" spans="1:6" x14ac:dyDescent="0.2">
      <c r="A4" s="16">
        <v>2</v>
      </c>
      <c r="B4" s="17">
        <v>46152</v>
      </c>
      <c r="C4" s="18">
        <v>0</v>
      </c>
      <c r="D4" s="18">
        <v>81.37</v>
      </c>
      <c r="E4" s="18">
        <v>81.37</v>
      </c>
      <c r="F4" s="18">
        <v>30000</v>
      </c>
    </row>
    <row r="5" spans="1:6" x14ac:dyDescent="0.2">
      <c r="A5" s="16">
        <v>3</v>
      </c>
      <c r="B5" s="17">
        <v>46183</v>
      </c>
      <c r="C5" s="18">
        <v>2104.8200000000002</v>
      </c>
      <c r="D5" s="18">
        <v>82.5</v>
      </c>
      <c r="E5" s="18">
        <v>2187.3200000000002</v>
      </c>
      <c r="F5" s="18">
        <v>27895.18</v>
      </c>
    </row>
    <row r="6" spans="1:6" x14ac:dyDescent="0.2">
      <c r="A6" s="16">
        <v>4</v>
      </c>
      <c r="B6" s="17">
        <v>46213</v>
      </c>
      <c r="C6" s="18">
        <v>2110.61</v>
      </c>
      <c r="D6" s="18">
        <v>76.709999999999994</v>
      </c>
      <c r="E6" s="18">
        <v>2187.3200000000002</v>
      </c>
      <c r="F6" s="18">
        <v>25784.57</v>
      </c>
    </row>
    <row r="7" spans="1:6" x14ac:dyDescent="0.2">
      <c r="A7" s="16">
        <v>5</v>
      </c>
      <c r="B7" s="17">
        <v>46244</v>
      </c>
      <c r="C7" s="18">
        <v>2116.41</v>
      </c>
      <c r="D7" s="18">
        <v>70.91</v>
      </c>
      <c r="E7" s="18">
        <v>2187.3200000000002</v>
      </c>
      <c r="F7" s="18">
        <v>23668.16</v>
      </c>
    </row>
    <row r="8" spans="1:6" x14ac:dyDescent="0.2">
      <c r="A8" s="16">
        <v>6</v>
      </c>
      <c r="B8" s="17">
        <v>46275</v>
      </c>
      <c r="C8" s="18">
        <v>2122.23</v>
      </c>
      <c r="D8" s="18">
        <v>65.09</v>
      </c>
      <c r="E8" s="18">
        <v>2187.3200000000002</v>
      </c>
      <c r="F8" s="18">
        <v>21545.93</v>
      </c>
    </row>
    <row r="9" spans="1:6" x14ac:dyDescent="0.2">
      <c r="A9" s="16">
        <v>7</v>
      </c>
      <c r="B9" s="17">
        <v>46305</v>
      </c>
      <c r="C9" s="18">
        <v>2128.0700000000002</v>
      </c>
      <c r="D9" s="18">
        <v>59.25</v>
      </c>
      <c r="E9" s="18">
        <v>2187.3200000000002</v>
      </c>
      <c r="F9" s="18">
        <v>19417.86</v>
      </c>
    </row>
    <row r="10" spans="1:6" x14ac:dyDescent="0.2">
      <c r="A10" s="16">
        <v>8</v>
      </c>
      <c r="B10" s="17">
        <v>46336</v>
      </c>
      <c r="C10" s="18">
        <v>2133.92</v>
      </c>
      <c r="D10" s="18">
        <v>53.4</v>
      </c>
      <c r="E10" s="18">
        <v>2187.3200000000002</v>
      </c>
      <c r="F10" s="18">
        <v>17283.939999999999</v>
      </c>
    </row>
    <row r="11" spans="1:6" x14ac:dyDescent="0.2">
      <c r="A11" s="16">
        <v>9</v>
      </c>
      <c r="B11" s="17">
        <v>46366</v>
      </c>
      <c r="C11" s="18">
        <v>2139.79</v>
      </c>
      <c r="D11" s="18">
        <v>47.53</v>
      </c>
      <c r="E11" s="18">
        <v>2187.3200000000002</v>
      </c>
      <c r="F11" s="18">
        <v>15144.15</v>
      </c>
    </row>
    <row r="12" spans="1:6" x14ac:dyDescent="0.2">
      <c r="A12" s="16">
        <v>10</v>
      </c>
      <c r="B12" s="17">
        <v>46397</v>
      </c>
      <c r="C12" s="18">
        <v>2145.67</v>
      </c>
      <c r="D12" s="18">
        <v>41.65</v>
      </c>
      <c r="E12" s="18">
        <v>2187.3200000000002</v>
      </c>
      <c r="F12" s="18">
        <v>12998.48</v>
      </c>
    </row>
    <row r="13" spans="1:6" x14ac:dyDescent="0.2">
      <c r="A13" s="16">
        <v>11</v>
      </c>
      <c r="B13" s="17">
        <v>46428</v>
      </c>
      <c r="C13" s="18">
        <v>2151.5700000000002</v>
      </c>
      <c r="D13" s="18">
        <v>35.75</v>
      </c>
      <c r="E13" s="18">
        <v>2187.3200000000002</v>
      </c>
      <c r="F13" s="18">
        <v>10846.91</v>
      </c>
    </row>
    <row r="14" spans="1:6" x14ac:dyDescent="0.2">
      <c r="A14" s="16">
        <v>12</v>
      </c>
      <c r="B14" s="17">
        <v>46456</v>
      </c>
      <c r="C14" s="18">
        <v>2157.4899999999998</v>
      </c>
      <c r="D14" s="18">
        <v>29.83</v>
      </c>
      <c r="E14" s="18">
        <v>2187.3200000000002</v>
      </c>
      <c r="F14" s="18">
        <v>8689.42</v>
      </c>
    </row>
    <row r="15" spans="1:6" x14ac:dyDescent="0.2">
      <c r="A15" s="16">
        <v>13</v>
      </c>
      <c r="B15" s="17">
        <v>46487</v>
      </c>
      <c r="C15" s="18">
        <v>2163.42</v>
      </c>
      <c r="D15" s="18">
        <v>23.9</v>
      </c>
      <c r="E15" s="18">
        <v>2187.3200000000002</v>
      </c>
      <c r="F15" s="18">
        <v>6526</v>
      </c>
    </row>
    <row r="16" spans="1:6" x14ac:dyDescent="0.2">
      <c r="A16" s="16">
        <v>14</v>
      </c>
      <c r="B16" s="17">
        <v>46517</v>
      </c>
      <c r="C16" s="18">
        <v>2169.37</v>
      </c>
      <c r="D16" s="18">
        <v>17.95</v>
      </c>
      <c r="E16" s="18">
        <v>2187.3200000000002</v>
      </c>
      <c r="F16" s="18">
        <v>4356.63</v>
      </c>
    </row>
    <row r="17" spans="1:6" x14ac:dyDescent="0.2">
      <c r="A17" s="16">
        <v>15</v>
      </c>
      <c r="B17" s="17">
        <v>46548</v>
      </c>
      <c r="C17" s="18">
        <v>2175.34</v>
      </c>
      <c r="D17" s="18">
        <v>11.98</v>
      </c>
      <c r="E17" s="18">
        <v>2187.3200000000002</v>
      </c>
      <c r="F17" s="18">
        <v>2181.29</v>
      </c>
    </row>
    <row r="18" spans="1:6" x14ac:dyDescent="0.2">
      <c r="A18" s="16">
        <v>16</v>
      </c>
      <c r="B18" s="17">
        <v>46578</v>
      </c>
      <c r="C18" s="18">
        <v>2181.29</v>
      </c>
      <c r="D18" s="18">
        <v>6</v>
      </c>
      <c r="E18" s="18">
        <v>2187.29</v>
      </c>
      <c r="F18" s="18">
        <v>0</v>
      </c>
    </row>
  </sheetData>
  <mergeCells count="1">
    <mergeCell ref="A1:F1"/>
  </mergeCells>
  <conditionalFormatting sqref="A3:F18">
    <cfRule type="expression" dxfId="0" priority="1" stopIfTrue="1">
      <formula>$B3=_xlfn.MAXIFS($B$3:$B$18,$B$3:$B$18,"&lt;="&amp;TODAY())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F394-60A0-4FB8-BB4F-4F22FB7E8898}">
  <dimension ref="A1:F32"/>
  <sheetViews>
    <sheetView rightToLeft="1" tabSelected="1" workbookViewId="0">
      <selection activeCell="A22" sqref="A22:XFD23"/>
    </sheetView>
  </sheetViews>
  <sheetFormatPr defaultRowHeight="14.25" x14ac:dyDescent="0.2"/>
  <cols>
    <col min="1" max="2" width="14.625" customWidth="1"/>
    <col min="3" max="3" width="12.625" customWidth="1"/>
    <col min="4" max="4" width="14.625" customWidth="1"/>
    <col min="5" max="5" width="12.625" customWidth="1"/>
    <col min="6" max="6" width="30.625" customWidth="1"/>
  </cols>
  <sheetData>
    <row r="1" spans="1:6" ht="24" customHeight="1" x14ac:dyDescent="0.25">
      <c r="A1" s="41" t="s">
        <v>71</v>
      </c>
      <c r="B1" s="41"/>
      <c r="C1" s="41"/>
      <c r="D1" s="41"/>
      <c r="E1" s="41"/>
      <c r="F1" s="41"/>
    </row>
    <row r="2" spans="1:6" ht="15" x14ac:dyDescent="0.25">
      <c r="A2" s="25" t="s">
        <v>2</v>
      </c>
      <c r="B2" s="25" t="s">
        <v>35</v>
      </c>
      <c r="C2" s="25" t="s">
        <v>36</v>
      </c>
      <c r="D2" s="25" t="s">
        <v>37</v>
      </c>
      <c r="E2" s="25" t="s">
        <v>38</v>
      </c>
      <c r="F2" s="25" t="s">
        <v>39</v>
      </c>
    </row>
    <row r="3" spans="1:6" x14ac:dyDescent="0.2">
      <c r="A3" s="26">
        <v>46114</v>
      </c>
      <c r="B3" s="27" t="s">
        <v>40</v>
      </c>
      <c r="C3" s="27" t="s">
        <v>10</v>
      </c>
      <c r="D3" s="28">
        <v>1579.41</v>
      </c>
      <c r="E3" s="27">
        <v>20543</v>
      </c>
      <c r="F3" s="27" t="s">
        <v>41</v>
      </c>
    </row>
    <row r="4" spans="1:6" x14ac:dyDescent="0.2">
      <c r="A4" s="26">
        <v>46144</v>
      </c>
      <c r="B4" s="27" t="s">
        <v>40</v>
      </c>
      <c r="C4" s="27" t="s">
        <v>10</v>
      </c>
      <c r="D4" s="28">
        <v>1365.3</v>
      </c>
      <c r="E4" s="27">
        <v>20543</v>
      </c>
      <c r="F4" s="27" t="s">
        <v>42</v>
      </c>
    </row>
    <row r="5" spans="1:6" x14ac:dyDescent="0.2">
      <c r="A5" s="26">
        <v>46175</v>
      </c>
      <c r="B5" s="27" t="s">
        <v>40</v>
      </c>
      <c r="C5" s="27" t="s">
        <v>10</v>
      </c>
      <c r="D5" s="28">
        <v>1362.1</v>
      </c>
      <c r="E5" s="27">
        <v>20543</v>
      </c>
      <c r="F5" s="27"/>
    </row>
    <row r="6" spans="1:6" x14ac:dyDescent="0.2">
      <c r="A6" s="26">
        <v>46205</v>
      </c>
      <c r="B6" s="27" t="s">
        <v>40</v>
      </c>
      <c r="C6" s="27" t="s">
        <v>10</v>
      </c>
      <c r="D6" s="28">
        <v>1346.01</v>
      </c>
      <c r="E6" s="27">
        <v>20543</v>
      </c>
      <c r="F6" s="27"/>
    </row>
    <row r="7" spans="1:6" x14ac:dyDescent="0.2">
      <c r="A7" s="26">
        <v>46236</v>
      </c>
      <c r="B7" s="27" t="s">
        <v>40</v>
      </c>
      <c r="C7" s="27" t="s">
        <v>10</v>
      </c>
      <c r="D7" s="28">
        <v>1353.28</v>
      </c>
      <c r="E7" s="27">
        <v>20543</v>
      </c>
      <c r="F7" s="27"/>
    </row>
    <row r="8" spans="1:6" x14ac:dyDescent="0.2">
      <c r="A8" s="26">
        <v>46267</v>
      </c>
      <c r="B8" s="27" t="s">
        <v>40</v>
      </c>
      <c r="C8" s="27" t="s">
        <v>10</v>
      </c>
      <c r="D8" s="28">
        <v>1348.97</v>
      </c>
      <c r="E8" s="27">
        <v>20543</v>
      </c>
      <c r="F8" s="27"/>
    </row>
    <row r="9" spans="1:6" x14ac:dyDescent="0.2">
      <c r="A9" s="29">
        <v>46033</v>
      </c>
      <c r="B9" s="30" t="s">
        <v>43</v>
      </c>
      <c r="C9" s="30" t="s">
        <v>44</v>
      </c>
      <c r="D9" s="31">
        <v>327.06</v>
      </c>
      <c r="E9" s="30">
        <v>602</v>
      </c>
      <c r="F9" s="30" t="s">
        <v>45</v>
      </c>
    </row>
    <row r="10" spans="1:6" x14ac:dyDescent="0.2">
      <c r="A10" s="29">
        <v>46063</v>
      </c>
      <c r="B10" s="30" t="s">
        <v>43</v>
      </c>
      <c r="C10" s="30" t="s">
        <v>44</v>
      </c>
      <c r="D10" s="31">
        <v>327.06</v>
      </c>
      <c r="E10" s="30">
        <v>602</v>
      </c>
      <c r="F10" s="30" t="s">
        <v>45</v>
      </c>
    </row>
    <row r="11" spans="1:6" x14ac:dyDescent="0.2">
      <c r="A11" s="29">
        <v>46091</v>
      </c>
      <c r="B11" s="30" t="s">
        <v>43</v>
      </c>
      <c r="C11" s="30" t="s">
        <v>44</v>
      </c>
      <c r="D11" s="31">
        <v>327</v>
      </c>
      <c r="E11" s="30">
        <v>602</v>
      </c>
      <c r="F11" s="30" t="s">
        <v>45</v>
      </c>
    </row>
    <row r="12" spans="1:6" x14ac:dyDescent="0.2">
      <c r="A12" s="29">
        <v>46122</v>
      </c>
      <c r="B12" s="30" t="s">
        <v>43</v>
      </c>
      <c r="C12" s="30" t="s">
        <v>44</v>
      </c>
      <c r="D12" s="31">
        <v>327.04000000000002</v>
      </c>
      <c r="E12" s="30">
        <v>602</v>
      </c>
      <c r="F12" s="30" t="s">
        <v>45</v>
      </c>
    </row>
    <row r="13" spans="1:6" x14ac:dyDescent="0.2">
      <c r="A13" s="26">
        <v>46122</v>
      </c>
      <c r="B13" s="27" t="s">
        <v>43</v>
      </c>
      <c r="C13" s="27" t="s">
        <v>10</v>
      </c>
      <c r="D13" s="28">
        <v>89.68</v>
      </c>
      <c r="E13" s="27">
        <v>602</v>
      </c>
      <c r="F13" s="27" t="s">
        <v>46</v>
      </c>
    </row>
    <row r="14" spans="1:6" x14ac:dyDescent="0.2">
      <c r="A14" s="29">
        <v>46152</v>
      </c>
      <c r="B14" s="30" t="s">
        <v>43</v>
      </c>
      <c r="C14" s="30" t="s">
        <v>44</v>
      </c>
      <c r="D14" s="31">
        <v>327.11</v>
      </c>
      <c r="E14" s="30">
        <v>602</v>
      </c>
      <c r="F14" s="30" t="s">
        <v>45</v>
      </c>
    </row>
    <row r="15" spans="1:6" x14ac:dyDescent="0.2">
      <c r="A15" s="26">
        <v>46152</v>
      </c>
      <c r="B15" s="27" t="s">
        <v>43</v>
      </c>
      <c r="C15" s="27" t="s">
        <v>10</v>
      </c>
      <c r="D15" s="28">
        <v>81.84</v>
      </c>
      <c r="E15" s="27">
        <v>602</v>
      </c>
      <c r="F15" s="27" t="s">
        <v>47</v>
      </c>
    </row>
    <row r="16" spans="1:6" x14ac:dyDescent="0.2">
      <c r="A16" s="29">
        <v>46183</v>
      </c>
      <c r="B16" s="30" t="s">
        <v>43</v>
      </c>
      <c r="C16" s="30" t="s">
        <v>44</v>
      </c>
      <c r="D16" s="31">
        <v>327.32</v>
      </c>
      <c r="E16" s="30">
        <v>602</v>
      </c>
      <c r="F16" s="30" t="s">
        <v>45</v>
      </c>
    </row>
    <row r="17" spans="1:6" x14ac:dyDescent="0.2">
      <c r="A17" s="26">
        <v>46183</v>
      </c>
      <c r="B17" s="27" t="s">
        <v>43</v>
      </c>
      <c r="C17" s="27" t="s">
        <v>10</v>
      </c>
      <c r="D17" s="28">
        <v>2225.44</v>
      </c>
      <c r="E17" s="27">
        <v>602</v>
      </c>
      <c r="F17" s="27" t="s">
        <v>48</v>
      </c>
    </row>
    <row r="18" spans="1:6" x14ac:dyDescent="0.2">
      <c r="A18" s="29">
        <v>46213</v>
      </c>
      <c r="B18" s="30" t="s">
        <v>43</v>
      </c>
      <c r="C18" s="30" t="s">
        <v>44</v>
      </c>
      <c r="D18" s="31">
        <v>327.27</v>
      </c>
      <c r="E18" s="30">
        <v>602</v>
      </c>
      <c r="F18" s="30" t="s">
        <v>45</v>
      </c>
    </row>
    <row r="19" spans="1:6" x14ac:dyDescent="0.2">
      <c r="A19" s="26">
        <v>46213</v>
      </c>
      <c r="B19" s="27" t="s">
        <v>43</v>
      </c>
      <c r="C19" s="27" t="s">
        <v>10</v>
      </c>
      <c r="D19" s="28">
        <v>2219.08</v>
      </c>
      <c r="E19" s="27">
        <v>602</v>
      </c>
      <c r="F19" s="27" t="s">
        <v>49</v>
      </c>
    </row>
    <row r="20" spans="1:6" x14ac:dyDescent="0.2">
      <c r="A20" s="29">
        <v>46244</v>
      </c>
      <c r="B20" s="30" t="s">
        <v>43</v>
      </c>
      <c r="C20" s="30" t="s">
        <v>44</v>
      </c>
      <c r="D20" s="31">
        <v>327.27</v>
      </c>
      <c r="E20" s="30">
        <v>602</v>
      </c>
      <c r="F20" s="30" t="s">
        <v>45</v>
      </c>
    </row>
    <row r="21" spans="1:6" x14ac:dyDescent="0.2">
      <c r="A21" s="26">
        <v>46244</v>
      </c>
      <c r="B21" s="27" t="s">
        <v>43</v>
      </c>
      <c r="C21" s="27" t="s">
        <v>10</v>
      </c>
      <c r="D21" s="28">
        <v>2219.08</v>
      </c>
      <c r="E21" s="27">
        <v>602</v>
      </c>
      <c r="F21" s="27" t="s">
        <v>50</v>
      </c>
    </row>
    <row r="22" spans="1:6" x14ac:dyDescent="0.2">
      <c r="A22" s="26">
        <v>46297</v>
      </c>
      <c r="B22" s="27" t="s">
        <v>40</v>
      </c>
      <c r="C22" s="27" t="s">
        <v>10</v>
      </c>
      <c r="D22" s="28">
        <v>1309.24</v>
      </c>
      <c r="E22" s="27">
        <v>20543</v>
      </c>
      <c r="F22" s="27" t="s">
        <v>72</v>
      </c>
    </row>
    <row r="23" spans="1:6" x14ac:dyDescent="0.2">
      <c r="A23" s="26">
        <v>46306</v>
      </c>
      <c r="B23" s="27" t="s">
        <v>43</v>
      </c>
      <c r="C23" s="27" t="s">
        <v>10</v>
      </c>
      <c r="D23" s="28">
        <v>2240.25</v>
      </c>
      <c r="E23" s="27">
        <v>602</v>
      </c>
      <c r="F23" s="27" t="s">
        <v>73</v>
      </c>
    </row>
    <row r="25" spans="1:6" ht="15" x14ac:dyDescent="0.25">
      <c r="A25" s="32" t="s">
        <v>51</v>
      </c>
      <c r="B25" s="32"/>
      <c r="C25" s="32"/>
      <c r="D25" s="34">
        <f>SUMIFS(D3:D23,B3:B23,"ישראכרט",C3:C23,"הלוואה")</f>
        <v>9664.31</v>
      </c>
      <c r="E25" s="32"/>
      <c r="F25" s="32"/>
    </row>
    <row r="26" spans="1:6" ht="15" x14ac:dyDescent="0.25">
      <c r="A26" s="32" t="s">
        <v>52</v>
      </c>
      <c r="B26" s="32"/>
      <c r="C26" s="32"/>
      <c r="D26" s="34">
        <f>SUMIFS(D3:D23,B3:B23,"מגדל",C3:C23,"הלוואה")</f>
        <v>9075.369999999999</v>
      </c>
      <c r="E26" s="32"/>
      <c r="F26" s="32"/>
    </row>
    <row r="27" spans="1:6" ht="15" x14ac:dyDescent="0.25">
      <c r="A27" s="33" t="s">
        <v>53</v>
      </c>
      <c r="B27" s="33"/>
      <c r="C27" s="33"/>
      <c r="D27" s="35">
        <f>D25+D26</f>
        <v>18739.68</v>
      </c>
      <c r="E27" s="33"/>
      <c r="F27" s="33"/>
    </row>
    <row r="28" spans="1:6" x14ac:dyDescent="0.2">
      <c r="A28" s="23" t="s">
        <v>54</v>
      </c>
      <c r="B28" s="23"/>
      <c r="C28" s="23"/>
      <c r="D28" s="24">
        <f>SUMIFS(D3:D23,C3:C23,"ביטוח")</f>
        <v>2617.1299999999997</v>
      </c>
      <c r="E28" s="23"/>
      <c r="F28" s="23"/>
    </row>
    <row r="30" spans="1:6" x14ac:dyDescent="0.2">
      <c r="A30" s="37" t="s">
        <v>55</v>
      </c>
    </row>
    <row r="31" spans="1:6" x14ac:dyDescent="0.2">
      <c r="A31" s="37" t="s">
        <v>56</v>
      </c>
    </row>
    <row r="32" spans="1:6" x14ac:dyDescent="0.2">
      <c r="A32" s="37" t="s">
        <v>57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סיכום</vt:lpstr>
      <vt:lpstr>לוח סילוקין - ישראכרט</vt:lpstr>
      <vt:lpstr>לוח סילוקין - מגדל</vt:lpstr>
      <vt:lpstr>חיובים בפועל - בנק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2026-08-13T11:46:19Z</dcterms:created>
  <dcterms:modified xsi:type="dcterms:W3CDTF">2026-10-13T07:04:49Z</dcterms:modified>
</cp:coreProperties>
</file>