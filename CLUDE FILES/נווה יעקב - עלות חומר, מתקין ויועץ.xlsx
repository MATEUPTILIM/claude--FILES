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יכום" sheetId="1" state="visible" r:id="rId3"/>
    <sheet name="פירוט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<sst xmlns="http://schemas.openxmlformats.org/spreadsheetml/2006/main" count="184" uniqueCount="104">
  <si>
    <t xml:space="preserve">נווה יעקב – כמה עלה החומר, המתקין והיועץ</t>
  </si>
  <si>
    <t xml:space="preserve">כל הסכומים לא כוללים מע"מ · מקור: גיליון "נווה יעקב" (קובץ מ-15/10/2026) + עדכוני שמואל. בידוד מרפסת רוטנברג (99,716) לא נכלל – עבר דרכנו ובית ירושלמי החזיר.</t>
  </si>
  <si>
    <t xml:space="preserve">שטח בפועל (מ"ר):</t>
  </si>
  <si>
    <t xml:space="preserve">סעיף</t>
  </si>
  <si>
    <t xml:space="preserve">עלות (₪)</t>
  </si>
  <si>
    <t xml:space="preserve">% מהעלות</t>
  </si>
  <si>
    <t xml:space="preserve">עלות למ"ר (₪)</t>
  </si>
  <si>
    <t xml:space="preserve">🧱 חומר</t>
  </si>
  <si>
    <t xml:space="preserve">      HPL – יבוא</t>
  </si>
  <si>
    <t xml:space="preserve">      קונסטרוקציה ופרופילים</t>
  </si>
  <si>
    <t xml:space="preserve">      ברגים וחומרי עזר</t>
  </si>
  <si>
    <t xml:space="preserve">      הובלת חומר</t>
  </si>
  <si>
    <t xml:space="preserve">👷 מתקין</t>
  </si>
  <si>
    <t xml:space="preserve">      קבלן מבצע – חאדר</t>
  </si>
  <si>
    <t xml:space="preserve">      קבלני משנה</t>
  </si>
  <si>
    <t xml:space="preserve">📐 יועץ</t>
  </si>
  <si>
    <t xml:space="preserve">      מהנדס</t>
  </si>
  <si>
    <t xml:space="preserve">📎 שונות</t>
  </si>
  <si>
    <t xml:space="preserve">      מדידות</t>
  </si>
  <si>
    <t xml:space="preserve">      תוכניות</t>
  </si>
  <si>
    <t xml:space="preserve">סה"כ עלות הפרויקט</t>
  </si>
  <si>
    <t xml:space="preserve">בדיקה מול גיליון הפירוט</t>
  </si>
  <si>
    <t xml:space="preserve">⚠️ לבדיקה</t>
  </si>
  <si>
    <t xml:space="preserve">גור את שיפר – חשבונית אחת בלי סכום – לא נספרה (החומר יכול לעלות יותר).</t>
  </si>
  <si>
    <t xml:space="preserve">מורט – אם ה-3,409.28 הוא תשלום נוסף ולא חלק מ-10,089, עלות היועץ 13,498.28.</t>
  </si>
  <si>
    <t xml:space="preserve">הובלת גרייטדור 7,197 – אם תקוזז מחאדר, החומר יורד ב-7,197 והמתקין עולה באותו סכום.</t>
  </si>
  <si>
    <t xml:space="preserve">חאדר – בגיליון "הוצאות שאין שיוך" יש גם "סדין קאפ" 10,000 + 6,520 "תשלום חאדר בית ירושלמי" – לוודא שאינם תוספת.</t>
  </si>
  <si>
    <t xml:space="preserve">מדידות 5,000 – אם כולל מע"מ, העלות לפני מע"מ 4,237.29.</t>
  </si>
  <si>
    <t xml:space="preserve">נווה יעקב – פירוט עלויות לפי חומר / מתקין / יועץ (לא כולל מע"מ)</t>
  </si>
  <si>
    <t xml:space="preserve">קבוצה</t>
  </si>
  <si>
    <t xml:space="preserve">תת-סעיף</t>
  </si>
  <si>
    <t xml:space="preserve">ספק / תיאור</t>
  </si>
  <si>
    <t xml:space="preserve">סכום (₪)</t>
  </si>
  <si>
    <t xml:space="preserve">סכום ($)</t>
  </si>
  <si>
    <t xml:space="preserve">הערות</t>
  </si>
  <si>
    <t xml:space="preserve">חומר</t>
  </si>
  <si>
    <t xml:space="preserve">HPL – יבוא</t>
  </si>
  <si>
    <t xml:space="preserve"> מכולה 1 – 384.61 מ"ר</t>
  </si>
  <si>
    <t xml:space="preserve">Shipment 1 – Commercial Invoice</t>
  </si>
  <si>
    <t xml:space="preserve"> מכולה 2 – 991.25 מ"ר</t>
  </si>
  <si>
    <t xml:space="preserve">Shipment 2 – Commercial Invoice</t>
  </si>
  <si>
    <t xml:space="preserve"> מכולה 3 – 1,487.4 מ"ר</t>
  </si>
  <si>
    <t xml:space="preserve">Shipment 3 – Commercial Invoice</t>
  </si>
  <si>
    <t xml:space="preserve">עלות מט"ח לפי 3 מכולות</t>
  </si>
  <si>
    <t xml:space="preserve">קונסטרוקציה ופרופילים</t>
  </si>
  <si>
    <t xml:space="preserve">גור את שיפר</t>
  </si>
  <si>
    <t xml:space="preserve">SI266002349</t>
  </si>
  <si>
    <t xml:space="preserve">SI266003946</t>
  </si>
  <si>
    <t xml:space="preserve">גור את שיפר – חשבונית נוספת</t>
  </si>
  <si>
    <t xml:space="preserve">⚠️ סכום לא מולא בגיליון המקור ("?")</t>
  </si>
  <si>
    <t xml:space="preserve">פרופילים DB (מילי סויסה)</t>
  </si>
  <si>
    <t xml:space="preserve">03/08/2026 · 10,761.60 כולל מע"מ</t>
  </si>
  <si>
    <t xml:space="preserve">ברגים וחומרי עזר</t>
  </si>
  <si>
    <t xml:space="preserve">ברגים</t>
  </si>
  <si>
    <t xml:space="preserve">אלקטרו סליל</t>
  </si>
  <si>
    <t xml:space="preserve">גאלה</t>
  </si>
  <si>
    <t xml:space="preserve">גאלה קלאסיק</t>
  </si>
  <si>
    <t xml:space="preserve">גאלה קלאסיק – ברגים</t>
  </si>
  <si>
    <t xml:space="preserve">14/06/2026</t>
  </si>
  <si>
    <t xml:space="preserve">ארפק</t>
  </si>
  <si>
    <t xml:space="preserve">ארפק די</t>
  </si>
  <si>
    <t xml:space="preserve">210012492</t>
  </si>
  <si>
    <t xml:space="preserve">210012573</t>
  </si>
  <si>
    <t xml:space="preserve">210012671</t>
  </si>
  <si>
    <t xml:space="preserve">רוטנברג – ספריי קצף</t>
  </si>
  <si>
    <t xml:space="preserve">הובלת חומר</t>
  </si>
  <si>
    <t xml:space="preserve">גרייטדור – הובלה</t>
  </si>
  <si>
    <t xml:space="preserve">"לקזז בסוף מחאדר" – אם יקוזז, עובר לסעיף המתקין</t>
  </si>
  <si>
    <t xml:space="preserve">משאית מגור את שיפר</t>
  </si>
  <si>
    <t xml:space="preserve">הובלה מההשיקוף לפרויקט</t>
  </si>
  <si>
    <t xml:space="preserve">משלוח גור + ארפק</t>
  </si>
  <si>
    <t xml:space="preserve">ביט</t>
  </si>
  <si>
    <t xml:space="preserve">סה"כ חומר</t>
  </si>
  <si>
    <t xml:space="preserve">מתקין</t>
  </si>
  <si>
    <t xml:space="preserve">קבלן מבצע – חאדר</t>
  </si>
  <si>
    <t xml:space="preserve">חאדר – סדין קאק</t>
  </si>
  <si>
    <t xml:space="preserve">20/03/2026</t>
  </si>
  <si>
    <t xml:space="preserve">חאדר</t>
  </si>
  <si>
    <t xml:space="preserve">20/04/2026</t>
  </si>
  <si>
    <t xml:space="preserve">חאדר – מזומן לפני פסח</t>
  </si>
  <si>
    <t xml:space="preserve">מזומן</t>
  </si>
  <si>
    <t xml:space="preserve">חאדר (ראם משלוחים)</t>
  </si>
  <si>
    <t xml:space="preserve">28/06/2026 · חאדר.pdf</t>
  </si>
  <si>
    <t xml:space="preserve">19/07/2026 · 91013_invoice.pdf</t>
  </si>
  <si>
    <t xml:space="preserve">חאדר (משי ניהול עובדים)</t>
  </si>
  <si>
    <t xml:space="preserve">23/08/2026</t>
  </si>
  <si>
    <t xml:space="preserve">קבלני משנה</t>
  </si>
  <si>
    <t xml:space="preserve">נדב איטומים</t>
  </si>
  <si>
    <t xml:space="preserve">הודעה מיום 28.04</t>
  </si>
  <si>
    <t xml:space="preserve">גרייטדור – התקנת מחיצה</t>
  </si>
  <si>
    <t xml:space="preserve">Invoice-2055.pdf</t>
  </si>
  <si>
    <t xml:space="preserve">סה"כ מתקין</t>
  </si>
  <si>
    <t xml:space="preserve">יועץ</t>
  </si>
  <si>
    <t xml:space="preserve">מהנדס</t>
  </si>
  <si>
    <t xml:space="preserve">מורט – מהנדס (2,950 $)</t>
  </si>
  <si>
    <t xml:space="preserve">⚠️ בגיליון המקור יש גם שורה של 3,409.28 (תשלום מטה ל-MURAT 05/10) – נספר רק 10,089, בהנחה שהוא חלק מהסכום</t>
  </si>
  <si>
    <t xml:space="preserve">סה"כ יועץ</t>
  </si>
  <si>
    <t xml:space="preserve">שונות</t>
  </si>
  <si>
    <t xml:space="preserve">מדידות</t>
  </si>
  <si>
    <t xml:space="preserve">מדידות – נווה יעקב</t>
  </si>
  <si>
    <t xml:space="preserve">⚠️ העברה של 5,000 (לפי שמואל 15/10) – אם כולל מע"מ, לפני מע"מ 4,237.29</t>
  </si>
  <si>
    <t xml:space="preserve">תוכניות</t>
  </si>
  <si>
    <t xml:space="preserve">הדפסת תוכניות</t>
  </si>
  <si>
    <t xml:space="preserve">סה"כ שונות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</si>
</sst>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;\(#,##0.00\);\-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2E5D8C"/>
      </patternFill>
    </fill>
    <fill>
      <patternFill patternType="solid">
        <fgColor rgb="FFD6E4F0"/>
        <bgColor rgb="FFCCFFFF"/>
      </patternFill>
    </fill>
    <fill>
      <patternFill patternType="solid">
        <fgColor rgb="FFFFE699"/>
        <bgColor rgb="FFFFF2CC"/>
      </patternFill>
    </fill>
    <fill>
      <patternFill patternType="solid">
        <fgColor rgb="FF2E5D8C"/>
        <bgColor rgb="FF1F4E7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7" fontId="6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6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7" fontId="5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3" fillId="7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7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14" fillId="2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15" fillId="3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5" fillId="7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16" fillId="7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E5D8C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31.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4" t="n">
        <v>3000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false" outlineLevel="0" collapsed="false">
      <c r="A6" s="6" t="s">
        <v>7</v>
      </c>
      <c r="B6" s="7" t="n">
        <f aca="false">פירוט!D32</f>
        <v>461200.77</v>
      </c>
      <c r="C6" s="8" t="n">
        <f aca="false">B6/פירוט!$D$55</f>
        <v>0.413495849004407</v>
      </c>
      <c r="D6" s="9" t="n">
        <f aca="false">B6/$B$3</f>
        <v>153.73359</v>
      </c>
    </row>
    <row r="7" customFormat="false" ht="15" hidden="false" customHeight="false" outlineLevel="0" collapsed="false">
      <c r="A7" s="10" t="s">
        <v>8</v>
      </c>
      <c r="B7" s="11" t="n">
        <f aca="false">SUMIFS(פירוט!$D$5:$D$31,פירוט!$B$5:$B$31,"HPL – יבוא")</f>
        <v>379096.45</v>
      </c>
      <c r="C7" s="12" t="n">
        <f aca="false">B7/פירוט!$D$55</f>
        <v>0.339884099602233</v>
      </c>
      <c r="D7" s="13" t="n">
        <f aca="false">B7/$B$3</f>
        <v>126.365483333333</v>
      </c>
    </row>
    <row r="8" customFormat="false" ht="15" hidden="false" customHeight="false" outlineLevel="0" collapsed="false">
      <c r="A8" s="10" t="s">
        <v>9</v>
      </c>
      <c r="B8" s="11" t="n">
        <f aca="false">SUMIFS(פירוט!$D$5:$D$31,פירוט!$B$5:$B$31,"קונסטרוקציה ופרופילים")</f>
        <v>45928.32</v>
      </c>
      <c r="C8" s="12" t="n">
        <f aca="false">B8/פירוט!$D$55</f>
        <v>0.0411776625432479</v>
      </c>
      <c r="D8" s="13" t="n">
        <f aca="false">B8/$B$3</f>
        <v>15.30944</v>
      </c>
    </row>
    <row r="9" customFormat="false" ht="15" hidden="false" customHeight="false" outlineLevel="0" collapsed="false">
      <c r="A9" s="10" t="s">
        <v>10</v>
      </c>
      <c r="B9" s="11" t="n">
        <f aca="false">SUMIFS(פירוט!$D$5:$D$31,פירוט!$B$5:$B$31,"ברגים וחומרי עזר")</f>
        <v>24259</v>
      </c>
      <c r="C9" s="12" t="n">
        <f aca="false">B9/פירוט!$D$55</f>
        <v>0.0217497377573717</v>
      </c>
      <c r="D9" s="13" t="n">
        <f aca="false">B9/$B$3</f>
        <v>8.08633333333333</v>
      </c>
    </row>
    <row r="10" customFormat="false" ht="15" hidden="false" customHeight="false" outlineLevel="0" collapsed="false">
      <c r="A10" s="10" t="s">
        <v>11</v>
      </c>
      <c r="B10" s="11" t="n">
        <f aca="false">SUMIFS(פירוט!$D$5:$D$31,פירוט!$B$5:$B$31,"הובלת חומר")</f>
        <v>11917</v>
      </c>
      <c r="C10" s="12" t="n">
        <f aca="false">B10/פירוט!$D$55</f>
        <v>0.010684349101554</v>
      </c>
      <c r="D10" s="13" t="n">
        <f aca="false">B10/$B$3</f>
        <v>3.97233333333333</v>
      </c>
    </row>
    <row r="11" customFormat="false" ht="15" hidden="false" customHeight="false" outlineLevel="0" collapsed="false">
      <c r="A11" s="6" t="s">
        <v>12</v>
      </c>
      <c r="B11" s="7" t="n">
        <f aca="false">פירוט!D44</f>
        <v>638919</v>
      </c>
      <c r="C11" s="8" t="n">
        <f aca="false">B11/פירוט!$D$55</f>
        <v>0.572831555224955</v>
      </c>
      <c r="D11" s="9" t="n">
        <f aca="false">B11/$B$3</f>
        <v>212.973</v>
      </c>
    </row>
    <row r="12" customFormat="false" ht="15" hidden="false" customHeight="false" outlineLevel="0" collapsed="false">
      <c r="A12" s="10" t="s">
        <v>13</v>
      </c>
      <c r="B12" s="11" t="n">
        <f aca="false">SUMIFS(פירוט!$D$35:$D$43,פירוט!$B$35:$B$43,"קבלן מבצע – חאדר")</f>
        <v>634119</v>
      </c>
      <c r="C12" s="12" t="n">
        <f aca="false">B12/פירוט!$D$55</f>
        <v>0.568528049670918</v>
      </c>
      <c r="D12" s="13" t="n">
        <f aca="false">B12/$B$3</f>
        <v>211.373</v>
      </c>
    </row>
    <row r="13" customFormat="false" ht="15" hidden="false" customHeight="false" outlineLevel="0" collapsed="false">
      <c r="A13" s="10" t="s">
        <v>14</v>
      </c>
      <c r="B13" s="11" t="n">
        <f aca="false">SUMIFS(פירוט!$D$35:$D$43,פירוט!$B$35:$B$43,"קבלני משנה")</f>
        <v>4800</v>
      </c>
      <c r="C13" s="12" t="n">
        <f aca="false">B13/פירוט!$D$55</f>
        <v>0.00430350555403703</v>
      </c>
      <c r="D13" s="13" t="n">
        <f aca="false">B13/$B$3</f>
        <v>1.6</v>
      </c>
    </row>
    <row r="14" customFormat="false" ht="15" hidden="false" customHeight="false" outlineLevel="0" collapsed="false">
      <c r="A14" s="6" t="s">
        <v>15</v>
      </c>
      <c r="B14" s="7" t="n">
        <f aca="false">פירוט!D48</f>
        <v>10089</v>
      </c>
      <c r="C14" s="8" t="n">
        <f aca="false">B14/פירוט!$D$55</f>
        <v>0.00904543073639157</v>
      </c>
      <c r="D14" s="9" t="n">
        <f aca="false">B14/$B$3</f>
        <v>3.363</v>
      </c>
    </row>
    <row r="15" customFormat="false" ht="15" hidden="false" customHeight="false" outlineLevel="0" collapsed="false">
      <c r="A15" s="10" t="s">
        <v>16</v>
      </c>
      <c r="B15" s="11" t="n">
        <f aca="false">SUMIFS(פירוט!$D$47:$D$47,פירוט!$B$47:$B$47,"מהנדס")</f>
        <v>10089</v>
      </c>
      <c r="C15" s="12" t="n">
        <f aca="false">B15/פירוט!$D$55</f>
        <v>0.00904543073639157</v>
      </c>
      <c r="D15" s="13" t="n">
        <f aca="false">B15/$B$3</f>
        <v>3.363</v>
      </c>
    </row>
    <row r="16" customFormat="false" ht="15" hidden="false" customHeight="false" outlineLevel="0" collapsed="false">
      <c r="A16" s="6" t="s">
        <v>17</v>
      </c>
      <c r="B16" s="7" t="n">
        <f aca="false">פירוט!D53</f>
        <v>5161</v>
      </c>
      <c r="C16" s="8" t="n">
        <f aca="false">B16/פירוט!$D$55</f>
        <v>0.00462716503424689</v>
      </c>
      <c r="D16" s="9" t="n">
        <f aca="false">B16/$B$3</f>
        <v>1.72033333333333</v>
      </c>
    </row>
    <row r="17" customFormat="false" ht="15" hidden="false" customHeight="false" outlineLevel="0" collapsed="false">
      <c r="A17" s="10" t="s">
        <v>18</v>
      </c>
      <c r="B17" s="11" t="n">
        <f aca="false">SUMIFS(פירוט!$D$51:$D$52,פירוט!$B$51:$B$52,"מדידות")</f>
        <v>5000</v>
      </c>
      <c r="C17" s="12" t="n">
        <f aca="false">B17/פירוט!$D$55</f>
        <v>0.00448281828545524</v>
      </c>
      <c r="D17" s="13" t="n">
        <f aca="false">B17/$B$3</f>
        <v>1.66666666666667</v>
      </c>
    </row>
    <row r="18" customFormat="false" ht="15" hidden="false" customHeight="false" outlineLevel="0" collapsed="false">
      <c r="A18" s="10" t="s">
        <v>19</v>
      </c>
      <c r="B18" s="11" t="n">
        <f aca="false">SUMIFS(פירוט!$D$51:$D$52,פירוט!$B$51:$B$52,"תוכניות")</f>
        <v>161</v>
      </c>
      <c r="C18" s="12" t="n">
        <f aca="false">B18/פירוט!$D$55</f>
        <v>0.000144346748791659</v>
      </c>
      <c r="D18" s="13" t="n">
        <f aca="false">B18/$B$3</f>
        <v>0.0536666666666667</v>
      </c>
    </row>
    <row r="19" customFormat="false" ht="15" hidden="false" customHeight="false" outlineLevel="0" collapsed="false">
      <c r="A19" s="14" t="s">
        <v>20</v>
      </c>
      <c r="B19" s="15" t="n">
        <f aca="false">B6+B11+B14+B16</f>
        <v>1115369.77</v>
      </c>
      <c r="C19" s="16" t="n">
        <f aca="false">B19/פירוט!$D$55</f>
        <v>1</v>
      </c>
      <c r="D19" s="17" t="n">
        <f aca="false">B19/$B$3</f>
        <v>371.789923333333</v>
      </c>
    </row>
    <row r="21" customFormat="false" ht="15" hidden="false" customHeight="false" outlineLevel="0" collapsed="false">
      <c r="A21" s="18" t="s">
        <v>21</v>
      </c>
      <c r="B21" s="18" t="str">
        <f aca="false">IF(ROUND(B19-פירוט!D55,2)=0,"✅ תואם","❌ לא תואם")</f>
        <v>✅ תואם</v>
      </c>
    </row>
    <row r="23" customFormat="false" ht="15" hidden="false" customHeight="false" outlineLevel="0" collapsed="false">
      <c r="A23" s="19" t="s">
        <v>22</v>
      </c>
      <c r="B23" s="19"/>
      <c r="C23" s="19"/>
      <c r="D23" s="19"/>
    </row>
    <row r="24" customFormat="false" ht="30" hidden="false" customHeight="true" outlineLevel="0" collapsed="false">
      <c r="A24" s="20" t="s">
        <v>23</v>
      </c>
      <c r="B24" s="20"/>
      <c r="C24" s="20"/>
      <c r="D24" s="20"/>
    </row>
    <row r="25" customFormat="false" ht="30" hidden="false" customHeight="true" outlineLevel="0" collapsed="false">
      <c r="A25" s="20" t="s">
        <v>24</v>
      </c>
      <c r="B25" s="20"/>
      <c r="C25" s="20"/>
      <c r="D25" s="20"/>
    </row>
    <row r="26" customFormat="false" ht="30" hidden="false" customHeight="true" outlineLevel="0" collapsed="false">
      <c r="A26" s="20" t="s">
        <v>25</v>
      </c>
      <c r="B26" s="20"/>
      <c r="C26" s="20"/>
      <c r="D26" s="20"/>
    </row>
    <row r="27" customFormat="false" ht="30" hidden="false" customHeight="true" outlineLevel="0" collapsed="false">
      <c r="A27" s="20" t="s">
        <v>26</v>
      </c>
      <c r="B27" s="20"/>
      <c r="C27" s="20"/>
      <c r="D27" s="20"/>
    </row>
    <row r="28" customFormat="false" ht="30" hidden="false" customHeight="true" outlineLevel="0" collapsed="false">
      <c r="A28" s="20" t="s">
        <v>27</v>
      </c>
      <c r="B28" s="20"/>
      <c r="C28" s="20"/>
      <c r="D28" s="20"/>
    </row>
  </sheetData>
  <mergeCells count="8">
    <mergeCell ref="A1:D1"/>
    <mergeCell ref="A2:D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21" t="s">
        <v>28</v>
      </c>
      <c r="B1" s="21"/>
      <c r="C1" s="21"/>
      <c r="D1" s="21"/>
      <c r="E1" s="21"/>
      <c r="F1" s="21"/>
    </row>
    <row r="3" customFormat="false" ht="15" hidden="false" customHeight="false" outlineLevel="0" collapsed="false">
      <c r="A3" s="5" t="s">
        <v>29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</row>
    <row r="4" customFormat="false" ht="15" hidden="false" customHeight="false" outlineLevel="0" collapsed="false">
      <c r="A4" s="22" t="s">
        <v>7</v>
      </c>
      <c r="B4" s="22"/>
      <c r="C4" s="22"/>
      <c r="D4" s="22"/>
      <c r="E4" s="22"/>
      <c r="F4" s="22"/>
    </row>
    <row r="5" customFormat="false" ht="15" hidden="false" customHeight="false" outlineLevel="0" collapsed="false">
      <c r="A5" s="10" t="s">
        <v>35</v>
      </c>
      <c r="B5" s="10" t="s">
        <v>36</v>
      </c>
      <c r="C5" s="10" t="s">
        <v>37</v>
      </c>
      <c r="D5" s="23" t="n">
        <v>39063</v>
      </c>
      <c r="E5" s="23" t="n">
        <v>10942</v>
      </c>
      <c r="F5" s="24" t="s">
        <v>38</v>
      </c>
    </row>
    <row r="6" customFormat="false" ht="15" hidden="false" customHeight="false" outlineLevel="0" collapsed="false">
      <c r="A6" s="10" t="s">
        <v>35</v>
      </c>
      <c r="B6" s="10" t="s">
        <v>36</v>
      </c>
      <c r="C6" s="10" t="s">
        <v>39</v>
      </c>
      <c r="D6" s="23" t="n">
        <v>99831</v>
      </c>
      <c r="E6" s="23" t="n">
        <v>28201</v>
      </c>
      <c r="F6" s="24" t="s">
        <v>40</v>
      </c>
    </row>
    <row r="7" customFormat="false" ht="15" hidden="false" customHeight="false" outlineLevel="0" collapsed="false">
      <c r="A7" s="10" t="s">
        <v>35</v>
      </c>
      <c r="B7" s="10" t="s">
        <v>36</v>
      </c>
      <c r="C7" s="10" t="s">
        <v>41</v>
      </c>
      <c r="D7" s="23" t="n">
        <v>235648</v>
      </c>
      <c r="E7" s="23" t="n">
        <v>68106.41</v>
      </c>
      <c r="F7" s="24" t="s">
        <v>42</v>
      </c>
    </row>
    <row r="8" customFormat="false" ht="15" hidden="false" customHeight="false" outlineLevel="0" collapsed="false">
      <c r="A8" s="10" t="s">
        <v>35</v>
      </c>
      <c r="B8" s="10" t="s">
        <v>36</v>
      </c>
      <c r="C8" s="10" t="s">
        <v>43</v>
      </c>
      <c r="D8" s="23" t="n">
        <v>4554.45</v>
      </c>
      <c r="E8" s="23"/>
      <c r="F8" s="24"/>
    </row>
    <row r="9" customFormat="false" ht="15" hidden="false" customHeight="false" outlineLevel="0" collapsed="false">
      <c r="A9" s="10" t="s">
        <v>35</v>
      </c>
      <c r="B9" s="10" t="s">
        <v>44</v>
      </c>
      <c r="C9" s="10" t="s">
        <v>45</v>
      </c>
      <c r="D9" s="23" t="n">
        <v>12735.59</v>
      </c>
      <c r="E9" s="23"/>
      <c r="F9" s="24" t="s">
        <v>46</v>
      </c>
    </row>
    <row r="10" customFormat="false" ht="15" hidden="false" customHeight="false" outlineLevel="0" collapsed="false">
      <c r="A10" s="10" t="s">
        <v>35</v>
      </c>
      <c r="B10" s="10" t="s">
        <v>44</v>
      </c>
      <c r="C10" s="10" t="s">
        <v>45</v>
      </c>
      <c r="D10" s="23" t="n">
        <v>5249</v>
      </c>
      <c r="E10" s="23"/>
      <c r="F10" s="24" t="s">
        <v>47</v>
      </c>
    </row>
    <row r="11" customFormat="false" ht="15" hidden="false" customHeight="false" outlineLevel="0" collapsed="false">
      <c r="A11" s="10" t="s">
        <v>35</v>
      </c>
      <c r="B11" s="10" t="s">
        <v>44</v>
      </c>
      <c r="C11" s="10" t="s">
        <v>45</v>
      </c>
      <c r="D11" s="23" t="n">
        <v>18823.73</v>
      </c>
      <c r="E11" s="23"/>
      <c r="F11" s="24"/>
    </row>
    <row r="12" customFormat="false" ht="15" hidden="false" customHeight="false" outlineLevel="0" collapsed="false">
      <c r="A12" s="25" t="s">
        <v>35</v>
      </c>
      <c r="B12" s="25" t="s">
        <v>44</v>
      </c>
      <c r="C12" s="25" t="s">
        <v>48</v>
      </c>
      <c r="D12" s="26"/>
      <c r="E12" s="26"/>
      <c r="F12" s="20" t="s">
        <v>49</v>
      </c>
    </row>
    <row r="13" customFormat="false" ht="15" hidden="false" customHeight="false" outlineLevel="0" collapsed="false">
      <c r="A13" s="10" t="s">
        <v>35</v>
      </c>
      <c r="B13" s="10" t="s">
        <v>44</v>
      </c>
      <c r="C13" s="10" t="s">
        <v>50</v>
      </c>
      <c r="D13" s="23" t="n">
        <v>9120</v>
      </c>
      <c r="E13" s="23"/>
      <c r="F13" s="24" t="s">
        <v>51</v>
      </c>
    </row>
    <row r="14" customFormat="false" ht="15" hidden="false" customHeight="false" outlineLevel="0" collapsed="false">
      <c r="A14" s="10" t="s">
        <v>35</v>
      </c>
      <c r="B14" s="10" t="s">
        <v>52</v>
      </c>
      <c r="C14" s="10" t="s">
        <v>53</v>
      </c>
      <c r="D14" s="23" t="n">
        <v>1455</v>
      </c>
      <c r="E14" s="23"/>
      <c r="F14" s="24"/>
    </row>
    <row r="15" customFormat="false" ht="15" hidden="false" customHeight="false" outlineLevel="0" collapsed="false">
      <c r="A15" s="10" t="s">
        <v>35</v>
      </c>
      <c r="B15" s="10" t="s">
        <v>52</v>
      </c>
      <c r="C15" s="10" t="s">
        <v>53</v>
      </c>
      <c r="D15" s="23" t="n">
        <v>1508</v>
      </c>
      <c r="E15" s="23"/>
      <c r="F15" s="24"/>
    </row>
    <row r="16" customFormat="false" ht="15" hidden="false" customHeight="false" outlineLevel="0" collapsed="false">
      <c r="A16" s="10" t="s">
        <v>35</v>
      </c>
      <c r="B16" s="10" t="s">
        <v>52</v>
      </c>
      <c r="C16" s="10" t="s">
        <v>54</v>
      </c>
      <c r="D16" s="23" t="n">
        <v>392</v>
      </c>
      <c r="E16" s="23"/>
      <c r="F16" s="24"/>
    </row>
    <row r="17" customFormat="false" ht="15" hidden="false" customHeight="false" outlineLevel="0" collapsed="false">
      <c r="A17" s="10" t="s">
        <v>35</v>
      </c>
      <c r="B17" s="10" t="s">
        <v>52</v>
      </c>
      <c r="C17" s="10" t="s">
        <v>54</v>
      </c>
      <c r="D17" s="23" t="n">
        <v>180</v>
      </c>
      <c r="E17" s="23"/>
      <c r="F17" s="24"/>
    </row>
    <row r="18" customFormat="false" ht="15" hidden="false" customHeight="false" outlineLevel="0" collapsed="false">
      <c r="A18" s="10" t="s">
        <v>35</v>
      </c>
      <c r="B18" s="10" t="s">
        <v>52</v>
      </c>
      <c r="C18" s="10" t="s">
        <v>55</v>
      </c>
      <c r="D18" s="23" t="n">
        <v>975</v>
      </c>
      <c r="E18" s="23"/>
      <c r="F18" s="24"/>
    </row>
    <row r="19" customFormat="false" ht="15" hidden="false" customHeight="false" outlineLevel="0" collapsed="false">
      <c r="A19" s="10" t="s">
        <v>35</v>
      </c>
      <c r="B19" s="10" t="s">
        <v>52</v>
      </c>
      <c r="C19" s="10" t="s">
        <v>55</v>
      </c>
      <c r="D19" s="23" t="n">
        <v>1239</v>
      </c>
      <c r="E19" s="23"/>
      <c r="F19" s="24"/>
    </row>
    <row r="20" customFormat="false" ht="15" hidden="false" customHeight="false" outlineLevel="0" collapsed="false">
      <c r="A20" s="10" t="s">
        <v>35</v>
      </c>
      <c r="B20" s="10" t="s">
        <v>52</v>
      </c>
      <c r="C20" s="10" t="s">
        <v>56</v>
      </c>
      <c r="D20" s="23" t="n">
        <v>2000</v>
      </c>
      <c r="E20" s="23"/>
      <c r="F20" s="24"/>
    </row>
    <row r="21" customFormat="false" ht="15" hidden="false" customHeight="false" outlineLevel="0" collapsed="false">
      <c r="A21" s="10" t="s">
        <v>35</v>
      </c>
      <c r="B21" s="10" t="s">
        <v>52</v>
      </c>
      <c r="C21" s="10" t="s">
        <v>57</v>
      </c>
      <c r="D21" s="23" t="n">
        <v>1659</v>
      </c>
      <c r="E21" s="23"/>
      <c r="F21" s="24" t="s">
        <v>58</v>
      </c>
    </row>
    <row r="22" customFormat="false" ht="15" hidden="false" customHeight="false" outlineLevel="0" collapsed="false">
      <c r="A22" s="10" t="s">
        <v>35</v>
      </c>
      <c r="B22" s="10" t="s">
        <v>52</v>
      </c>
      <c r="C22" s="10" t="s">
        <v>59</v>
      </c>
      <c r="D22" s="23" t="n">
        <v>2763</v>
      </c>
      <c r="E22" s="23"/>
      <c r="F22" s="24"/>
    </row>
    <row r="23" customFormat="false" ht="15" hidden="false" customHeight="false" outlineLevel="0" collapsed="false">
      <c r="A23" s="10" t="s">
        <v>35</v>
      </c>
      <c r="B23" s="10" t="s">
        <v>52</v>
      </c>
      <c r="C23" s="10" t="s">
        <v>60</v>
      </c>
      <c r="D23" s="23" t="n">
        <v>1160</v>
      </c>
      <c r="E23" s="23"/>
      <c r="F23" s="24" t="s">
        <v>61</v>
      </c>
    </row>
    <row r="24" customFormat="false" ht="15" hidden="false" customHeight="false" outlineLevel="0" collapsed="false">
      <c r="A24" s="10" t="s">
        <v>35</v>
      </c>
      <c r="B24" s="10" t="s">
        <v>52</v>
      </c>
      <c r="C24" s="10" t="s">
        <v>59</v>
      </c>
      <c r="D24" s="23" t="n">
        <v>1160</v>
      </c>
      <c r="E24" s="23"/>
      <c r="F24" s="24" t="s">
        <v>62</v>
      </c>
    </row>
    <row r="25" customFormat="false" ht="15" hidden="false" customHeight="false" outlineLevel="0" collapsed="false">
      <c r="A25" s="10" t="s">
        <v>35</v>
      </c>
      <c r="B25" s="10" t="s">
        <v>52</v>
      </c>
      <c r="C25" s="10" t="s">
        <v>59</v>
      </c>
      <c r="D25" s="23" t="n">
        <v>4640</v>
      </c>
      <c r="E25" s="23"/>
      <c r="F25" s="24" t="s">
        <v>63</v>
      </c>
    </row>
    <row r="26" customFormat="false" ht="15" hidden="false" customHeight="false" outlineLevel="0" collapsed="false">
      <c r="A26" s="10" t="s">
        <v>35</v>
      </c>
      <c r="B26" s="10" t="s">
        <v>52</v>
      </c>
      <c r="C26" s="10" t="s">
        <v>59</v>
      </c>
      <c r="D26" s="23" t="n">
        <v>2320</v>
      </c>
      <c r="E26" s="23"/>
      <c r="F26" s="24"/>
    </row>
    <row r="27" customFormat="false" ht="15" hidden="false" customHeight="false" outlineLevel="0" collapsed="false">
      <c r="A27" s="10" t="s">
        <v>35</v>
      </c>
      <c r="B27" s="10" t="s">
        <v>52</v>
      </c>
      <c r="C27" s="10" t="s">
        <v>64</v>
      </c>
      <c r="D27" s="23" t="n">
        <v>2808</v>
      </c>
      <c r="E27" s="23"/>
      <c r="F27" s="24"/>
    </row>
    <row r="28" customFormat="false" ht="15" hidden="false" customHeight="false" outlineLevel="0" collapsed="false">
      <c r="A28" s="10" t="s">
        <v>35</v>
      </c>
      <c r="B28" s="10" t="s">
        <v>65</v>
      </c>
      <c r="C28" s="10" t="s">
        <v>66</v>
      </c>
      <c r="D28" s="23" t="n">
        <v>7197</v>
      </c>
      <c r="E28" s="23"/>
      <c r="F28" s="24" t="s">
        <v>67</v>
      </c>
    </row>
    <row r="29" customFormat="false" ht="15" hidden="false" customHeight="false" outlineLevel="0" collapsed="false">
      <c r="A29" s="10" t="s">
        <v>35</v>
      </c>
      <c r="B29" s="10" t="s">
        <v>65</v>
      </c>
      <c r="C29" s="10" t="s">
        <v>68</v>
      </c>
      <c r="D29" s="23" t="n">
        <v>1750</v>
      </c>
      <c r="E29" s="23"/>
      <c r="F29" s="24"/>
    </row>
    <row r="30" customFormat="false" ht="15" hidden="false" customHeight="false" outlineLevel="0" collapsed="false">
      <c r="A30" s="10" t="s">
        <v>35</v>
      </c>
      <c r="B30" s="10" t="s">
        <v>65</v>
      </c>
      <c r="C30" s="10" t="s">
        <v>69</v>
      </c>
      <c r="D30" s="23" t="n">
        <v>2670</v>
      </c>
      <c r="E30" s="23"/>
      <c r="F30" s="24"/>
    </row>
    <row r="31" customFormat="false" ht="15" hidden="false" customHeight="false" outlineLevel="0" collapsed="false">
      <c r="A31" s="10" t="s">
        <v>35</v>
      </c>
      <c r="B31" s="10" t="s">
        <v>65</v>
      </c>
      <c r="C31" s="10" t="s">
        <v>70</v>
      </c>
      <c r="D31" s="23" t="n">
        <v>300</v>
      </c>
      <c r="E31" s="23"/>
      <c r="F31" s="24" t="s">
        <v>71</v>
      </c>
    </row>
    <row r="32" customFormat="false" ht="15" hidden="false" customHeight="false" outlineLevel="0" collapsed="false">
      <c r="A32" s="27" t="s">
        <v>72</v>
      </c>
      <c r="B32" s="27"/>
      <c r="C32" s="27"/>
      <c r="D32" s="9" t="n">
        <f aca="false">SUM(D5:D31)</f>
        <v>461200.77</v>
      </c>
      <c r="E32" s="9" t="n">
        <f aca="false">SUM(E5:E31)</f>
        <v>107249.41</v>
      </c>
      <c r="F32" s="27"/>
    </row>
    <row r="34" customFormat="false" ht="15" hidden="false" customHeight="false" outlineLevel="0" collapsed="false">
      <c r="A34" s="22" t="s">
        <v>12</v>
      </c>
      <c r="B34" s="22"/>
      <c r="C34" s="22"/>
      <c r="D34" s="22"/>
      <c r="E34" s="22"/>
      <c r="F34" s="22"/>
    </row>
    <row r="35" customFormat="false" ht="15" hidden="false" customHeight="false" outlineLevel="0" collapsed="false">
      <c r="A35" s="10" t="s">
        <v>73</v>
      </c>
      <c r="B35" s="10" t="s">
        <v>74</v>
      </c>
      <c r="C35" s="10" t="s">
        <v>75</v>
      </c>
      <c r="D35" s="23" t="n">
        <v>20000</v>
      </c>
      <c r="E35" s="23"/>
      <c r="F35" s="24" t="s">
        <v>76</v>
      </c>
    </row>
    <row r="36" customFormat="false" ht="15" hidden="false" customHeight="false" outlineLevel="0" collapsed="false">
      <c r="A36" s="10" t="s">
        <v>73</v>
      </c>
      <c r="B36" s="10" t="s">
        <v>74</v>
      </c>
      <c r="C36" s="10" t="s">
        <v>77</v>
      </c>
      <c r="D36" s="23" t="n">
        <v>24700</v>
      </c>
      <c r="E36" s="23"/>
      <c r="F36" s="24" t="s">
        <v>78</v>
      </c>
    </row>
    <row r="37" customFormat="false" ht="15" hidden="false" customHeight="false" outlineLevel="0" collapsed="false">
      <c r="A37" s="10" t="s">
        <v>73</v>
      </c>
      <c r="B37" s="10" t="s">
        <v>74</v>
      </c>
      <c r="C37" s="10" t="s">
        <v>79</v>
      </c>
      <c r="D37" s="23" t="n">
        <v>95000</v>
      </c>
      <c r="E37" s="23"/>
      <c r="F37" s="24" t="s">
        <v>80</v>
      </c>
    </row>
    <row r="38" customFormat="false" ht="15" hidden="false" customHeight="false" outlineLevel="0" collapsed="false">
      <c r="A38" s="10" t="s">
        <v>73</v>
      </c>
      <c r="B38" s="10" t="s">
        <v>74</v>
      </c>
      <c r="C38" s="10" t="s">
        <v>81</v>
      </c>
      <c r="D38" s="23" t="n">
        <v>140000</v>
      </c>
      <c r="E38" s="23"/>
      <c r="F38" s="24" t="s">
        <v>82</v>
      </c>
    </row>
    <row r="39" customFormat="false" ht="15" hidden="false" customHeight="false" outlineLevel="0" collapsed="false">
      <c r="A39" s="10" t="s">
        <v>73</v>
      </c>
      <c r="B39" s="10" t="s">
        <v>74</v>
      </c>
      <c r="C39" s="10" t="s">
        <v>81</v>
      </c>
      <c r="D39" s="23" t="n">
        <v>141353</v>
      </c>
      <c r="E39" s="23"/>
      <c r="F39" s="24" t="s">
        <v>83</v>
      </c>
    </row>
    <row r="40" customFormat="false" ht="15" hidden="false" customHeight="false" outlineLevel="0" collapsed="false">
      <c r="A40" s="10" t="s">
        <v>73</v>
      </c>
      <c r="B40" s="10" t="s">
        <v>74</v>
      </c>
      <c r="C40" s="10" t="s">
        <v>84</v>
      </c>
      <c r="D40" s="23" t="n">
        <v>125758</v>
      </c>
      <c r="E40" s="23"/>
      <c r="F40" s="24" t="s">
        <v>85</v>
      </c>
    </row>
    <row r="41" customFormat="false" ht="15" hidden="false" customHeight="false" outlineLevel="0" collapsed="false">
      <c r="A41" s="10" t="s">
        <v>73</v>
      </c>
      <c r="B41" s="10" t="s">
        <v>74</v>
      </c>
      <c r="C41" s="10" t="s">
        <v>84</v>
      </c>
      <c r="D41" s="23" t="n">
        <v>87308</v>
      </c>
      <c r="E41" s="23"/>
      <c r="F41" s="24"/>
    </row>
    <row r="42" customFormat="false" ht="15" hidden="false" customHeight="false" outlineLevel="0" collapsed="false">
      <c r="A42" s="10" t="s">
        <v>73</v>
      </c>
      <c r="B42" s="10" t="s">
        <v>86</v>
      </c>
      <c r="C42" s="10" t="s">
        <v>87</v>
      </c>
      <c r="D42" s="23" t="n">
        <v>2000</v>
      </c>
      <c r="E42" s="23"/>
      <c r="F42" s="24" t="s">
        <v>88</v>
      </c>
    </row>
    <row r="43" customFormat="false" ht="15" hidden="false" customHeight="false" outlineLevel="0" collapsed="false">
      <c r="A43" s="10" t="s">
        <v>73</v>
      </c>
      <c r="B43" s="10" t="s">
        <v>86</v>
      </c>
      <c r="C43" s="10" t="s">
        <v>89</v>
      </c>
      <c r="D43" s="23" t="n">
        <v>2800</v>
      </c>
      <c r="E43" s="23"/>
      <c r="F43" s="24" t="s">
        <v>90</v>
      </c>
    </row>
    <row r="44" customFormat="false" ht="15" hidden="false" customHeight="false" outlineLevel="0" collapsed="false">
      <c r="A44" s="27" t="s">
        <v>91</v>
      </c>
      <c r="B44" s="27"/>
      <c r="C44" s="27"/>
      <c r="D44" s="9" t="n">
        <f aca="false">SUM(D35:D43)</f>
        <v>638919</v>
      </c>
      <c r="E44" s="9" t="n">
        <f aca="false">SUM(E35:E43)</f>
        <v>0</v>
      </c>
      <c r="F44" s="27"/>
    </row>
    <row r="46" customFormat="false" ht="15" hidden="false" customHeight="false" outlineLevel="0" collapsed="false">
      <c r="A46" s="22" t="s">
        <v>15</v>
      </c>
      <c r="B46" s="22"/>
      <c r="C46" s="22"/>
      <c r="D46" s="22"/>
      <c r="E46" s="22"/>
      <c r="F46" s="22"/>
    </row>
    <row r="47" customFormat="false" ht="23.85" hidden="false" customHeight="false" outlineLevel="0" collapsed="false">
      <c r="A47" s="25" t="s">
        <v>92</v>
      </c>
      <c r="B47" s="25" t="s">
        <v>93</v>
      </c>
      <c r="C47" s="25" t="s">
        <v>94</v>
      </c>
      <c r="D47" s="26" t="n">
        <v>10089</v>
      </c>
      <c r="E47" s="26" t="n">
        <v>2950</v>
      </c>
      <c r="F47" s="20" t="s">
        <v>95</v>
      </c>
    </row>
    <row r="48" customFormat="false" ht="15" hidden="false" customHeight="false" outlineLevel="0" collapsed="false">
      <c r="A48" s="27" t="s">
        <v>96</v>
      </c>
      <c r="B48" s="27"/>
      <c r="C48" s="27"/>
      <c r="D48" s="9" t="n">
        <f aca="false">SUM(D47:D47)</f>
        <v>10089</v>
      </c>
      <c r="E48" s="9" t="n">
        <f aca="false">SUM(E47:E47)</f>
        <v>2950</v>
      </c>
      <c r="F48" s="27"/>
    </row>
    <row r="50" customFormat="false" ht="15" hidden="false" customHeight="false" outlineLevel="0" collapsed="false">
      <c r="A50" s="22" t="s">
        <v>17</v>
      </c>
      <c r="B50" s="22"/>
      <c r="C50" s="22"/>
      <c r="D50" s="22"/>
      <c r="E50" s="22"/>
      <c r="F50" s="22"/>
    </row>
    <row r="51" customFormat="false" ht="23.85" hidden="false" customHeight="false" outlineLevel="0" collapsed="false">
      <c r="A51" s="25" t="s">
        <v>97</v>
      </c>
      <c r="B51" s="25" t="s">
        <v>98</v>
      </c>
      <c r="C51" s="25" t="s">
        <v>99</v>
      </c>
      <c r="D51" s="26" t="n">
        <v>5000</v>
      </c>
      <c r="E51" s="26"/>
      <c r="F51" s="20" t="s">
        <v>100</v>
      </c>
    </row>
    <row r="52" customFormat="false" ht="15" hidden="false" customHeight="false" outlineLevel="0" collapsed="false">
      <c r="A52" s="10" t="s">
        <v>97</v>
      </c>
      <c r="B52" s="10" t="s">
        <v>101</v>
      </c>
      <c r="C52" s="10" t="s">
        <v>102</v>
      </c>
      <c r="D52" s="23" t="n">
        <v>161</v>
      </c>
      <c r="E52" s="23"/>
      <c r="F52" s="24"/>
    </row>
    <row r="53" customFormat="false" ht="15" hidden="false" customHeight="false" outlineLevel="0" collapsed="false">
      <c r="A53" s="27" t="s">
        <v>103</v>
      </c>
      <c r="B53" s="27"/>
      <c r="C53" s="27"/>
      <c r="D53" s="9" t="n">
        <f aca="false">SUM(D51:D52)</f>
        <v>5161</v>
      </c>
      <c r="E53" s="9" t="n">
        <f aca="false">SUM(E51:E52)</f>
        <v>0</v>
      </c>
      <c r="F53" s="27"/>
    </row>
    <row r="55" customFormat="false" ht="15" hidden="false" customHeight="false" outlineLevel="0" collapsed="false">
      <c r="A55" s="28" t="s">
        <v>20</v>
      </c>
      <c r="B55" s="28"/>
      <c r="C55" s="28"/>
      <c r="D55" s="29" t="n">
        <f aca="false">D32+D44+D48+D53</f>
        <v>1115369.77</v>
      </c>
      <c r="E55" s="28"/>
      <c r="F55" s="28"/>
    </row>
  </sheetData>
  <mergeCells count="5">
    <mergeCell ref="A1:F1"/>
    <mergeCell ref="A4:F4"/>
    <mergeCell ref="A34:F34"/>
    <mergeCell ref="A46:F46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2026-10-15T09:45:01Z</dcterms:created>
  <dc:creator>openpyxl</dc:creator>
  <dc:description/>
  <dc:language>en-US</dc:language>
  <cp:lastModifiedBy/>
  <dcterms:modified xsi:type="dcterms:W3CDTF">2026-10-15T09:45:01Z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