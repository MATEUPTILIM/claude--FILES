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חוב תאגידים" sheetId="1" state="visible" r:id="rId1"/>
    <sheet xmlns:r="http://schemas.openxmlformats.org/officeDocument/2006/relationships" name="תזרים אוגוסט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₪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C00000"/>
      <sz val="10"/>
    </font>
    <font>
      <name val="Arial"/>
      <b val="1"/>
      <sz val="10"/>
    </font>
    <font>
      <name val="Arial"/>
      <b val="1"/>
      <color rgb="00C00000"/>
    </font>
    <font>
      <name val="Arial"/>
      <b val="1"/>
      <color rgb="00C65911"/>
      <sz val="10"/>
    </font>
    <font>
      <name val="Arial"/>
      <b val="1"/>
      <color rgb="001F7A3E"/>
      <sz val="10"/>
    </font>
    <font>
      <name val="Arial"/>
      <color rgb="00595959"/>
      <sz val="10"/>
    </font>
    <font>
      <color rgb="00FF0000"/>
      <sz val="9"/>
    </font>
    <font>
      <name val="Arial"/>
      <b val="1"/>
      <color rgb="007D6608"/>
      <sz val="10"/>
    </font>
    <font>
      <name val="Arial"/>
      <b val="1"/>
      <color rgb="00C05000"/>
      <sz val="10"/>
    </font>
    <font>
      <name val="Arial"/>
      <b val="1"/>
      <color rgb="00FFFFFF"/>
      <sz val="14"/>
    </font>
    <font>
      <name val="Arial"/>
      <b val="1"/>
      <color rgb="00C00000"/>
      <sz val="18"/>
    </font>
    <font>
      <name val="Arial"/>
      <color rgb="00595959"/>
      <sz val="11"/>
    </font>
    <font>
      <name val="Arial"/>
      <i val="1"/>
      <color rgb="00805000"/>
      <sz val="9"/>
    </font>
    <font>
      <name val="Arial"/>
      <i val="1"/>
      <color rgb="00595959"/>
      <sz val="9"/>
    </font>
    <font>
      <name val="Arial"/>
      <b val="1"/>
      <color rgb="001F4E79"/>
      <sz val="11"/>
    </font>
    <font>
      <name val="Arial"/>
      <b val="1"/>
      <color rgb="00C00000"/>
      <sz val="11"/>
    </font>
    <font>
      <name val="Arial"/>
      <color rgb="001A1A1A"/>
      <sz val="10"/>
    </font>
    <font>
      <name val="Arial"/>
      <color rgb="00C00000"/>
      <sz val="10"/>
    </font>
    <font>
      <name val="Arial"/>
      <color rgb="00375623"/>
      <sz val="10"/>
    </font>
    <font>
      <name val="Arial"/>
      <b val="1"/>
      <color rgb="00C00000"/>
      <sz val="9"/>
    </font>
    <font>
      <name val="Arial"/>
      <b val="1"/>
      <color rgb="007B4000"/>
      <sz val="11"/>
    </font>
    <font>
      <name val="Arial"/>
      <b val="1"/>
      <color rgb="005C2D91"/>
      <sz val="11"/>
    </font>
    <font>
      <name val="Arial"/>
      <color rgb="005C2D91"/>
      <sz val="10"/>
    </font>
    <font>
      <name val="Arial"/>
      <i val="1"/>
      <color rgb="00777777"/>
      <sz val="9"/>
    </font>
    <font>
      <name val="Arial"/>
      <b val="1"/>
      <color rgb="00FFFFFF"/>
      <sz val="12"/>
    </font>
  </fonts>
  <fills count="3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2D6A2D"/>
      </patternFill>
    </fill>
    <fill>
      <patternFill patternType="solid">
        <fgColor rgb="00C6EFCE"/>
      </patternFill>
    </fill>
    <fill>
      <patternFill patternType="solid">
        <fgColor rgb="00D5F5D5"/>
      </patternFill>
    </fill>
    <fill>
      <patternFill patternType="solid">
        <fgColor rgb="00FFDCE0"/>
      </patternFill>
    </fill>
    <fill>
      <patternFill patternType="solid">
        <fgColor rgb="00FFFACD"/>
      </patternFill>
    </fill>
    <fill>
      <patternFill patternType="solid">
        <fgColor rgb="00FFFFFF"/>
      </patternFill>
    </fill>
    <fill>
      <patternFill patternType="solid">
        <fgColor rgb="001F618D"/>
      </patternFill>
    </fill>
    <fill>
      <patternFill patternType="solid">
        <fgColor rgb="00C00000"/>
      </patternFill>
    </fill>
    <fill>
      <patternFill patternType="solid">
        <fgColor rgb="00FFDCE0"/>
        <bgColor rgb="00FFDCE0"/>
      </patternFill>
    </fill>
    <fill>
      <patternFill patternType="solid">
        <fgColor rgb="00FFE5B4"/>
      </patternFill>
    </fill>
    <fill>
      <patternFill patternType="solid">
        <fgColor rgb="00FFF9C4"/>
      </patternFill>
    </fill>
    <fill>
      <patternFill patternType="solid">
        <fgColor rgb="008B1A1A"/>
      </patternFill>
    </fill>
    <fill>
      <patternFill patternType="solid">
        <fgColor rgb="00FFDADA"/>
      </patternFill>
    </fill>
    <fill>
      <patternFill patternType="solid">
        <fgColor rgb="00FFE6E6"/>
      </patternFill>
    </fill>
    <fill>
      <patternFill patternType="solid">
        <fgColor rgb="00F8F8F8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5D8C"/>
      </patternFill>
    </fill>
    <fill>
      <patternFill patternType="solid">
        <fgColor rgb="00E2EFDA"/>
      </patternFill>
    </fill>
    <fill>
      <patternFill patternType="solid">
        <fgColor rgb="00FFCC80"/>
      </patternFill>
    </fill>
    <fill>
      <patternFill patternType="solid">
        <fgColor rgb="00FFF2CC"/>
      </patternFill>
    </fill>
    <fill>
      <patternFill patternType="solid">
        <fgColor rgb="00E8D5FF"/>
      </patternFill>
    </fill>
    <fill>
      <patternFill patternType="solid">
        <fgColor rgb="00F3E5FF"/>
      </patternFill>
    </fill>
    <fill>
      <patternFill patternType="solid">
        <fgColor rgb="00FFCC80"/>
        <bgColor rgb="00FFCC80"/>
      </patternFill>
    </fill>
    <fill>
      <patternFill patternType="solid">
        <fgColor rgb="00145A32"/>
      </patternFill>
    </fill>
  </fills>
  <borders count="34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/>
      <right/>
      <top style="medium">
        <color rgb="001F4E79"/>
      </top>
      <bottom style="medium">
        <color rgb="001F4E79"/>
      </bottom>
      <diagonal/>
    </border>
    <border>
      <left/>
      <right style="medium">
        <color rgb="001F4E79"/>
      </right>
      <top style="medium">
        <color rgb="001F4E79"/>
      </top>
      <bottom style="medium">
        <color rgb="001F4E79"/>
      </bottom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  <border>
      <left style="medium">
        <color rgb="00C07000"/>
      </left>
      <right style="medium">
        <color rgb="00C07000"/>
      </right>
      <top style="medium">
        <color rgb="00C07000"/>
      </top>
      <bottom style="medium">
        <color rgb="00C07000"/>
      </bottom>
    </border>
    <border>
      <left/>
      <right/>
      <top style="medium">
        <color rgb="00C07000"/>
      </top>
      <bottom style="medium">
        <color rgb="00C07000"/>
      </bottom>
      <diagonal/>
    </border>
    <border>
      <left/>
      <right style="medium">
        <color rgb="00C07000"/>
      </right>
      <top style="medium">
        <color rgb="00C07000"/>
      </top>
      <bottom style="medium">
        <color rgb="00C07000"/>
      </bottom>
      <diagonal/>
    </border>
    <border>
      <left style="medium">
        <color rgb="009B59B6"/>
      </left>
      <right style="medium">
        <color rgb="009B59B6"/>
      </right>
      <top style="medium">
        <color rgb="009B59B6"/>
      </top>
      <bottom style="medium">
        <color rgb="009B59B6"/>
      </bottom>
    </border>
    <border>
      <left/>
      <right/>
      <top style="medium">
        <color rgb="009B59B6"/>
      </top>
      <bottom style="medium">
        <color rgb="009B59B6"/>
      </bottom>
      <diagonal/>
    </border>
    <border>
      <left/>
      <right style="medium">
        <color rgb="009B59B6"/>
      </right>
      <top style="medium">
        <color rgb="009B59B6"/>
      </top>
      <bottom style="medium">
        <color rgb="009B59B6"/>
      </bottom>
      <diagonal/>
    </border>
    <border>
      <left/>
      <right/>
      <top style="medium">
        <color rgb="00C07000"/>
      </top>
      <bottom/>
      <diagonal/>
    </border>
    <border>
      <left/>
      <right style="medium">
        <color rgb="00C07000"/>
      </right>
      <top style="medium">
        <color rgb="00C07000"/>
      </top>
      <bottom/>
      <diagonal/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medium">
        <color rgb="001F4E79"/>
      </top>
      <bottom/>
      <diagonal/>
    </border>
    <border>
      <left/>
      <right style="medium">
        <color rgb="001F4E79"/>
      </right>
      <top style="medium">
        <color rgb="001F4E79"/>
      </top>
      <bottom/>
      <diagonal/>
    </border>
  </borders>
  <cellStyleXfs count="1">
    <xf numFmtId="0" fontId="0" fillId="0" borderId="0"/>
  </cellStyleXfs>
  <cellXfs count="124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right" vertical="center" readingOrder="2"/>
    </xf>
    <xf numFmtId="0" fontId="0" fillId="0" borderId="2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readingOrder="2"/>
    </xf>
    <xf numFmtId="0" fontId="5" fillId="5" borderId="4" applyAlignment="1" pivotButton="0" quotePrefix="0" xfId="0">
      <alignment horizontal="center" vertical="center" readingOrder="2"/>
    </xf>
    <xf numFmtId="0" fontId="6" fillId="6" borderId="4" applyAlignment="1" pivotButton="0" quotePrefix="0" xfId="0">
      <alignment horizontal="right" vertical="center" readingOrder="2"/>
    </xf>
    <xf numFmtId="164" fontId="6" fillId="6" borderId="4" applyAlignment="1" pivotButton="0" quotePrefix="0" xfId="0">
      <alignment horizontal="right" vertical="center" readingOrder="2"/>
    </xf>
    <xf numFmtId="0" fontId="7" fillId="6" borderId="4" applyAlignment="1" pivotButton="0" quotePrefix="0" xfId="0">
      <alignment horizontal="center" vertical="center" readingOrder="2"/>
    </xf>
    <xf numFmtId="0" fontId="6" fillId="7" borderId="4" applyAlignment="1" pivotButton="0" quotePrefix="0" xfId="0">
      <alignment horizontal="right" vertical="center" readingOrder="2"/>
    </xf>
    <xf numFmtId="164" fontId="6" fillId="7" borderId="4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right" vertical="center" readingOrder="2"/>
    </xf>
    <xf numFmtId="164" fontId="4" fillId="4" borderId="1" applyAlignment="1" pivotButton="0" quotePrefix="0" xfId="0">
      <alignment horizontal="right" vertical="center" readingOrder="2"/>
    </xf>
    <xf numFmtId="0" fontId="0" fillId="4" borderId="1" pivotButton="0" quotePrefix="0" xfId="0"/>
    <xf numFmtId="0" fontId="5" fillId="4" borderId="5" applyAlignment="1" pivotButton="0" quotePrefix="0" xfId="0">
      <alignment horizontal="right" vertical="center" readingOrder="2"/>
    </xf>
    <xf numFmtId="0" fontId="8" fillId="8" borderId="5" applyAlignment="1" pivotButton="0" quotePrefix="0" xfId="0">
      <alignment horizontal="center" vertical="center" readingOrder="2"/>
    </xf>
    <xf numFmtId="0" fontId="5" fillId="5" borderId="5" applyAlignment="1" pivotButton="0" quotePrefix="0" xfId="0">
      <alignment horizontal="center" vertical="center" readingOrder="2"/>
    </xf>
    <xf numFmtId="0" fontId="7" fillId="6" borderId="5" applyAlignment="1" pivotButton="0" quotePrefix="0" xfId="0">
      <alignment horizontal="right" vertical="center" readingOrder="2"/>
    </xf>
    <xf numFmtId="0" fontId="6" fillId="6" borderId="5" applyAlignment="1" pivotButton="0" quotePrefix="0" xfId="0">
      <alignment horizontal="center" vertical="center" readingOrder="2"/>
    </xf>
    <xf numFmtId="4" fontId="6" fillId="6" borderId="5" applyAlignment="1" pivotButton="0" quotePrefix="0" xfId="0">
      <alignment horizontal="right" vertical="center" readingOrder="2"/>
    </xf>
    <xf numFmtId="0" fontId="7" fillId="6" borderId="5" applyAlignment="1" pivotButton="0" quotePrefix="0" xfId="0">
      <alignment horizontal="center" vertical="center" readingOrder="2"/>
    </xf>
    <xf numFmtId="0" fontId="9" fillId="9" borderId="5" applyAlignment="1" pivotButton="0" quotePrefix="0" xfId="0">
      <alignment horizontal="right" vertical="center" readingOrder="2"/>
    </xf>
    <xf numFmtId="0" fontId="6" fillId="9" borderId="5" applyAlignment="1" pivotButton="0" quotePrefix="0" xfId="0">
      <alignment horizontal="center" vertical="center" readingOrder="2"/>
    </xf>
    <xf numFmtId="0" fontId="6" fillId="9" borderId="5" applyAlignment="1" pivotButton="0" quotePrefix="0" xfId="0">
      <alignment horizontal="right" vertical="center" readingOrder="2"/>
    </xf>
    <xf numFmtId="0" fontId="9" fillId="9" borderId="5" applyAlignment="1" pivotButton="0" quotePrefix="0" xfId="0">
      <alignment horizontal="center" vertical="center" readingOrder="2"/>
    </xf>
    <xf numFmtId="0" fontId="8" fillId="8" borderId="5" applyAlignment="1" pivotButton="0" quotePrefix="0" xfId="0">
      <alignment horizontal="right" vertical="center" readingOrder="2"/>
    </xf>
    <xf numFmtId="0" fontId="6" fillId="8" borderId="5" applyAlignment="1" pivotButton="0" quotePrefix="0" xfId="0">
      <alignment horizontal="center" vertical="center" readingOrder="2"/>
    </xf>
    <xf numFmtId="4" fontId="6" fillId="8" borderId="5" applyAlignment="1" pivotButton="0" quotePrefix="0" xfId="0">
      <alignment horizontal="right" vertical="center" readingOrder="2"/>
    </xf>
    <xf numFmtId="0" fontId="6" fillId="8" borderId="5" applyAlignment="1" pivotButton="0" quotePrefix="0" xfId="0">
      <alignment horizontal="right" vertical="center" readingOrder="2"/>
    </xf>
    <xf numFmtId="4" fontId="8" fillId="8" borderId="5" applyAlignment="1" pivotButton="0" quotePrefix="0" xfId="0">
      <alignment horizontal="right" vertical="center" readingOrder="2"/>
    </xf>
    <xf numFmtId="4" fontId="5" fillId="4" borderId="5" applyAlignment="1" pivotButton="0" quotePrefix="0" xfId="0">
      <alignment horizontal="right" vertical="center" readingOrder="2"/>
    </xf>
    <xf numFmtId="0" fontId="0" fillId="4" borderId="5" pivotButton="0" quotePrefix="0" xfId="0"/>
    <xf numFmtId="0" fontId="0" fillId="10" borderId="5" pivotButton="0" quotePrefix="0" xfId="0"/>
    <xf numFmtId="0" fontId="3" fillId="11" borderId="1" applyAlignment="1" pivotButton="0" quotePrefix="0" xfId="0">
      <alignment horizontal="right" vertical="center" readingOrder="2"/>
    </xf>
    <xf numFmtId="0" fontId="8" fillId="12" borderId="1" applyAlignment="1" pivotButton="0" quotePrefix="0" xfId="0">
      <alignment horizontal="center" vertical="center" readingOrder="2"/>
    </xf>
    <xf numFmtId="0" fontId="5" fillId="11" borderId="4" applyAlignment="1" pivotButton="0" quotePrefix="0" xfId="0">
      <alignment horizontal="center" vertical="center" readingOrder="2"/>
    </xf>
    <xf numFmtId="0" fontId="0" fillId="0" borderId="8" pivotButton="0" quotePrefix="0" xfId="0"/>
    <xf numFmtId="0" fontId="0" fillId="0" borderId="9" pivotButton="0" quotePrefix="0" xfId="0"/>
    <xf numFmtId="164" fontId="10" fillId="13" borderId="4" applyAlignment="1" pivotButton="0" quotePrefix="0" xfId="0">
      <alignment horizontal="right" vertical="center" readingOrder="2"/>
    </xf>
    <xf numFmtId="0" fontId="11" fillId="6" borderId="4" applyAlignment="1" pivotButton="0" quotePrefix="0" xfId="0">
      <alignment horizontal="center" vertical="center" readingOrder="2"/>
    </xf>
    <xf numFmtId="0" fontId="6" fillId="14" borderId="4" applyAlignment="1" pivotButton="0" quotePrefix="0" xfId="0">
      <alignment horizontal="right" vertical="center" readingOrder="2"/>
    </xf>
    <xf numFmtId="164" fontId="6" fillId="14" borderId="4" applyAlignment="1" pivotButton="0" quotePrefix="0" xfId="0">
      <alignment horizontal="right" vertical="center" readingOrder="2"/>
    </xf>
    <xf numFmtId="0" fontId="8" fillId="14" borderId="4" applyAlignment="1" pivotButton="0" quotePrefix="0" xfId="0">
      <alignment horizontal="center" vertical="center" readingOrder="2"/>
    </xf>
    <xf numFmtId="0" fontId="6" fillId="15" borderId="4" applyAlignment="1" pivotButton="0" quotePrefix="0" xfId="0">
      <alignment horizontal="right" vertical="center" readingOrder="2"/>
    </xf>
    <xf numFmtId="164" fontId="6" fillId="15" borderId="4" applyAlignment="1" pivotButton="0" quotePrefix="0" xfId="0">
      <alignment horizontal="right" vertical="center" readingOrder="2"/>
    </xf>
    <xf numFmtId="164" fontId="12" fillId="15" borderId="10" applyAlignment="1" pivotButton="0" quotePrefix="0" xfId="0">
      <alignment horizontal="right" vertical="center" readingOrder="2"/>
    </xf>
    <xf numFmtId="164" fontId="10" fillId="13" borderId="10" applyAlignment="1" pivotButton="0" quotePrefix="0" xfId="0">
      <alignment horizontal="right" vertical="center" readingOrder="2"/>
    </xf>
    <xf numFmtId="0" fontId="13" fillId="15" borderId="10" applyAlignment="1" pivotButton="0" quotePrefix="0" xfId="0">
      <alignment horizontal="center" vertical="center" readingOrder="2"/>
    </xf>
    <xf numFmtId="0" fontId="8" fillId="15" borderId="10" applyAlignment="1" pivotButton="0" quotePrefix="0" xfId="0">
      <alignment horizontal="center" vertical="center" readingOrder="2"/>
    </xf>
    <xf numFmtId="0" fontId="14" fillId="0" borderId="0" applyAlignment="1" pivotButton="0" quotePrefix="0" xfId="0">
      <alignment horizontal="right" vertical="center" wrapText="1"/>
    </xf>
    <xf numFmtId="164" fontId="4" fillId="11" borderId="1" applyAlignment="1" pivotButton="0" quotePrefix="0" xfId="0">
      <alignment horizontal="right" vertical="center" readingOrder="2"/>
    </xf>
    <xf numFmtId="164" fontId="10" fillId="13" borderId="1" applyAlignment="1" pivotButton="0" quotePrefix="0" xfId="0">
      <alignment horizontal="right" vertical="center" readingOrder="2"/>
    </xf>
    <xf numFmtId="0" fontId="8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3" fillId="12" borderId="1" applyAlignment="1" pivotButton="0" quotePrefix="0" xfId="0">
      <alignment horizontal="right" vertical="center" readingOrder="2"/>
    </xf>
    <xf numFmtId="0" fontId="5" fillId="16" borderId="4" applyAlignment="1" pivotButton="0" quotePrefix="0" xfId="0">
      <alignment horizontal="center" vertical="center" readingOrder="2"/>
    </xf>
    <xf numFmtId="0" fontId="6" fillId="17" borderId="4" applyAlignment="1" pivotButton="0" quotePrefix="0" xfId="0">
      <alignment horizontal="right" vertical="center" readingOrder="2"/>
    </xf>
    <xf numFmtId="164" fontId="6" fillId="17" borderId="4" applyAlignment="1" pivotButton="0" quotePrefix="0" xfId="0">
      <alignment horizontal="right" vertical="center" readingOrder="2"/>
    </xf>
    <xf numFmtId="0" fontId="6" fillId="17" borderId="4" applyAlignment="1" pivotButton="0" quotePrefix="0" xfId="0">
      <alignment horizontal="right" vertical="center" wrapText="1" readingOrder="2"/>
    </xf>
    <xf numFmtId="0" fontId="15" fillId="15" borderId="4" applyAlignment="1" pivotButton="0" quotePrefix="0" xfId="0">
      <alignment horizontal="center" vertical="center" readingOrder="2"/>
    </xf>
    <xf numFmtId="0" fontId="6" fillId="7" borderId="4" applyAlignment="1" pivotButton="0" quotePrefix="0" xfId="0">
      <alignment horizontal="right" vertical="center" wrapText="1" readingOrder="2"/>
    </xf>
    <xf numFmtId="0" fontId="4" fillId="12" borderId="1" applyAlignment="1" pivotButton="0" quotePrefix="0" xfId="0">
      <alignment horizontal="right" vertical="center" readingOrder="2"/>
    </xf>
    <xf numFmtId="164" fontId="4" fillId="12" borderId="1" applyAlignment="1" pivotButton="0" quotePrefix="0" xfId="0">
      <alignment horizontal="right" vertical="center" readingOrder="2"/>
    </xf>
    <xf numFmtId="0" fontId="0" fillId="12" borderId="1" pivotButton="0" quotePrefix="0" xfId="0"/>
    <xf numFmtId="0" fontId="16" fillId="12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6" borderId="5" applyAlignment="1" pivotButton="0" quotePrefix="0" xfId="0">
      <alignment horizontal="right" vertical="center" readingOrder="2"/>
    </xf>
    <xf numFmtId="0" fontId="17" fillId="12" borderId="1" applyAlignment="1" pivotButton="0" quotePrefix="0" xfId="0">
      <alignment horizontal="center" vertical="center" readingOrder="2"/>
    </xf>
    <xf numFmtId="164" fontId="18" fillId="18" borderId="1" applyAlignment="1" pivotButton="0" quotePrefix="0" xfId="0">
      <alignment horizontal="center" vertical="center" readingOrder="2"/>
    </xf>
    <xf numFmtId="0" fontId="19" fillId="18" borderId="1" applyAlignment="1" pivotButton="0" quotePrefix="0" xfId="0">
      <alignment horizontal="center" vertical="center" readingOrder="2"/>
    </xf>
    <xf numFmtId="0" fontId="20" fillId="0" borderId="0" applyAlignment="1" pivotButton="0" quotePrefix="0" xfId="0">
      <alignment horizontal="right" vertical="center" wrapText="1"/>
    </xf>
    <xf numFmtId="0" fontId="21" fillId="19" borderId="4" applyAlignment="1" pivotButton="0" quotePrefix="0" xfId="0">
      <alignment horizontal="right" vertical="center" readingOrder="2"/>
    </xf>
    <xf numFmtId="0" fontId="17" fillId="20" borderId="0" applyAlignment="1" pivotButton="0" quotePrefix="0" xfId="0">
      <alignment horizontal="center" vertical="center" readingOrder="2"/>
    </xf>
    <xf numFmtId="0" fontId="22" fillId="21" borderId="17" applyAlignment="1" pivotButton="0" quotePrefix="0" xfId="0">
      <alignment horizontal="right" vertical="center" readingOrder="2"/>
    </xf>
    <xf numFmtId="0" fontId="0" fillId="0" borderId="18" pivotButton="0" quotePrefix="0" xfId="0"/>
    <xf numFmtId="0" fontId="0" fillId="0" borderId="19" pivotButton="0" quotePrefix="0" xfId="0"/>
    <xf numFmtId="164" fontId="23" fillId="21" borderId="17" applyAlignment="1" pivotButton="0" quotePrefix="0" xfId="0">
      <alignment horizontal="right" vertical="center" readingOrder="2"/>
    </xf>
    <xf numFmtId="0" fontId="0" fillId="21" borderId="17" pivotButton="0" quotePrefix="0" xfId="0"/>
    <xf numFmtId="0" fontId="5" fillId="22" borderId="17" applyAlignment="1" pivotButton="0" quotePrefix="0" xfId="0">
      <alignment horizontal="center" vertical="center" readingOrder="2"/>
    </xf>
    <xf numFmtId="0" fontId="24" fillId="9" borderId="10" applyAlignment="1" pivotButton="0" quotePrefix="0" xfId="0">
      <alignment horizontal="center" vertical="center" readingOrder="2"/>
    </xf>
    <xf numFmtId="0" fontId="24" fillId="9" borderId="10" applyAlignment="1" pivotButton="0" quotePrefix="0" xfId="0">
      <alignment horizontal="right" vertical="center" readingOrder="2"/>
    </xf>
    <xf numFmtId="164" fontId="25" fillId="9" borderId="10" applyAlignment="1" pivotButton="0" quotePrefix="0" xfId="0">
      <alignment horizontal="right" vertical="center" readingOrder="2"/>
    </xf>
    <xf numFmtId="164" fontId="8" fillId="9" borderId="10" applyAlignment="1" pivotButton="0" quotePrefix="0" xfId="0">
      <alignment horizontal="right" vertical="center" readingOrder="2"/>
    </xf>
    <xf numFmtId="0" fontId="2" fillId="9" borderId="10" applyAlignment="1" pivotButton="0" quotePrefix="0" xfId="0">
      <alignment horizontal="right" vertical="center" readingOrder="2"/>
    </xf>
    <xf numFmtId="0" fontId="24" fillId="23" borderId="10" applyAlignment="1" pivotButton="0" quotePrefix="0" xfId="0">
      <alignment horizontal="center" vertical="center" readingOrder="2"/>
    </xf>
    <xf numFmtId="0" fontId="24" fillId="23" borderId="10" applyAlignment="1" pivotButton="0" quotePrefix="0" xfId="0">
      <alignment horizontal="right" vertical="center" readingOrder="2"/>
    </xf>
    <xf numFmtId="164" fontId="26" fillId="23" borderId="10" applyAlignment="1" pivotButton="0" quotePrefix="0" xfId="0">
      <alignment horizontal="right" vertical="center" readingOrder="2"/>
    </xf>
    <xf numFmtId="164" fontId="8" fillId="23" borderId="10" applyAlignment="1" pivotButton="0" quotePrefix="0" xfId="0">
      <alignment horizontal="right" vertical="center" readingOrder="2"/>
    </xf>
    <xf numFmtId="0" fontId="2" fillId="23" borderId="10" applyAlignment="1" pivotButton="0" quotePrefix="0" xfId="0">
      <alignment horizontal="right" vertical="center" readingOrder="2"/>
    </xf>
    <xf numFmtId="4" fontId="26" fillId="23" borderId="10" applyAlignment="1" pivotButton="0" quotePrefix="0" xfId="0">
      <alignment horizontal="right" vertical="center" readingOrder="2"/>
    </xf>
    <xf numFmtId="0" fontId="24" fillId="3" borderId="10" applyAlignment="1" pivotButton="0" quotePrefix="0" xfId="0">
      <alignment horizontal="center" vertical="center" readingOrder="2"/>
    </xf>
    <xf numFmtId="0" fontId="24" fillId="3" borderId="10" applyAlignment="1" pivotButton="0" quotePrefix="0" xfId="0">
      <alignment horizontal="right" vertical="center" readingOrder="2"/>
    </xf>
    <xf numFmtId="164" fontId="25" fillId="3" borderId="10" applyAlignment="1" pivotButton="0" quotePrefix="0" xfId="0">
      <alignment horizontal="right" vertical="center" readingOrder="2"/>
    </xf>
    <xf numFmtId="164" fontId="8" fillId="3" borderId="10" applyAlignment="1" pivotButton="0" quotePrefix="0" xfId="0">
      <alignment horizontal="right" vertical="center" readingOrder="2"/>
    </xf>
    <xf numFmtId="0" fontId="2" fillId="3" borderId="10" applyAlignment="1" pivotButton="0" quotePrefix="0" xfId="0">
      <alignment horizontal="right" vertical="center" readingOrder="2"/>
    </xf>
    <xf numFmtId="4" fontId="0" fillId="0" borderId="0" pivotButton="0" quotePrefix="0" xfId="0"/>
    <xf numFmtId="0" fontId="6" fillId="3" borderId="5" applyAlignment="1" pivotButton="0" quotePrefix="0" xfId="0">
      <alignment horizontal="center" vertical="center" readingOrder="2"/>
    </xf>
    <xf numFmtId="0" fontId="6" fillId="3" borderId="5" applyAlignment="1" pivotButton="0" quotePrefix="0" xfId="0">
      <alignment horizontal="right" vertical="center" readingOrder="2"/>
    </xf>
    <xf numFmtId="0" fontId="0" fillId="0" borderId="20" pivotButton="0" quotePrefix="0" xfId="0"/>
    <xf numFmtId="0" fontId="0" fillId="0" borderId="21" pivotButton="0" quotePrefix="0" xfId="0"/>
    <xf numFmtId="0" fontId="9" fillId="24" borderId="5" applyAlignment="1" pivotButton="0" quotePrefix="0" xfId="0">
      <alignment horizontal="center" vertical="center" readingOrder="2"/>
    </xf>
    <xf numFmtId="0" fontId="9" fillId="24" borderId="5" applyAlignment="1" pivotButton="0" quotePrefix="0" xfId="0">
      <alignment horizontal="right" vertical="center" readingOrder="2"/>
    </xf>
    <xf numFmtId="0" fontId="27" fillId="8" borderId="5" applyAlignment="1" pivotButton="0" quotePrefix="0" xfId="0">
      <alignment horizontal="right" vertical="center" readingOrder="2"/>
    </xf>
    <xf numFmtId="0" fontId="9" fillId="24" borderId="10" applyAlignment="1" pivotButton="0" quotePrefix="0" xfId="0">
      <alignment horizontal="center" vertical="center" readingOrder="2"/>
    </xf>
    <xf numFmtId="0" fontId="9" fillId="24" borderId="0" pivotButton="0" quotePrefix="0" xfId="0"/>
    <xf numFmtId="0" fontId="28" fillId="25" borderId="22" applyAlignment="1" pivotButton="0" quotePrefix="0" xfId="0">
      <alignment horizontal="right" vertical="center" readingOrder="2"/>
    </xf>
    <xf numFmtId="0" fontId="0" fillId="0" borderId="23" pivotButton="0" quotePrefix="0" xfId="0"/>
    <xf numFmtId="0" fontId="0" fillId="0" borderId="24" pivotButton="0" quotePrefix="0" xfId="0"/>
    <xf numFmtId="0" fontId="29" fillId="26" borderId="25" applyAlignment="1" pivotButton="0" quotePrefix="0" xfId="0">
      <alignment horizontal="center" vertical="center" readingOrder="2"/>
    </xf>
    <xf numFmtId="0" fontId="0" fillId="0" borderId="26" pivotButton="0" quotePrefix="0" xfId="0"/>
    <xf numFmtId="0" fontId="0" fillId="0" borderId="27" pivotButton="0" quotePrefix="0" xfId="0"/>
    <xf numFmtId="0" fontId="30" fillId="27" borderId="10" applyAlignment="1" pivotButton="0" quotePrefix="0" xfId="0">
      <alignment horizontal="center" vertical="center" readingOrder="2"/>
    </xf>
    <xf numFmtId="0" fontId="30" fillId="28" borderId="10" applyAlignment="1" pivotButton="0" quotePrefix="0" xfId="0">
      <alignment horizontal="center" vertical="center" readingOrder="2"/>
    </xf>
    <xf numFmtId="0" fontId="30" fillId="28" borderId="10" applyAlignment="1" pivotButton="0" quotePrefix="0" xfId="0">
      <alignment horizontal="right" vertical="center" readingOrder="2"/>
    </xf>
    <xf numFmtId="0" fontId="26" fillId="28" borderId="10" applyAlignment="1" pivotButton="0" quotePrefix="0" xfId="0">
      <alignment horizontal="right" vertical="center" readingOrder="2"/>
    </xf>
    <xf numFmtId="164" fontId="25" fillId="28" borderId="10" applyAlignment="1" pivotButton="0" quotePrefix="0" xfId="0">
      <alignment horizontal="right" vertical="center" readingOrder="2"/>
    </xf>
    <xf numFmtId="0" fontId="24" fillId="28" borderId="10" applyAlignment="1" pivotButton="0" quotePrefix="0" xfId="0">
      <alignment horizontal="right" vertical="center" readingOrder="2"/>
    </xf>
    <xf numFmtId="0" fontId="2" fillId="28" borderId="10" applyAlignment="1" pivotButton="0" quotePrefix="0" xfId="0">
      <alignment horizontal="right" vertical="center" readingOrder="2"/>
    </xf>
    <xf numFmtId="0" fontId="31" fillId="0" borderId="0" applyAlignment="1" pivotButton="0" quotePrefix="0" xfId="0">
      <alignment horizontal="right" vertical="center" readingOrder="2"/>
    </xf>
    <xf numFmtId="0" fontId="32" fillId="20" borderId="17" applyAlignment="1" pivotButton="0" quotePrefix="0" xfId="0">
      <alignment horizontal="center" vertical="center" readingOrder="2"/>
    </xf>
    <xf numFmtId="0" fontId="4" fillId="29" borderId="0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חוב לתאגידי כוח אדם | ישר שירותי קרקע לקבלן ולפועל בע"מ | ינואר–יוני 2026</t>
        </is>
      </c>
    </row>
    <row r="2">
      <c r="A2" s="2" t="inlineStr">
        <is>
          <t>כל הסכומים כוללים מע"מ 18% | עודכן 30/07/2026</t>
        </is>
      </c>
    </row>
    <row r="3"/>
    <row r="4">
      <c r="A4" s="3" t="inlineStr">
        <is>
          <t>פוגין אינטרנשיונל בע"מ</t>
        </is>
      </c>
      <c r="B4" s="4" t="n"/>
      <c r="C4" s="4" t="n"/>
      <c r="D4" s="4" t="n"/>
      <c r="E4" s="4" t="n"/>
      <c r="F4" s="4" t="n"/>
      <c r="G4" s="5" t="n"/>
      <c r="H4" s="6" t="inlineStr">
        <is>
          <t>✅ שולם במלואו</t>
        </is>
      </c>
    </row>
    <row r="5">
      <c r="A5" s="7" t="inlineStr">
        <is>
          <t>חודש עבודה</t>
        </is>
      </c>
      <c r="B5" s="7" t="inlineStr">
        <is>
          <t>מס' חשבונית</t>
        </is>
      </c>
      <c r="C5" s="7" t="inlineStr">
        <is>
          <t>תאריך</t>
        </is>
      </c>
      <c r="D5" s="7" t="inlineStr">
        <is>
          <t>גולמי (₪)</t>
        </is>
      </c>
      <c r="E5" s="7" t="inlineStr">
        <is>
          <t>שולם (₪)</t>
        </is>
      </c>
      <c r="F5" s="7" t="inlineStr">
        <is>
          <t>יתרה (₪)</t>
        </is>
      </c>
      <c r="G5" s="7" t="inlineStr">
        <is>
          <t>תאריך תשלום</t>
        </is>
      </c>
      <c r="H5" s="7" t="inlineStr">
        <is>
          <t>סטטוס</t>
        </is>
      </c>
    </row>
    <row r="6">
      <c r="A6" s="8" t="inlineStr">
        <is>
          <t>ינואר</t>
        </is>
      </c>
      <c r="B6" s="8" t="inlineStr">
        <is>
          <t>01/000699</t>
        </is>
      </c>
      <c r="C6" s="8" t="inlineStr">
        <is>
          <t>30/01/2026</t>
        </is>
      </c>
      <c r="D6" s="9" t="n">
        <v>25058.5</v>
      </c>
      <c r="E6" s="9" t="n">
        <v>25058.5</v>
      </c>
      <c r="F6" s="9" t="n">
        <v>0</v>
      </c>
      <c r="G6" s="8" t="inlineStr">
        <is>
          <t>22/02</t>
        </is>
      </c>
      <c r="H6" s="10" t="inlineStr">
        <is>
          <t>שולם ✓</t>
        </is>
      </c>
    </row>
    <row r="7">
      <c r="A7" s="11" t="inlineStr">
        <is>
          <t>פברואר</t>
        </is>
      </c>
      <c r="B7" s="11" t="inlineStr">
        <is>
          <t>01/000735</t>
        </is>
      </c>
      <c r="C7" s="11" t="inlineStr">
        <is>
          <t>27/02/2026</t>
        </is>
      </c>
      <c r="D7" s="12" t="n">
        <v>22005.8</v>
      </c>
      <c r="E7" s="12" t="n">
        <v>22005.8</v>
      </c>
      <c r="F7" s="12" t="n">
        <v>0</v>
      </c>
      <c r="G7" s="11" t="inlineStr">
        <is>
          <t>22/03</t>
        </is>
      </c>
      <c r="H7" s="10" t="inlineStr">
        <is>
          <t>שולם ✓</t>
        </is>
      </c>
    </row>
    <row r="8">
      <c r="A8" s="8" t="inlineStr">
        <is>
          <t>מרץ</t>
        </is>
      </c>
      <c r="B8" s="8" t="inlineStr">
        <is>
          <t>01/000749</t>
        </is>
      </c>
      <c r="C8" s="8" t="inlineStr">
        <is>
          <t>31/03/2026</t>
        </is>
      </c>
      <c r="D8" s="9" t="n">
        <v>19989.2</v>
      </c>
      <c r="E8" s="9" t="n">
        <v>19989.2</v>
      </c>
      <c r="F8" s="9" t="n">
        <v>0</v>
      </c>
      <c r="G8" s="8" t="inlineStr">
        <is>
          <t>08/05</t>
        </is>
      </c>
      <c r="H8" s="10" t="inlineStr">
        <is>
          <t>שולם ✓</t>
        </is>
      </c>
    </row>
    <row r="9">
      <c r="A9" s="11" t="inlineStr">
        <is>
          <t>אפריל</t>
        </is>
      </c>
      <c r="B9" s="11" t="inlineStr">
        <is>
          <t>01/000781</t>
        </is>
      </c>
      <c r="C9" s="11" t="inlineStr">
        <is>
          <t>30/04/2026</t>
        </is>
      </c>
      <c r="D9" s="12" t="n">
        <v>3725.3</v>
      </c>
      <c r="E9" s="12" t="n">
        <v>3725.3</v>
      </c>
      <c r="F9" s="12" t="n">
        <v>0</v>
      </c>
      <c r="G9" s="11" t="inlineStr">
        <is>
          <t>22/06</t>
        </is>
      </c>
      <c r="H9" s="10" t="inlineStr">
        <is>
          <t>שולם ✓</t>
        </is>
      </c>
    </row>
    <row r="10">
      <c r="A10" s="8" t="inlineStr">
        <is>
          <t>מאי</t>
        </is>
      </c>
      <c r="B10" s="8" t="inlineStr">
        <is>
          <t>01/000810</t>
        </is>
      </c>
      <c r="C10" s="8" t="inlineStr">
        <is>
          <t>31/05/2026</t>
        </is>
      </c>
      <c r="D10" s="9" t="n">
        <v>9449.4</v>
      </c>
      <c r="E10" s="9" t="n">
        <v>9449.4</v>
      </c>
      <c r="F10" s="9" t="n">
        <v>0</v>
      </c>
      <c r="G10" s="8" t="inlineStr">
        <is>
          <t>29/06</t>
        </is>
      </c>
      <c r="H10" s="10" t="inlineStr">
        <is>
          <t>שולם ✓</t>
        </is>
      </c>
    </row>
    <row r="11">
      <c r="A11" s="11" t="inlineStr">
        <is>
          <t>יוני</t>
        </is>
      </c>
      <c r="B11" s="11" t="inlineStr">
        <is>
          <t>01/000835</t>
        </is>
      </c>
      <c r="C11" s="11" t="inlineStr">
        <is>
          <t>30/06/2026</t>
        </is>
      </c>
      <c r="D11" s="12" t="n">
        <v>25773.6</v>
      </c>
      <c r="E11" s="12" t="n">
        <v>25773.6</v>
      </c>
      <c r="F11" s="12" t="n">
        <v>0</v>
      </c>
      <c r="G11" s="11" t="inlineStr">
        <is>
          <t>20/07</t>
        </is>
      </c>
      <c r="H11" s="10" t="inlineStr">
        <is>
          <t>שולם ✓</t>
        </is>
      </c>
    </row>
    <row r="12">
      <c r="A12" s="13" t="inlineStr">
        <is>
          <t>סה"כ</t>
        </is>
      </c>
      <c r="B12" s="4" t="n"/>
      <c r="C12" s="5" t="n"/>
      <c r="D12" s="14">
        <f>SUM(D6:D11)</f>
        <v/>
      </c>
      <c r="E12" s="14">
        <f>SUM(E6:E11)</f>
        <v/>
      </c>
      <c r="F12" s="14">
        <f>SUM(F6:F11)</f>
        <v/>
      </c>
      <c r="G12" s="15" t="n"/>
      <c r="H12" s="15" t="n"/>
    </row>
    <row r="13"/>
    <row r="14">
      <c r="A14" s="16" t="inlineStr">
        <is>
          <t>אחים לימור עובדים זרים לבניין בע"מ  |  ח.פ. 516879632</t>
        </is>
      </c>
      <c r="H14" s="17" t="inlineStr">
        <is>
          <t>⚠️ יתרה פתוחה: 44,840 ₪</t>
        </is>
      </c>
    </row>
    <row r="15">
      <c r="A15" s="18" t="inlineStr">
        <is>
          <t>חודש עבודה</t>
        </is>
      </c>
      <c r="B15" s="18" t="inlineStr">
        <is>
          <t>מס' חשבונית</t>
        </is>
      </c>
      <c r="C15" s="18" t="inlineStr">
        <is>
          <t>תאריך</t>
        </is>
      </c>
      <c r="D15" s="18" t="inlineStr">
        <is>
          <t>גולמי (₪)</t>
        </is>
      </c>
      <c r="E15" s="18" t="inlineStr">
        <is>
          <t>שולם (₪)</t>
        </is>
      </c>
      <c r="F15" s="18" t="inlineStr">
        <is>
          <t>יתרה (₪)</t>
        </is>
      </c>
      <c r="G15" s="18" t="inlineStr">
        <is>
          <t>תאריך תשלום</t>
        </is>
      </c>
      <c r="H15" s="18" t="inlineStr">
        <is>
          <t>סטטוס</t>
        </is>
      </c>
    </row>
    <row r="16">
      <c r="A16" s="19" t="inlineStr">
        <is>
          <t>ינואר</t>
        </is>
      </c>
      <c r="B16" s="20" t="inlineStr">
        <is>
          <t>690</t>
        </is>
      </c>
      <c r="C16" s="20" t="inlineStr">
        <is>
          <t>31/01/2026</t>
        </is>
      </c>
      <c r="D16" s="21" t="n">
        <v>216054.46</v>
      </c>
      <c r="E16" s="21" t="n">
        <v>216054.46</v>
      </c>
      <c r="F16" s="19" t="n"/>
      <c r="G16" s="20" t="inlineStr">
        <is>
          <t>שולם</t>
        </is>
      </c>
      <c r="H16" s="22" t="inlineStr">
        <is>
          <t>שולם ✓</t>
        </is>
      </c>
    </row>
    <row r="17">
      <c r="A17" s="19" t="inlineStr">
        <is>
          <t>פברואר</t>
        </is>
      </c>
      <c r="H17" s="22" t="inlineStr">
        <is>
          <t>שולם ✓</t>
        </is>
      </c>
    </row>
    <row r="18">
      <c r="A18" s="19" t="inlineStr">
        <is>
          <t>מרץ</t>
        </is>
      </c>
      <c r="B18" s="20" t="inlineStr">
        <is>
          <t>783</t>
        </is>
      </c>
      <c r="C18" s="20" t="inlineStr">
        <is>
          <t>31/03/2026</t>
        </is>
      </c>
      <c r="D18" s="21" t="n">
        <v>183100.6</v>
      </c>
      <c r="E18" s="21" t="n">
        <v>183100.6</v>
      </c>
      <c r="F18" s="19" t="n"/>
      <c r="G18" s="20" t="inlineStr">
        <is>
          <t>שולם</t>
        </is>
      </c>
      <c r="H18" s="22" t="inlineStr">
        <is>
          <t>שולם ✓</t>
        </is>
      </c>
    </row>
    <row r="19">
      <c r="A19" s="19" t="inlineStr">
        <is>
          <t>אפריל</t>
        </is>
      </c>
      <c r="B19" s="20" t="inlineStr">
        <is>
          <t>801</t>
        </is>
      </c>
      <c r="C19" s="20" t="inlineStr">
        <is>
          <t>30/04/2026</t>
        </is>
      </c>
      <c r="D19" s="21" t="n">
        <v>89715.07000000001</v>
      </c>
      <c r="E19" s="21" t="n">
        <v>89715.07000000001</v>
      </c>
      <c r="F19" s="19" t="n"/>
      <c r="G19" s="20" t="inlineStr">
        <is>
          <t>שולם</t>
        </is>
      </c>
      <c r="H19" s="22" t="inlineStr">
        <is>
          <t>שולם ✓</t>
        </is>
      </c>
    </row>
    <row r="20">
      <c r="A20" s="23" t="inlineStr">
        <is>
          <t>מאי</t>
        </is>
      </c>
      <c r="B20" s="24" t="inlineStr">
        <is>
          <t>—</t>
        </is>
      </c>
      <c r="C20" s="24" t="inlineStr">
        <is>
          <t>—</t>
        </is>
      </c>
      <c r="D20" s="25" t="inlineStr">
        <is>
          <t>—</t>
        </is>
      </c>
      <c r="E20" s="25" t="inlineStr">
        <is>
          <t>—</t>
        </is>
      </c>
      <c r="F20" s="23" t="n"/>
      <c r="G20" s="24" t="inlineStr">
        <is>
          <t>—</t>
        </is>
      </c>
      <c r="H20" s="26" t="inlineStr">
        <is>
          <t>חסר חשבונית</t>
        </is>
      </c>
    </row>
    <row r="21">
      <c r="A21" s="19" t="inlineStr">
        <is>
          <t>יוני</t>
        </is>
      </c>
      <c r="B21" s="20" t="inlineStr">
        <is>
          <t>908</t>
        </is>
      </c>
      <c r="C21" s="20" t="inlineStr">
        <is>
          <t>30/06/2026</t>
        </is>
      </c>
      <c r="D21" s="21" t="n">
        <v>164926.24</v>
      </c>
      <c r="E21" s="21" t="n">
        <v>164926.24</v>
      </c>
      <c r="F21" s="19" t="n"/>
      <c r="G21" s="20" t="inlineStr">
        <is>
          <t>שולם</t>
        </is>
      </c>
      <c r="H21" s="22" t="inlineStr">
        <is>
          <t>שולם ✓</t>
        </is>
      </c>
    </row>
    <row r="22">
      <c r="A22" s="27" t="inlineStr">
        <is>
          <t>יולי</t>
        </is>
      </c>
      <c r="B22" s="28" t="inlineStr">
        <is>
          <t>—</t>
        </is>
      </c>
      <c r="C22" s="28" t="inlineStr">
        <is>
          <t>31/07/2026</t>
        </is>
      </c>
      <c r="D22" s="29" t="n">
        <v>44840</v>
      </c>
      <c r="E22" s="30" t="n"/>
      <c r="F22" s="31" t="n">
        <v>44840</v>
      </c>
      <c r="G22" s="28" t="inlineStr">
        <is>
          <t>—</t>
        </is>
      </c>
      <c r="H22" s="17" t="inlineStr">
        <is>
          <t>⚠️ יתרה פתוחה</t>
        </is>
      </c>
    </row>
    <row r="23">
      <c r="A23" s="16" t="inlineStr">
        <is>
          <t>סה"כ (ללא מאי)</t>
        </is>
      </c>
      <c r="D23" s="32" t="n">
        <v>887456.4299999999</v>
      </c>
      <c r="E23" s="32" t="n">
        <v>842616.4299999999</v>
      </c>
      <c r="F23" s="32" t="n">
        <v>44840</v>
      </c>
      <c r="G23" s="33" t="n"/>
      <c r="H23" s="17" t="inlineStr">
        <is>
          <t>⚠️ יתרה: 44,840 ₪</t>
        </is>
      </c>
    </row>
    <row r="24">
      <c r="A24" s="34" t="n"/>
      <c r="B24" s="34" t="n"/>
      <c r="C24" s="34" t="n"/>
      <c r="D24" s="34" t="n"/>
      <c r="E24" s="34" t="n"/>
      <c r="F24" s="34" t="n"/>
      <c r="G24" s="34" t="n"/>
      <c r="H24" s="34" t="n"/>
    </row>
    <row r="25">
      <c r="A25" s="35" t="inlineStr">
        <is>
          <t>BMG Human Resources and Placement  |  ח.פ. 516886835</t>
        </is>
      </c>
      <c r="B25" s="4" t="n"/>
      <c r="C25" s="5" t="n"/>
      <c r="D25" s="4" t="n"/>
      <c r="E25" s="4" t="n"/>
      <c r="F25" s="4" t="n"/>
      <c r="G25" s="5" t="n"/>
      <c r="H25" s="36" t="inlineStr">
        <is>
          <t>⚠️ יתרה פתוחה: 50,000 ₪</t>
        </is>
      </c>
    </row>
    <row r="26">
      <c r="A26" s="37" t="inlineStr">
        <is>
          <t>חודש עבודה</t>
        </is>
      </c>
      <c r="B26" s="37" t="inlineStr">
        <is>
          <t>מס' חשבונית</t>
        </is>
      </c>
      <c r="C26" s="37" t="inlineStr">
        <is>
          <t>תאריך</t>
        </is>
      </c>
      <c r="D26" s="37" t="inlineStr">
        <is>
          <t>גולמי (₪)</t>
        </is>
      </c>
      <c r="E26" s="37" t="inlineStr">
        <is>
          <t>שולם (₪)</t>
        </is>
      </c>
      <c r="F26" s="37" t="inlineStr">
        <is>
          <t>יתרה (₪)</t>
        </is>
      </c>
      <c r="G26" s="37" t="inlineStr">
        <is>
          <t>תאריך תשלום</t>
        </is>
      </c>
      <c r="H26" s="37" t="inlineStr">
        <is>
          <t>סטטוס</t>
        </is>
      </c>
    </row>
    <row r="27">
      <c r="A27" s="8" t="inlineStr">
        <is>
          <t>ינואר</t>
        </is>
      </c>
      <c r="B27" s="38" t="n"/>
      <c r="C27" s="38" t="n"/>
      <c r="D27" s="38" t="n"/>
      <c r="E27" s="38" t="n"/>
      <c r="F27" s="38" t="n"/>
      <c r="G27" s="38" t="n"/>
      <c r="H27" s="39" t="n"/>
    </row>
    <row r="28">
      <c r="A28" s="8" t="inlineStr">
        <is>
          <t>פברואר</t>
        </is>
      </c>
      <c r="B28" s="8" t="inlineStr">
        <is>
          <t>2137</t>
        </is>
      </c>
      <c r="C28" s="8" t="inlineStr">
        <is>
          <t>28/02/2026</t>
        </is>
      </c>
      <c r="D28" s="9" t="n">
        <v>134971.4</v>
      </c>
      <c r="E28" s="9" t="n">
        <v>130511</v>
      </c>
      <c r="F28" s="40" t="n">
        <v>4460.4</v>
      </c>
      <c r="G28" s="8" t="inlineStr">
        <is>
          <t>03/04</t>
        </is>
      </c>
      <c r="H28" s="41" t="inlineStr">
        <is>
          <t>⚠️ יתרה פתוחה</t>
        </is>
      </c>
    </row>
    <row r="29">
      <c r="A29" s="8" t="inlineStr">
        <is>
          <t>מרץ</t>
        </is>
      </c>
      <c r="B29" s="8" t="inlineStr">
        <is>
          <t>2154</t>
        </is>
      </c>
      <c r="C29" s="8" t="inlineStr">
        <is>
          <t>31/03/2026</t>
        </is>
      </c>
      <c r="D29" s="9" t="n">
        <v>204776.99</v>
      </c>
      <c r="E29" s="9" t="n">
        <v>204776.99</v>
      </c>
      <c r="F29" s="9" t="n">
        <v>0</v>
      </c>
      <c r="G29" s="8" t="inlineStr">
        <is>
          <t>20/05+27/05
09/06+23/06
13/07 (חלקי)</t>
        </is>
      </c>
      <c r="H29" s="10" t="inlineStr">
        <is>
          <t>שולם ✓</t>
        </is>
      </c>
    </row>
    <row r="30">
      <c r="A30" s="8" t="inlineStr">
        <is>
          <t>אפריל</t>
        </is>
      </c>
      <c r="B30" s="8" t="inlineStr">
        <is>
          <t>2204</t>
        </is>
      </c>
      <c r="C30" s="8" t="inlineStr">
        <is>
          <t>30/04/2026</t>
        </is>
      </c>
      <c r="D30" s="9" t="n">
        <v>164619.44</v>
      </c>
      <c r="E30" s="9" t="n">
        <v>144703.45</v>
      </c>
      <c r="F30" s="40" t="n">
        <v>19915.99</v>
      </c>
      <c r="G30" s="8" t="inlineStr">
        <is>
          <t>13/07 + 19/07 (חלקי)</t>
        </is>
      </c>
      <c r="H30" s="10" t="inlineStr">
        <is>
          <t>⚠️ יתרה פתוחה</t>
        </is>
      </c>
    </row>
    <row r="31">
      <c r="A31" s="42" t="inlineStr">
        <is>
          <t>מאי</t>
        </is>
      </c>
      <c r="B31" s="42" t="n">
        <v>1101</v>
      </c>
      <c r="C31" s="42" t="inlineStr">
        <is>
          <t>30/06/2026</t>
        </is>
      </c>
      <c r="D31" s="43" t="n">
        <v>102027.52</v>
      </c>
      <c r="E31" s="43" t="n">
        <v>102027.52</v>
      </c>
      <c r="F31" s="43" t="n">
        <v>0</v>
      </c>
      <c r="G31" s="42" t="inlineStr">
        <is>
          <t>30/06</t>
        </is>
      </c>
      <c r="H31" s="44" t="inlineStr">
        <is>
          <t>שולם ✓</t>
        </is>
      </c>
    </row>
    <row r="32">
      <c r="A32" s="45" t="inlineStr">
        <is>
          <t>יוני</t>
        </is>
      </c>
      <c r="B32" s="45" t="inlineStr">
        <is>
          <t>3000</t>
        </is>
      </c>
      <c r="C32" s="45" t="inlineStr">
        <is>
          <t>30/06/2026</t>
        </is>
      </c>
      <c r="D32" s="46" t="n">
        <v>92764.64</v>
      </c>
      <c r="E32" s="47" t="n">
        <v>42764.64</v>
      </c>
      <c r="F32" s="48" t="n">
        <v>50000</v>
      </c>
      <c r="G32" s="49" t="inlineStr">
        <is>
          <t>31/07 (חלקי)
+ הסדר</t>
        </is>
      </c>
      <c r="H32" s="50" t="inlineStr">
        <is>
          <t>⚠️ יתרה פתוחה</t>
        </is>
      </c>
      <c r="I32" s="51" t="inlineStr">
        <is>
          <t>תשלום: 42,764.64 ₪ (31/07)
בהסדר: 50,000 ₪</t>
        </is>
      </c>
    </row>
    <row r="33">
      <c r="A33" s="52" t="inlineStr">
        <is>
          <t>סה"כ</t>
        </is>
      </c>
      <c r="B33" s="4" t="n"/>
      <c r="C33" s="5" t="n"/>
      <c r="D33" s="52" t="n">
        <v>775355.54</v>
      </c>
      <c r="E33" s="52" t="n">
        <v>700979.15</v>
      </c>
      <c r="F33" s="53" t="n">
        <v>74376.39</v>
      </c>
      <c r="G33" s="54" t="inlineStr">
        <is>
          <t>⚠️ יתרה פתוחה: 74,376.39 ₪</t>
        </is>
      </c>
      <c r="H33" s="55" t="n"/>
    </row>
    <row r="34"/>
    <row r="35">
      <c r="A35" s="56" t="inlineStr">
        <is>
          <t>פאנג שירותי כח אדם בע"מ  |  ח.פ. 516961711 *</t>
        </is>
      </c>
      <c r="B35" s="4" t="n"/>
      <c r="C35" s="5" t="n"/>
      <c r="D35" s="4" t="n"/>
      <c r="E35" s="4" t="n"/>
      <c r="F35" s="4" t="n"/>
      <c r="G35" s="4" t="n"/>
      <c r="H35" s="5" t="n"/>
    </row>
    <row r="36">
      <c r="A36" s="57" t="inlineStr">
        <is>
          <t>חודש עבודה</t>
        </is>
      </c>
      <c r="B36" s="57" t="inlineStr">
        <is>
          <t>מס' חשבונית</t>
        </is>
      </c>
      <c r="C36" s="57" t="inlineStr">
        <is>
          <t>תאריך</t>
        </is>
      </c>
      <c r="D36" s="57" t="inlineStr">
        <is>
          <t>גולמי (₪)</t>
        </is>
      </c>
      <c r="E36" s="57" t="inlineStr">
        <is>
          <t>שולם (₪)</t>
        </is>
      </c>
      <c r="F36" s="57" t="inlineStr">
        <is>
          <t>יתרה (₪)</t>
        </is>
      </c>
      <c r="G36" s="57" t="inlineStr">
        <is>
          <t>תאריך תשלום</t>
        </is>
      </c>
      <c r="H36" s="57" t="inlineStr">
        <is>
          <t>סטטוס</t>
        </is>
      </c>
    </row>
    <row r="37">
      <c r="A37" s="8" t="inlineStr">
        <is>
          <t>ינואר</t>
        </is>
      </c>
      <c r="B37" s="38" t="n"/>
      <c r="C37" s="39" t="n"/>
      <c r="D37" s="9" t="n">
        <v>62079.8</v>
      </c>
      <c r="E37" s="9" t="n">
        <v>62079.8</v>
      </c>
      <c r="F37" s="38" t="n"/>
      <c r="G37" s="38" t="n"/>
      <c r="H37" s="39" t="n"/>
    </row>
    <row r="38">
      <c r="A38" s="11" t="inlineStr">
        <is>
          <t>פברואר</t>
        </is>
      </c>
      <c r="B38" s="38" t="n"/>
      <c r="C38" s="38" t="n"/>
      <c r="D38" s="38" t="n"/>
      <c r="E38" s="38" t="n"/>
      <c r="F38" s="38" t="n"/>
      <c r="G38" s="38" t="n"/>
      <c r="H38" s="39" t="n"/>
    </row>
    <row r="39">
      <c r="A39" s="42" t="inlineStr">
        <is>
          <t>מרץ</t>
        </is>
      </c>
      <c r="B39" s="38" t="n"/>
      <c r="C39" s="38" t="n"/>
      <c r="D39" s="38" t="n"/>
      <c r="E39" s="38" t="n"/>
      <c r="F39" s="38" t="n"/>
      <c r="G39" s="38" t="n"/>
      <c r="H39" s="39" t="n"/>
    </row>
    <row r="40">
      <c r="A40" s="11" t="inlineStr">
        <is>
          <t>אפריל</t>
        </is>
      </c>
      <c r="B40" s="38" t="n"/>
      <c r="C40" s="38" t="n"/>
      <c r="D40" s="38" t="n"/>
      <c r="E40" s="38" t="n"/>
      <c r="F40" s="38" t="n"/>
      <c r="G40" s="38" t="n"/>
      <c r="H40" s="39" t="n"/>
    </row>
    <row r="41">
      <c r="A41" s="58" t="inlineStr">
        <is>
          <t>מאי</t>
        </is>
      </c>
      <c r="B41" s="58" t="inlineStr">
        <is>
          <t>01/002624</t>
        </is>
      </c>
      <c r="C41" s="58" t="inlineStr">
        <is>
          <t>18/06/2026</t>
        </is>
      </c>
      <c r="D41" s="59" t="n">
        <v>264462.78</v>
      </c>
      <c r="E41" s="59" t="n">
        <v>132462</v>
      </c>
      <c r="F41" s="59" t="n">
        <v>132000.78</v>
      </c>
      <c r="G41" s="60" t="inlineStr">
        <is>
          <t>25/07
25/08 (צ'ק)</t>
        </is>
      </c>
      <c r="H41" s="61" t="inlineStr">
        <is>
          <t>⏳ צ'ק 25/08</t>
        </is>
      </c>
    </row>
    <row r="42">
      <c r="A42" s="11" t="inlineStr">
        <is>
          <t>יוני</t>
        </is>
      </c>
      <c r="B42" s="11" t="inlineStr">
        <is>
          <t>01/002663</t>
        </is>
      </c>
      <c r="C42" s="11" t="inlineStr">
        <is>
          <t>12/07/2026</t>
        </is>
      </c>
      <c r="D42" s="12" t="n">
        <v>420836.97</v>
      </c>
      <c r="E42" s="12" t="n">
        <v>170836.97</v>
      </c>
      <c r="F42" s="12" t="n">
        <v>250000</v>
      </c>
      <c r="G42" s="62" t="inlineStr">
        <is>
          <t>27/07 + 29/07
24/09 (צ'ק #5000345)
25/10 (צ'ק #5000346)</t>
        </is>
      </c>
      <c r="H42" s="61" t="inlineStr">
        <is>
          <t>⚠️ 2 צ'קים × 125,000 ₪</t>
        </is>
      </c>
      <c r="I42" t="inlineStr">
        <is>
          <t>צ'ק #5000345 (24/09) + צ'ק #5000346 (25/10)</t>
        </is>
      </c>
    </row>
    <row r="43">
      <c r="A43" s="63" t="inlineStr">
        <is>
          <t>סה"כ</t>
        </is>
      </c>
      <c r="B43" s="4" t="n"/>
      <c r="C43" s="5" t="n"/>
      <c r="D43" s="64" t="n">
        <v>1023595.14</v>
      </c>
      <c r="E43" s="64" t="n">
        <v>641593.0699999999</v>
      </c>
      <c r="F43" s="64" t="n">
        <v>382002.07</v>
      </c>
      <c r="G43" s="65" t="n"/>
      <c r="H43" s="66" t="inlineStr">
        <is>
          <t>⚠️ * מכוסה בצ'קים עתידיים</t>
        </is>
      </c>
    </row>
    <row r="44"/>
    <row r="45">
      <c r="A45" s="16" t="inlineStr">
        <is>
          <t>פסגת ליאם כח אדם בע"מ  |  ח.פ. 516885399</t>
        </is>
      </c>
      <c r="B45" s="67" t="n"/>
      <c r="C45" s="67" t="n"/>
      <c r="D45" s="67" t="n"/>
      <c r="E45" s="67" t="n"/>
      <c r="F45" s="67" t="n"/>
      <c r="G45" s="68" t="n"/>
      <c r="H45" s="22" t="inlineStr">
        <is>
          <t>✅ שולם במלואו</t>
        </is>
      </c>
    </row>
    <row r="46">
      <c r="A46" s="18" t="inlineStr">
        <is>
          <t>חודש עבודה</t>
        </is>
      </c>
      <c r="B46" s="18" t="inlineStr">
        <is>
          <t>מס' חשבונית</t>
        </is>
      </c>
      <c r="C46" s="18" t="inlineStr">
        <is>
          <t>תאריך</t>
        </is>
      </c>
      <c r="D46" s="18" t="inlineStr">
        <is>
          <t>גולמי (₪)</t>
        </is>
      </c>
      <c r="E46" s="18" t="inlineStr">
        <is>
          <t>שולם (₪)</t>
        </is>
      </c>
      <c r="F46" s="18" t="inlineStr">
        <is>
          <t>יתרה (₪)</t>
        </is>
      </c>
      <c r="G46" s="18" t="inlineStr">
        <is>
          <t>תאריך תשלום</t>
        </is>
      </c>
      <c r="H46" s="18" t="inlineStr">
        <is>
          <t>סטטוס</t>
        </is>
      </c>
    </row>
    <row r="47">
      <c r="A47" s="19" t="inlineStr">
        <is>
          <t>יולי</t>
        </is>
      </c>
      <c r="B47" s="20" t="inlineStr">
        <is>
          <t>50116</t>
        </is>
      </c>
      <c r="C47" s="20" t="inlineStr">
        <is>
          <t>31/07/2026</t>
        </is>
      </c>
      <c r="D47" s="21" t="n">
        <v>17098.2</v>
      </c>
      <c r="E47" s="21" t="n">
        <v>17098.2</v>
      </c>
      <c r="F47" s="69" t="n"/>
      <c r="G47" s="20" t="inlineStr">
        <is>
          <t>05/08/2026</t>
        </is>
      </c>
      <c r="H47" s="22" t="inlineStr">
        <is>
          <t>שולם ✓</t>
        </is>
      </c>
    </row>
    <row r="48">
      <c r="A48" s="16" t="inlineStr">
        <is>
          <t>סה"כ</t>
        </is>
      </c>
      <c r="B48" s="67" t="n"/>
      <c r="C48" s="68" t="n"/>
      <c r="D48" s="32" t="n">
        <v>17098.2</v>
      </c>
      <c r="E48" s="32" t="n">
        <v>17098.2</v>
      </c>
      <c r="F48" s="32" t="n">
        <v>0</v>
      </c>
      <c r="G48" s="33" t="n"/>
      <c r="H48" s="22" t="inlineStr">
        <is>
          <t>שולם ✓</t>
        </is>
      </c>
    </row>
    <row r="49">
      <c r="A49" s="34" t="n"/>
      <c r="B49" s="34" t="n"/>
      <c r="C49" s="34" t="n"/>
      <c r="D49" s="34" t="n"/>
      <c r="E49" s="34" t="n"/>
      <c r="F49" s="34" t="n"/>
      <c r="G49" s="34" t="n"/>
      <c r="H49" s="34" t="n"/>
    </row>
    <row r="50">
      <c r="A50" s="70" t="inlineStr">
        <is>
          <t>💰 סה"כ חוב פתוח לכל התאגידים</t>
        </is>
      </c>
      <c r="B50" s="4" t="n"/>
      <c r="C50" s="5" t="n"/>
      <c r="D50" s="71" t="n">
        <v>501218.46</v>
      </c>
      <c r="E50" s="72" t="inlineStr">
        <is>
          <t>BMG: 74,376.39 ₪  |  פאנג: 382,002.07 ₪  |  לימור: 44,840 ₪</t>
        </is>
      </c>
      <c r="F50" s="4" t="n"/>
      <c r="G50" s="4" t="n"/>
      <c r="H50" s="5" t="n"/>
    </row>
    <row r="51">
      <c r="A51" s="73" t="inlineStr">
        <is>
          <t>* פאנג יתרות מכוסות בצ'קים:
מאי (2624): 132,000 ₪ – צ'ק 25/08/2026
יוני (2663): 125,000 ₪ – צ'ק #5000345 (24/09) + 125,000 ₪ – צ'ק #5000346 (25/10)</t>
        </is>
      </c>
    </row>
    <row r="52">
      <c r="A52" s="74" t="inlineStr">
        <is>
          <t>* פאנג מרץ: הפרש 1.27 ₪ | אפריל: צ'ק 5000341 טרם נפרע | מאי: יתרה 250,000.75 ₪</t>
        </is>
      </c>
      <c r="B52" s="38" t="n"/>
      <c r="C52" s="38" t="n"/>
      <c r="D52" s="38" t="n"/>
      <c r="E52" s="38" t="n"/>
      <c r="F52" s="38" t="n"/>
      <c r="G52" s="38" t="n"/>
      <c r="H52" s="39" t="n"/>
    </row>
  </sheetData>
  <mergeCells count="15">
    <mergeCell ref="A25:C25"/>
    <mergeCell ref="A48:C48"/>
    <mergeCell ref="A39:H39"/>
    <mergeCell ref="A27:G27"/>
    <mergeCell ref="A37:C37"/>
    <mergeCell ref="A38:H38"/>
    <mergeCell ref="A2:H2"/>
    <mergeCell ref="A4:G4"/>
    <mergeCell ref="A35:C35"/>
    <mergeCell ref="A1:H1"/>
    <mergeCell ref="A12:C12"/>
    <mergeCell ref="A27:H27"/>
    <mergeCell ref="E37:H37"/>
    <mergeCell ref="A45:G45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תזרים מזומנים – אוגוסט 2026  |  ישר שירותי קרקע לקבלן ולפועל בע"מ</t>
        </is>
      </c>
    </row>
    <row r="2">
      <c r="A2" s="76" t="inlineStr">
        <is>
          <t>יתרת פתיחה – 01/08/2026  (יתרת בנק בפועל)</t>
        </is>
      </c>
      <c r="B2" s="77" t="n"/>
      <c r="C2" s="77" t="n"/>
      <c r="D2" s="78" t="n"/>
      <c r="E2" s="79" t="n">
        <v>-6789.15</v>
      </c>
      <c r="F2" s="80" t="n"/>
      <c r="G2" s="80" t="n"/>
    </row>
    <row r="3"/>
    <row r="4">
      <c r="A4" s="81" t="inlineStr">
        <is>
          <t>תאריך</t>
        </is>
      </c>
      <c r="B4" s="81" t="inlineStr">
        <is>
          <t>תיאור</t>
        </is>
      </c>
      <c r="C4" s="81" t="inlineStr">
        <is>
          <t>הכנסה (₪)</t>
        </is>
      </c>
      <c r="D4" s="81" t="inlineStr">
        <is>
          <t>הוצאה (₪)</t>
        </is>
      </c>
      <c r="E4" s="81" t="inlineStr">
        <is>
          <t>יתרה (₪)</t>
        </is>
      </c>
      <c r="F4" s="81" t="inlineStr">
        <is>
          <t>הערות</t>
        </is>
      </c>
      <c r="G4" s="81" t="inlineStr">
        <is>
          <t>סוג</t>
        </is>
      </c>
    </row>
    <row r="5">
      <c r="A5" s="82" t="inlineStr">
        <is>
          <t>02/08/2026</t>
        </is>
      </c>
      <c r="B5" s="83" t="inlineStr">
        <is>
          <t>משיכת מזומן</t>
        </is>
      </c>
      <c r="C5" s="83" t="n"/>
      <c r="D5" s="84" t="n">
        <v>600</v>
      </c>
      <c r="E5" s="85" t="n">
        <v>-7389.15</v>
      </c>
      <c r="F5" s="86" t="inlineStr">
        <is>
          <t>✅ שולם – 02/08</t>
        </is>
      </c>
      <c r="G5" s="82" t="inlineStr">
        <is>
          <t>📤 הוצאה</t>
        </is>
      </c>
    </row>
    <row r="6">
      <c r="A6" s="82" t="inlineStr">
        <is>
          <t>02/08/2026</t>
        </is>
      </c>
      <c r="B6" s="83" t="inlineStr">
        <is>
          <t>שהנאז ייזום – שכ"ד / שירותים</t>
        </is>
      </c>
      <c r="C6" s="83" t="n"/>
      <c r="D6" s="84" t="n">
        <v>9167</v>
      </c>
      <c r="E6" s="85" t="n">
        <v>-16556.15</v>
      </c>
      <c r="F6" s="86" t="inlineStr">
        <is>
          <t>✅ שולם – 02/08</t>
        </is>
      </c>
      <c r="G6" s="82" t="inlineStr">
        <is>
          <t>🔁 קבוע</t>
        </is>
      </c>
    </row>
    <row r="7">
      <c r="A7" s="82" t="inlineStr">
        <is>
          <t>02/08/2026</t>
        </is>
      </c>
      <c r="B7" s="83" t="inlineStr">
        <is>
          <t>מקס איט פיננסי – אשראי</t>
        </is>
      </c>
      <c r="C7" s="83" t="n"/>
      <c r="D7" s="84" t="n">
        <v>4486.53</v>
      </c>
      <c r="E7" s="85" t="n">
        <v>-21042.68</v>
      </c>
      <c r="F7" s="86" t="inlineStr">
        <is>
          <t>✅ שולם – 02/08</t>
        </is>
      </c>
      <c r="G7" s="82" t="inlineStr">
        <is>
          <t>🔁 קבוע</t>
        </is>
      </c>
    </row>
    <row r="8">
      <c r="A8" s="82" t="inlineStr">
        <is>
          <t>02/08/2026</t>
        </is>
      </c>
      <c r="B8" s="83" t="inlineStr">
        <is>
          <t>לאומי ויזה – אשראי</t>
        </is>
      </c>
      <c r="C8" s="83" t="n"/>
      <c r="D8" s="84" t="n">
        <v>2526.1</v>
      </c>
      <c r="E8" s="85" t="n">
        <v>-23568.78</v>
      </c>
      <c r="F8" s="86" t="inlineStr">
        <is>
          <t>✅ שולם – 02/08</t>
        </is>
      </c>
      <c r="G8" s="82" t="inlineStr">
        <is>
          <t>🔁 קבוע</t>
        </is>
      </c>
    </row>
    <row r="9">
      <c r="A9" s="82" t="inlineStr">
        <is>
          <t>02/08/2026</t>
        </is>
      </c>
      <c r="B9" s="83" t="inlineStr">
        <is>
          <t>דיינרס קלאב – אשראי</t>
        </is>
      </c>
      <c r="C9" s="83" t="n"/>
      <c r="D9" s="84" t="n">
        <v>7967.22</v>
      </c>
      <c r="E9" s="85" t="n">
        <v>-31536</v>
      </c>
      <c r="F9" s="86" t="inlineStr">
        <is>
          <t>✅ שולם – 02/08</t>
        </is>
      </c>
      <c r="G9" s="82" t="inlineStr">
        <is>
          <t>🔁 קבוע</t>
        </is>
      </c>
    </row>
    <row r="10">
      <c r="A10" s="82" t="inlineStr">
        <is>
          <t>02/08/2026</t>
        </is>
      </c>
      <c r="B10" s="83" t="inlineStr">
        <is>
          <t>עמלת ערוץ ישיר 62 – עמלת בנק</t>
        </is>
      </c>
      <c r="C10" s="83" t="n"/>
      <c r="D10" s="84" t="n">
        <v>102.3</v>
      </c>
      <c r="E10" s="85" t="n">
        <v>-31638.3</v>
      </c>
      <c r="F10" s="86" t="inlineStr">
        <is>
          <t>✅ שולם – 02/08</t>
        </is>
      </c>
      <c r="G10" s="82" t="inlineStr">
        <is>
          <t>🔁 קבוע</t>
        </is>
      </c>
    </row>
    <row r="11">
      <c r="A11" s="87" t="inlineStr">
        <is>
          <t>03/08/2026</t>
        </is>
      </c>
      <c r="B11" s="88" t="inlineStr">
        <is>
          <t>המרת מט"ח עצמי</t>
        </is>
      </c>
      <c r="C11" s="89" t="n">
        <v>2284.05</v>
      </c>
      <c r="D11" s="88" t="n"/>
      <c r="E11" s="90" t="n">
        <v>-29354.25</v>
      </c>
      <c r="F11" s="91" t="inlineStr">
        <is>
          <t>✅ שולם – 03/08</t>
        </is>
      </c>
      <c r="G11" s="87" t="inlineStr">
        <is>
          <t>✅ הכנסה</t>
        </is>
      </c>
    </row>
    <row r="12">
      <c r="A12" s="87" t="inlineStr">
        <is>
          <t>03/08/2026</t>
        </is>
      </c>
      <c r="B12" s="88" t="inlineStr">
        <is>
          <t>אחים לימור – העברה (שכירות אוג׳ 44,840 + חוב 19,417.58)</t>
        </is>
      </c>
      <c r="C12" s="92" t="n">
        <v>64257.58</v>
      </c>
      <c r="E12" s="90" t="n">
        <v>34903.33</v>
      </c>
      <c r="F12" s="91" t="inlineStr">
        <is>
          <t>✅ שולם – 03/08</t>
        </is>
      </c>
      <c r="G12" s="87" t="inlineStr">
        <is>
          <t>✅ הכנסה</t>
        </is>
      </c>
    </row>
    <row r="13">
      <c r="A13" s="93" t="inlineStr">
        <is>
          <t>04/08/2026</t>
        </is>
      </c>
      <c r="B13" s="94" t="inlineStr">
        <is>
          <t>חיים קוט – שכירות קריית גת</t>
        </is>
      </c>
      <c r="C13" s="94" t="n"/>
      <c r="D13" s="95" t="n">
        <v>2500</v>
      </c>
      <c r="E13" s="96" t="n">
        <v>32403.33</v>
      </c>
      <c r="F13" s="97" t="inlineStr">
        <is>
          <t>✅ שולם – 04/08/2026</t>
        </is>
      </c>
      <c r="G13" s="93" t="inlineStr">
        <is>
          <t>🔁 קבוע</t>
        </is>
      </c>
    </row>
    <row r="14">
      <c r="A14" s="93" t="inlineStr">
        <is>
          <t>04/08/2026</t>
        </is>
      </c>
      <c r="B14" s="94" t="inlineStr">
        <is>
          <t>אחים ישראל – שכירות רבי חייא</t>
        </is>
      </c>
      <c r="C14" s="94" t="n"/>
      <c r="D14" s="95" t="n">
        <v>18920</v>
      </c>
      <c r="E14" s="96" t="n">
        <v>13483.33</v>
      </c>
      <c r="F14" s="97" t="inlineStr">
        <is>
          <t>✅ שולם – 04/08/2026</t>
        </is>
      </c>
      <c r="G14" s="93" t="inlineStr">
        <is>
          <t>🔁 קבוע</t>
        </is>
      </c>
    </row>
    <row r="15">
      <c r="A15" s="87" t="inlineStr">
        <is>
          <t>04/08/2026</t>
        </is>
      </c>
      <c r="B15" s="88" t="inlineStr">
        <is>
          <t>ביטוח לאומי – ניכוי</t>
        </is>
      </c>
      <c r="C15" s="92" t="n"/>
      <c r="D15" s="98" t="n">
        <v>3908</v>
      </c>
      <c r="E15" s="90" t="n">
        <v>9575.33</v>
      </c>
      <c r="F15" s="91" t="inlineStr">
        <is>
          <t>✅ שולם – 04/08</t>
        </is>
      </c>
      <c r="G15" s="87" t="inlineStr">
        <is>
          <t>📤 הוצאה</t>
        </is>
      </c>
    </row>
    <row r="16">
      <c r="A16" s="87" t="inlineStr">
        <is>
          <t>04/08/2026</t>
        </is>
      </c>
      <c r="B16" s="88" t="inlineStr">
        <is>
          <t>אליעזר הקר אלומינום – תשלום יולי</t>
        </is>
      </c>
      <c r="C16" s="92" t="n">
        <v>10089</v>
      </c>
      <c r="E16" s="90" t="n">
        <v>19664.33</v>
      </c>
      <c r="F16" s="91" t="inlineStr">
        <is>
          <t>✅ שולם – 04/08</t>
        </is>
      </c>
      <c r="G16" s="87" t="inlineStr">
        <is>
          <t>✅ הכנסה</t>
        </is>
      </c>
    </row>
    <row r="17">
      <c r="A17" s="87" t="inlineStr">
        <is>
          <t>04/08/2026</t>
        </is>
      </c>
      <c r="B17" s="88" t="inlineStr">
        <is>
          <t>גרייטדור תעשיות – עבור פועלים</t>
        </is>
      </c>
      <c r="C17" s="92" t="n">
        <v>17098</v>
      </c>
      <c r="E17" s="90" t="n">
        <v>36762.33</v>
      </c>
      <c r="F17" s="91" t="inlineStr">
        <is>
          <t>✅ שולם – 04/08</t>
        </is>
      </c>
      <c r="G17" s="87" t="inlineStr">
        <is>
          <t>✅ הכנסה</t>
        </is>
      </c>
    </row>
    <row r="18">
      <c r="A18" s="87" t="inlineStr">
        <is>
          <t>05/08/2026</t>
        </is>
      </c>
      <c r="B18" s="88" t="inlineStr">
        <is>
          <t>אלי שי בן-חיים</t>
        </is>
      </c>
      <c r="C18" s="92" t="n">
        <v>50588</v>
      </c>
      <c r="E18" s="90" t="n">
        <v>87350.33</v>
      </c>
      <c r="F18" s="91" t="inlineStr">
        <is>
          <t>✅ שולם – 05/08</t>
        </is>
      </c>
      <c r="G18" s="87" t="inlineStr">
        <is>
          <t>✅ הכנסה</t>
        </is>
      </c>
    </row>
    <row r="19">
      <c r="A19" s="87" t="inlineStr">
        <is>
          <t>05/08/2026</t>
        </is>
      </c>
      <c r="B19" s="88" t="inlineStr">
        <is>
          <t>מ. רוטנברג ובניו (הכנסה)</t>
        </is>
      </c>
      <c r="C19" s="92" t="n">
        <v>40614.42</v>
      </c>
      <c r="E19" s="90" t="n">
        <v>127964.75</v>
      </c>
      <c r="F19" s="91" t="inlineStr">
        <is>
          <t>✅ שולם – 05/08</t>
        </is>
      </c>
      <c r="G19" s="87" t="inlineStr">
        <is>
          <t>✅ הכנסה</t>
        </is>
      </c>
    </row>
    <row r="20">
      <c r="A20" s="99" t="inlineStr">
        <is>
          <t>05/08/2026</t>
        </is>
      </c>
      <c r="B20" s="100" t="inlineStr">
        <is>
          <t>פסגת ליאם כח אדם – פועלים יולי (חשב' 50116)</t>
        </is>
      </c>
      <c r="C20" s="100" t="n"/>
      <c r="D20" s="100" t="n">
        <v>17098.2</v>
      </c>
      <c r="E20" s="100" t="n">
        <v>110866.55</v>
      </c>
    </row>
    <row r="21">
      <c r="A21" s="93" t="inlineStr">
        <is>
          <t>10/08/2026</t>
        </is>
      </c>
      <c r="B21" s="94" t="inlineStr">
        <is>
          <t>ארנונה – עיריית ירושלים</t>
        </is>
      </c>
      <c r="C21" s="94" t="n"/>
      <c r="D21" s="95" t="n">
        <v>6909.02</v>
      </c>
      <c r="E21" s="96" t="n">
        <v>103957.53</v>
      </c>
      <c r="F21" s="97" t="inlineStr">
        <is>
          <t>⏳ טרם שולם</t>
        </is>
      </c>
      <c r="G21" s="93" t="inlineStr">
        <is>
          <t>🔁 קבוע</t>
        </is>
      </c>
    </row>
    <row r="22">
      <c r="A22" s="93" t="inlineStr">
        <is>
          <t>10/08/2026</t>
        </is>
      </c>
      <c r="B22" s="94" t="inlineStr">
        <is>
          <t>חברת החשמל</t>
        </is>
      </c>
      <c r="C22" s="94" t="n"/>
      <c r="D22" s="95" t="n">
        <v>1852</v>
      </c>
      <c r="E22" s="96" t="n">
        <v>102105.53</v>
      </c>
      <c r="F22" s="97" t="inlineStr">
        <is>
          <t>⏳ טרם שולם – צ'ק תרצה</t>
        </is>
      </c>
      <c r="G22" s="93" t="inlineStr">
        <is>
          <t>🔁 קבוע</t>
        </is>
      </c>
    </row>
    <row r="23">
      <c r="A23" s="93" t="inlineStr">
        <is>
          <t>13/08/2026</t>
        </is>
      </c>
      <c r="B23" s="94" t="inlineStr">
        <is>
          <t>י. צדיק נכסים – שכירות צפאפא</t>
        </is>
      </c>
      <c r="C23" s="94" t="n"/>
      <c r="D23" s="95" t="n">
        <v>21830</v>
      </c>
      <c r="E23" s="96" t="n">
        <v>80275.53</v>
      </c>
      <c r="F23" s="97" t="inlineStr">
        <is>
          <t>⏳ טרם שולם</t>
        </is>
      </c>
      <c r="G23" s="93" t="inlineStr">
        <is>
          <t>🔁 קבוע</t>
        </is>
      </c>
    </row>
    <row r="24">
      <c r="A24" s="93" t="inlineStr">
        <is>
          <t>14/08/2026</t>
        </is>
      </c>
      <c r="B24" s="94" t="inlineStr">
        <is>
          <t>קארו 7 – שכירות</t>
        </is>
      </c>
      <c r="C24" s="94" t="n"/>
      <c r="D24" s="95" t="n">
        <v>7000</v>
      </c>
      <c r="E24" s="96" t="n">
        <v>73275.53</v>
      </c>
      <c r="F24" s="97" t="inlineStr">
        <is>
          <t>⏳ טרם שולם</t>
        </is>
      </c>
      <c r="G24" s="93" t="inlineStr">
        <is>
          <t>🔁 קבוע</t>
        </is>
      </c>
    </row>
    <row r="25">
      <c r="A25" s="93" t="inlineStr">
        <is>
          <t>14/08/2026</t>
        </is>
      </c>
      <c r="B25" s="94" t="inlineStr">
        <is>
          <t>קארו 3 – שכירות</t>
        </is>
      </c>
      <c r="C25" s="94" t="n"/>
      <c r="D25" s="95" t="n">
        <v>4000</v>
      </c>
      <c r="E25" s="96" t="n">
        <v>69275.53</v>
      </c>
      <c r="F25" s="97" t="inlineStr">
        <is>
          <t>⏳ טרם שולם</t>
        </is>
      </c>
      <c r="G25" s="93" t="inlineStr">
        <is>
          <t>🔁 קבוע</t>
        </is>
      </c>
    </row>
    <row r="26">
      <c r="A26" s="93" t="inlineStr">
        <is>
          <t>14/08/2026</t>
        </is>
      </c>
      <c r="B26" s="94" t="inlineStr">
        <is>
          <t>קאבסה – שכירות אשקלון</t>
        </is>
      </c>
      <c r="C26" s="94" t="n"/>
      <c r="D26" s="95" t="n">
        <v>4000</v>
      </c>
      <c r="E26" s="96" t="n">
        <v>65275.53</v>
      </c>
      <c r="F26" s="97" t="inlineStr">
        <is>
          <t>⏳ טרם שולם</t>
        </is>
      </c>
      <c r="G26" s="93" t="inlineStr">
        <is>
          <t>🔁 קבוע</t>
        </is>
      </c>
    </row>
    <row r="27">
      <c r="A27" s="93" t="inlineStr">
        <is>
          <t>14/08/2026</t>
        </is>
      </c>
      <c r="B27" s="94" t="inlineStr">
        <is>
          <t>קארו 11 – זאב זלץ (שכירות)</t>
        </is>
      </c>
      <c r="C27" s="94" t="n"/>
      <c r="D27" s="95" t="n">
        <v>3000</v>
      </c>
      <c r="E27" s="96" t="n">
        <v>62275.53</v>
      </c>
      <c r="F27" s="97" t="inlineStr">
        <is>
          <t>⏳ טרם שולם</t>
        </is>
      </c>
      <c r="G27" s="93" t="inlineStr">
        <is>
          <t>🔁 קבוע</t>
        </is>
      </c>
    </row>
    <row r="28">
      <c r="A28" s="93" t="inlineStr">
        <is>
          <t>14/08/2026</t>
        </is>
      </c>
      <c r="B28" s="94" t="inlineStr">
        <is>
          <t>בית חנינא – שכירות</t>
        </is>
      </c>
      <c r="C28" s="94" t="n"/>
      <c r="D28" s="95" t="n">
        <v>9600</v>
      </c>
      <c r="E28" s="96" t="n">
        <v>52675.53</v>
      </c>
      <c r="F28" s="97" t="inlineStr">
        <is>
          <t>⏳ טרם שולם</t>
        </is>
      </c>
      <c r="G28" s="93" t="inlineStr">
        <is>
          <t>🔁 קבוע</t>
        </is>
      </c>
    </row>
    <row r="29">
      <c r="A29" s="93" t="n"/>
      <c r="E29" s="96" t="n"/>
      <c r="F29" s="97" t="inlineStr">
        <is>
          <t>⏳ טרם שולם</t>
        </is>
      </c>
      <c r="G29" s="93" t="inlineStr">
        <is>
          <t>🔁 קבוע</t>
        </is>
      </c>
    </row>
    <row r="30">
      <c r="A30" s="93" t="inlineStr">
        <is>
          <t>15/08/2026</t>
        </is>
      </c>
      <c r="B30" s="101" t="inlineStr">
        <is>
          <t>משכורות עובדים</t>
        </is>
      </c>
      <c r="C30" s="101" t="n"/>
      <c r="D30" s="102" t="n">
        <v>34927</v>
      </c>
      <c r="E30" s="94" t="n">
        <v>17748.53</v>
      </c>
      <c r="F30" s="97" t="inlineStr">
        <is>
          <t>⏳ טרם שולם</t>
        </is>
      </c>
      <c r="G30" s="93" t="inlineStr">
        <is>
          <t>🔁 קבוע</t>
        </is>
      </c>
    </row>
    <row r="31">
      <c r="A31" s="103" t="inlineStr">
        <is>
          <t>25/08/2026</t>
        </is>
      </c>
      <c r="B31" s="104" t="inlineStr">
        <is>
          <t>מ. רוטנברג ובניו – תזרים חודשי (צ'ק עתידי)</t>
        </is>
      </c>
      <c r="C31" s="104" t="n">
        <v>58836</v>
      </c>
      <c r="D31" s="104" t="n"/>
      <c r="E31" s="104" t="n">
        <v>76584.53</v>
      </c>
      <c r="F31" s="104" t="inlineStr">
        <is>
          <t>צ'ק עתידי – 25/08</t>
        </is>
      </c>
      <c r="G31" s="104" t="n"/>
      <c r="H31" s="104" t="n"/>
    </row>
    <row r="32">
      <c r="A32" s="105" t="inlineStr">
        <is>
          <t>✱ לדאוג שהכסף יעבור ממטה לישר עד 21/08/2026 (4 ימים לפני)</t>
        </is>
      </c>
      <c r="B32" s="67" t="n"/>
      <c r="C32" s="67" t="n"/>
      <c r="D32" s="67" t="n"/>
      <c r="E32" s="67" t="n"/>
      <c r="F32" s="67" t="n"/>
      <c r="G32" s="67" t="n"/>
      <c r="H32" s="68" t="n"/>
    </row>
    <row r="33">
      <c r="A33" s="106" t="inlineStr">
        <is>
          <t>25/08/2026</t>
        </is>
      </c>
      <c r="B33" s="107" t="inlineStr">
        <is>
          <t>פאנג שירותי כח – מאי 2624 (צ'ק עתידי)</t>
        </is>
      </c>
      <c r="C33" s="107" t="n"/>
      <c r="D33" s="107" t="n">
        <v>132000</v>
      </c>
      <c r="E33" s="107" t="n">
        <v>-55415.47</v>
      </c>
      <c r="F33" s="107" t="n"/>
      <c r="G33" s="107" t="n"/>
      <c r="H33" s="107" t="n"/>
    </row>
    <row r="34">
      <c r="A34" s="82" t="inlineStr">
        <is>
          <t>31/08/2026</t>
        </is>
      </c>
      <c r="B34" s="101" t="inlineStr">
        <is>
          <t>הסדר מע"מ</t>
        </is>
      </c>
      <c r="C34" s="101" t="n"/>
      <c r="D34" s="101" t="n">
        <v>5056</v>
      </c>
      <c r="E34" s="101" t="n">
        <v>-60471.47</v>
      </c>
      <c r="F34" s="101" t="inlineStr">
        <is>
          <t>⏳ טרם שולם</t>
        </is>
      </c>
      <c r="G34" s="102" t="n"/>
    </row>
    <row r="35">
      <c r="A35" s="82" t="inlineStr">
        <is>
          <t>20/08/2026</t>
        </is>
      </c>
      <c r="B35" s="83" t="inlineStr">
        <is>
          <t>פרעון הלוואה</t>
        </is>
      </c>
      <c r="C35" s="83" t="n"/>
      <c r="D35" s="84" t="n">
        <v>4214</v>
      </c>
      <c r="E35" s="85" t="n">
        <v>-64685.47</v>
      </c>
      <c r="F35" s="86" t="inlineStr">
        <is>
          <t>⏳ טרם שולם</t>
        </is>
      </c>
      <c r="G35" s="82" t="inlineStr">
        <is>
          <t>📤 הוצאה</t>
        </is>
      </c>
    </row>
    <row r="36">
      <c r="A36" s="108" t="inlineStr">
        <is>
          <t>יתרת סגירה – 31/08/2026  (עסקאות ידועות בלבד ✱)</t>
        </is>
      </c>
      <c r="B36" s="109" t="n"/>
      <c r="C36" s="109" t="n"/>
      <c r="D36" s="109" t="n"/>
      <c r="E36" s="109" t="n"/>
      <c r="F36" s="109" t="n"/>
      <c r="G36" s="110" t="n"/>
    </row>
    <row r="37"/>
    <row r="38">
      <c r="A38" s="111" t="inlineStr">
        <is>
          <t>⏳  ממתין לגבייה / תשלומים עתידיים</t>
        </is>
      </c>
      <c r="B38" s="112" t="n"/>
      <c r="C38" s="112" t="n"/>
      <c r="D38" s="112" t="n"/>
      <c r="E38" s="112" t="n"/>
      <c r="F38" s="112" t="n"/>
      <c r="G38" s="113" t="n"/>
    </row>
    <row r="39">
      <c r="A39" s="114" t="inlineStr">
        <is>
          <t>05/09/2026</t>
        </is>
      </c>
      <c r="B39" s="101" t="n"/>
      <c r="C39" s="101" t="n"/>
      <c r="D39" s="101" t="n"/>
      <c r="E39" s="101" t="n"/>
      <c r="F39" s="101" t="n"/>
      <c r="G39" s="102" t="n"/>
    </row>
    <row r="40">
      <c r="A40" s="115" t="inlineStr">
        <is>
          <t>24/09/2026</t>
        </is>
      </c>
      <c r="B40" s="116" t="inlineStr">
        <is>
          <t>פאנג שירותי כח – יוני 2663 (צ'ק #5000345)</t>
        </is>
      </c>
      <c r="C40" s="117" t="n"/>
      <c r="D40" s="118" t="n">
        <v>125000</v>
      </c>
      <c r="E40" s="119" t="n"/>
      <c r="F40" s="120" t="inlineStr">
        <is>
          <t>צ'ק ספטמבר – יוני 2663</t>
        </is>
      </c>
      <c r="G40" s="115" t="inlineStr">
        <is>
          <t>⏳ ממתין</t>
        </is>
      </c>
    </row>
    <row r="41">
      <c r="A41" s="115" t="inlineStr">
        <is>
          <t>25/10/2026</t>
        </is>
      </c>
      <c r="B41" s="101" t="n"/>
      <c r="C41" s="101" t="n"/>
      <c r="D41" s="101" t="n"/>
      <c r="E41" s="101" t="n"/>
      <c r="F41" s="101" t="n"/>
      <c r="G41" s="102" t="n"/>
    </row>
    <row r="42"/>
    <row r="43">
      <c r="A43" s="121" t="inlineStr">
        <is>
          <t>✱ שורות אפורות = הוצאות קבועות שהסכום טרם ידוע / טרם שולמו – יש להשלים סכומים בעת ביצוע</t>
        </is>
      </c>
    </row>
    <row r="44"/>
    <row r="45"/>
    <row r="46"/>
    <row r="47">
      <c r="A47" s="122" t="inlineStr">
        <is>
          <t>💰  סך הכל מכר – אוגוסט 2026</t>
        </is>
      </c>
      <c r="B47" s="77" t="n"/>
      <c r="C47" s="77" t="n"/>
      <c r="D47" s="77" t="n"/>
      <c r="E47" s="77" t="n"/>
      <c r="F47" s="77" t="n"/>
      <c r="G47" s="78" t="n"/>
    </row>
    <row r="48"/>
    <row r="49"/>
    <row r="50">
      <c r="A50" s="123" t="inlineStr">
        <is>
          <t>💰  סך הכל מכר – אוגוסט 2026  |  טרם נרשמו הכנסות מכר</t>
        </is>
      </c>
    </row>
  </sheetData>
  <mergeCells count="7">
    <mergeCell ref="A36:G36"/>
    <mergeCell ref="A1:G1"/>
    <mergeCell ref="A39:G39"/>
    <mergeCell ref="A2:D2"/>
    <mergeCell ref="A32:H32"/>
    <mergeCell ref="A42:D42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2026-08-09T10:43:13Z</dcterms:created>
  <dcterms:modified xmlns:dcterms="http://purl.org/dc/terms/" xmlns:xsi="http://www.w3.org/2001/XMLSchema-instance" xsi:type="dcterms:W3CDTF">2026-08-09T10:43:13Z</dcterms:modified>
</cp:coreProperties>
</file>