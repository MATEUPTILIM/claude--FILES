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מטה לישר" sheetId="1" state="visible" r:id="rId3"/>
    <sheet name="ישר למטה" sheetId="2" state="visible" r:id="rId4"/>
    <sheet name="תשלומים מישר עבור מטה" sheetId="3" state="visible" r:id="rId5"/>
    <sheet name="משותפות - שילמה ישר" sheetId="4" state="visible" r:id="rId6"/>
    <sheet name="משותפות - שילמה מטה" sheetId="5" state="visible" r:id="rId7"/>
    <sheet name="הוכנס לישר עבור מטה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<sst xmlns="http://schemas.openxmlformats.org/spreadsheetml/2006/main" count="308" uniqueCount="190">
  <si>
    <t xml:space="preserve">מטה → ישר (מ-01/06/2025, תאריך הקמת מטה)</t>
  </si>
  <si>
    <t xml:space="preserve">תאריך</t>
  </si>
  <si>
    <t xml:space="preserve">אסמכתא</t>
  </si>
  <si>
    <t xml:space="preserve">סכום (ש"ח)</t>
  </si>
  <si>
    <t xml:space="preserve">הערה</t>
  </si>
  <si>
    <t xml:space="preserve">16/07/2025</t>
  </si>
  <si>
    <t xml:space="preserve">העברה מאת: מטה ופתילים 10-902-006192001</t>
  </si>
  <si>
    <t xml:space="preserve">22/07/2025</t>
  </si>
  <si>
    <t xml:space="preserve">01/08/2025</t>
  </si>
  <si>
    <t xml:space="preserve">13/08/2025</t>
  </si>
  <si>
    <t xml:space="preserve">העברה מאת: מטה ופתילים 10-902-006192001 החזר העברה של 22000 דולר</t>
  </si>
  <si>
    <t xml:space="preserve">24/08/2025</t>
  </si>
  <si>
    <t xml:space="preserve">27/08/2025</t>
  </si>
  <si>
    <t xml:space="preserve">29/08/2025</t>
  </si>
  <si>
    <t xml:space="preserve">05/10/2025</t>
  </si>
  <si>
    <t xml:space="preserve">08/10/2025</t>
  </si>
  <si>
    <t xml:space="preserve">העברה מאת: מטה ופתילים 10-902-006192001 שכירות משרד</t>
  </si>
  <si>
    <t xml:space="preserve">10/10/2025</t>
  </si>
  <si>
    <t xml:space="preserve">16/10/2025</t>
  </si>
  <si>
    <t xml:space="preserve">21/10/2025</t>
  </si>
  <si>
    <t xml:space="preserve">22/10/2025</t>
  </si>
  <si>
    <t xml:space="preserve">26/10/2025</t>
  </si>
  <si>
    <t xml:space="preserve">29/10/2025</t>
  </si>
  <si>
    <t xml:space="preserve">העברה מאת: מטה ופתילים 10-902-006192001 בין חברות</t>
  </si>
  <si>
    <t xml:space="preserve">30/10/2025</t>
  </si>
  <si>
    <t xml:space="preserve">02/11/2025</t>
  </si>
  <si>
    <t xml:space="preserve">12/11/2025</t>
  </si>
  <si>
    <t xml:space="preserve">20/11/2025</t>
  </si>
  <si>
    <t xml:space="preserve">העברה מאת: מטה ופתילים 10-902-006192001 העברה בין חברות</t>
  </si>
  <si>
    <t xml:space="preserve">21/11/2025</t>
  </si>
  <si>
    <t xml:space="preserve">27/11/2025</t>
  </si>
  <si>
    <t xml:space="preserve">28/11/2025</t>
  </si>
  <si>
    <t xml:space="preserve">30/11/2025</t>
  </si>
  <si>
    <t xml:space="preserve">14/12/2025</t>
  </si>
  <si>
    <t xml:space="preserve">21/12/2025</t>
  </si>
  <si>
    <t xml:space="preserve">28/12/2025</t>
  </si>
  <si>
    <t xml:space="preserve">05/01/2026</t>
  </si>
  <si>
    <t xml:space="preserve">העברה מאת: מטה ופתילים 10-902-006192001 ביו חברות</t>
  </si>
  <si>
    <t xml:space="preserve">18/01/2026</t>
  </si>
  <si>
    <t xml:space="preserve">21/01/2026</t>
  </si>
  <si>
    <t xml:space="preserve">28/01/2026</t>
  </si>
  <si>
    <t xml:space="preserve">03/02/2026</t>
  </si>
  <si>
    <t xml:space="preserve">22/02/2026</t>
  </si>
  <si>
    <t xml:space="preserve">23/02/2026</t>
  </si>
  <si>
    <t xml:space="preserve">08/03/2026</t>
  </si>
  <si>
    <t xml:space="preserve">03/04/2026</t>
  </si>
  <si>
    <t xml:space="preserve">05/04/2026</t>
  </si>
  <si>
    <t xml:space="preserve">20/05/2026</t>
  </si>
  <si>
    <t xml:space="preserve">27/05/2026</t>
  </si>
  <si>
    <t xml:space="preserve">03/06/2026</t>
  </si>
  <si>
    <t xml:space="preserve">30/06/2026</t>
  </si>
  <si>
    <t xml:space="preserve">העברה מאת: מטה ופתילים 10-902-006192001 הלוואת בעלים</t>
  </si>
  <si>
    <t xml:space="preserve">02/07/2026</t>
  </si>
  <si>
    <t xml:space="preserve">07/07/2026</t>
  </si>
  <si>
    <t xml:space="preserve">28/07/2026</t>
  </si>
  <si>
    <t xml:space="preserve">31/07/2026</t>
  </si>
  <si>
    <t xml:space="preserve">23/08/2026</t>
  </si>
  <si>
    <t xml:space="preserve">העברה מאת: מטה ופתילים 10-902-006192001 תשלום צק עבור רוטנברג</t>
  </si>
  <si>
    <t xml:space="preserve">27/08/2026</t>
  </si>
  <si>
    <t xml:space="preserve">28/08/2026</t>
  </si>
  <si>
    <t xml:space="preserve">02/09/2026</t>
  </si>
  <si>
    <t xml:space="preserve">העברה עצמית - בין חברות</t>
  </si>
  <si>
    <t xml:space="preserve">סה"כ</t>
  </si>
  <si>
    <t xml:space="preserve">ישר → מטה - העברות ישירות (מ-01/06/2025)</t>
  </si>
  <si>
    <t xml:space="preserve">03/10/2025</t>
  </si>
  <si>
    <t xml:space="preserve">העברה אל: מטה ופתילים 10-902-006192001</t>
  </si>
  <si>
    <t xml:space="preserve">06/11/2025</t>
  </si>
  <si>
    <t xml:space="preserve">10/11/2025</t>
  </si>
  <si>
    <t xml:space="preserve">13/01/2026</t>
  </si>
  <si>
    <t xml:space="preserve">העברה אל: מטה ופתילים 10-902-006192001 בין חברות</t>
  </si>
  <si>
    <t xml:space="preserve">26/01/2026</t>
  </si>
  <si>
    <t xml:space="preserve">05/02/2026</t>
  </si>
  <si>
    <t xml:space="preserve">10/02/2026</t>
  </si>
  <si>
    <t xml:space="preserve">13/02/2026</t>
  </si>
  <si>
    <t xml:space="preserve">09/03/2026</t>
  </si>
  <si>
    <t xml:space="preserve">11/03/2026</t>
  </si>
  <si>
    <t xml:space="preserve">20/03/2026</t>
  </si>
  <si>
    <t xml:space="preserve">23/03/2026</t>
  </si>
  <si>
    <t xml:space="preserve">העברה אל: מטה ופתילים 10-902-006192001 העברה מחשבון חברה לחברה</t>
  </si>
  <si>
    <t xml:space="preserve">24/03/2026</t>
  </si>
  <si>
    <t xml:space="preserve">25/03/2026</t>
  </si>
  <si>
    <t xml:space="preserve">15/04/2026</t>
  </si>
  <si>
    <t xml:space="preserve">16/04/2026</t>
  </si>
  <si>
    <t xml:space="preserve">17/04/2026</t>
  </si>
  <si>
    <t xml:space="preserve">28/04/2026</t>
  </si>
  <si>
    <t xml:space="preserve">07/05/2026</t>
  </si>
  <si>
    <t xml:space="preserve">10/06/2026</t>
  </si>
  <si>
    <t xml:space="preserve">17/06/2026</t>
  </si>
  <si>
    <t xml:space="preserve">08/09/2026</t>
  </si>
  <si>
    <t xml:space="preserve">העברה אל: מטה ופתילים 10-902-006192001 העברה עצמית</t>
  </si>
  <si>
    <t xml:space="preserve">16/09/2026</t>
  </si>
  <si>
    <t xml:space="preserve">תשלומים מישר עבור מטה (מ-01/06/2025)</t>
  </si>
  <si>
    <t xml:space="preserve">ספק / עבור</t>
  </si>
  <si>
    <t xml:space="preserve">31/10/2025</t>
  </si>
  <si>
    <t xml:space="preserve">MURAT SERVET ERER (תשלום 10,465.91 + עמלת יבוא ישיר 87.93)</t>
  </si>
  <si>
    <t xml:space="preserve">ZAMPER INVESTMENTS AND STARTEGY LTD (11,600 USD, שער 3.2295)</t>
  </si>
  <si>
    <t xml:space="preserve">23/06/2025</t>
  </si>
  <si>
    <t xml:space="preserve">דורקור ליין בע"מ - מכולה 7 שילוח</t>
  </si>
  <si>
    <t xml:space="preserve">שיק - אלקטרו סליל</t>
  </si>
  <si>
    <t xml:space="preserve">18/05/2026</t>
  </si>
  <si>
    <t xml:space="preserve">06/07/2026</t>
  </si>
  <si>
    <t xml:space="preserve">שיק - מ. רוטנברג ובניו</t>
  </si>
  <si>
    <t xml:space="preserve">10/08/2026</t>
  </si>
  <si>
    <t xml:space="preserve">שיק - שאלתיאל סוכן מכס</t>
  </si>
  <si>
    <t xml:space="preserve">26/08/2026</t>
  </si>
  <si>
    <t xml:space="preserve">שיק - מ. רוטנברג ובניו (58,826 לפי התזרים של ישר - תוקן מ-58,836)</t>
  </si>
  <si>
    <t xml:space="preserve">06/06/2025</t>
  </si>
  <si>
    <t xml:space="preserve">פלסקוב לוגיסטיקה</t>
  </si>
  <si>
    <t xml:space="preserve">פלסקוב - שחרור ממכס/מע"מ</t>
  </si>
  <si>
    <t xml:space="preserve">05/08/2025</t>
  </si>
  <si>
    <t xml:space="preserve">גובס אל סיזן</t>
  </si>
  <si>
    <t xml:space="preserve">העברה לסין (ZHEJIANG XIANGXI)</t>
  </si>
  <si>
    <t xml:space="preserve">22/08/2025</t>
  </si>
  <si>
    <t xml:space="preserve">ארפק די</t>
  </si>
  <si>
    <t xml:space="preserve">12/09/2025</t>
  </si>
  <si>
    <t xml:space="preserve">אלקטרו סליל</t>
  </si>
  <si>
    <t xml:space="preserve">25/09/2025</t>
  </si>
  <si>
    <t xml:space="preserve">? פרגולנד - לא ידוע אם שייך למטה - לא נכלל בסה"כ</t>
  </si>
  <si>
    <t xml:space="preserve">30/09/2025</t>
  </si>
  <si>
    <t xml:space="preserve">17/10/2025</t>
  </si>
  <si>
    <t xml:space="preserve">לטי אלון</t>
  </si>
  <si>
    <t xml:space="preserve">19/10/2025</t>
  </si>
  <si>
    <t xml:space="preserve">עופרי סיידה</t>
  </si>
  <si>
    <t xml:space="preserve">11/11/2025</t>
  </si>
  <si>
    <t xml:space="preserve">04/12/2025</t>
  </si>
  <si>
    <t xml:space="preserve">11/12/2025</t>
  </si>
  <si>
    <t xml:space="preserve">25/12/2025</t>
  </si>
  <si>
    <t xml:space="preserve">? מגן איתן - לא ידוע אם שייך למטה - לא נכלל בסה"כ</t>
  </si>
  <si>
    <t xml:space="preserve">18/03/2026</t>
  </si>
  <si>
    <t xml:space="preserve">06/2025 - 05/2026</t>
  </si>
  <si>
    <t xml:space="preserve">ברוך איידינוב - שכר ברוטו (12 חודשים, ששילמה ישר, שייך למטה)</t>
  </si>
  <si>
    <t xml:space="preserve">סה"כ (לא כולל "?")</t>
  </si>
  <si>
    <t xml:space="preserve">הוצאות משותפות שישר שילמה - מתחלקות חצי-חצי (מ-01/06/2025)</t>
  </si>
  <si>
    <t xml:space="preserve">תיאור</t>
  </si>
  <si>
    <t xml:space="preserve">מי שילם בפועל</t>
  </si>
  <si>
    <t xml:space="preserve">טווח תאריכים</t>
  </si>
  <si>
    <t xml:space="preserve">סה"כ ששולם (ש"ח)</t>
  </si>
  <si>
    <t xml:space="preserve">חלק מטה (חצי)</t>
  </si>
  <si>
    <t xml:space="preserve">חלק ישר (חצי)</t>
  </si>
  <si>
    <t xml:space="preserve">הערות</t>
  </si>
  <si>
    <t xml:space="preserve">שכירות משרד חדש - שהנאז ייזום</t>
  </si>
  <si>
    <t xml:space="preserve">ישר</t>
  </si>
  <si>
    <t xml:space="preserve">08/02/2026 - 02/08/2026</t>
  </si>
  <si>
    <t xml:space="preserve">7 תשלומים: 7,587 + 8,755.20 + 8,782 + 8,911 + 9,051 + 9,165 + 9,167. לא כולל פיקדון משרד 25,490 (03/02/2026) - הושאר בצד.</t>
  </si>
  <si>
    <t xml:space="preserve">אייל גולן עו"ד (ריטיינר+חשבוניות, ללא התראה לסבן וללא תביעת אפ בית הכרם)</t>
  </si>
  <si>
    <t xml:space="preserve">29/08/2025 - 10/06/2026</t>
  </si>
  <si>
    <t xml:space="preserve">סה"כ שולם 67,549.10, פחות החזר כפילות 6,608, פחות מכתב התראה לסבן 1,652 (לא נכלל) ופחות תביעת אפ בית הכרם 7,080 (לא נכלל).</t>
  </si>
  <si>
    <t xml:space="preserve">שכירות משרד ישן - איזי טו כאל</t>
  </si>
  <si>
    <t xml:space="preserve">23/06/2025 - 09/03/2026</t>
  </si>
  <si>
    <t xml:space="preserve">9 תשלומים של 2,950 ש"ח כל אחד</t>
  </si>
  <si>
    <t xml:space="preserve">מחשבים</t>
  </si>
  <si>
    <t xml:space="preserve">22/03/2026</t>
  </si>
  <si>
    <t xml:space="preserve">אסתר נאסה - עובדת שעבדה עבור שתי החברות (שכר)</t>
  </si>
  <si>
    <t xml:space="preserve">13/02/2026 - 10/07/2026</t>
  </si>
  <si>
    <t xml:space="preserve">6 תשלומי שכר, 8,795-11,813 ש"ח כל אחד</t>
  </si>
  <si>
    <t xml:space="preserve">נחשון - שכר ברוטו</t>
  </si>
  <si>
    <t xml:space="preserve">06/2025 - 06/2026</t>
  </si>
  <si>
    <t xml:space="preserve">לפי דו"ח ריכוז תלושים (רו"ח יוסי טובול). 13 חודשים: 06/25-06/26. עמודת ברוטו (לא עלות מעביד).</t>
  </si>
  <si>
    <t xml:space="preserve">ש מינסקי יזמות - תשלום עבור חשבונית</t>
  </si>
  <si>
    <t xml:space="preserve">13/07/2026 - 13/10/2026</t>
  </si>
  <si>
    <t xml:space="preserve">3 תשלומים של 16,520 ש"ח כל אחד (13/07, 16/08 ושיק 5000289 ב-13/10/2026 - אושר ע"י שמואל 15/10)</t>
  </si>
  <si>
    <t xml:space="preserve">קארו עדאלה (עדינה) - שכר ברוטו</t>
  </si>
  <si>
    <t xml:space="preserve">06/2026 - 08/2026</t>
  </si>
  <si>
    <t xml:space="preserve">לפי תלושי ישר: 6/26 12,881 + 7/26 11,850 + 8/26 14,323 (סה"כ תשלומים = ברוטו). חצי-חצי לפי שמואל</t>
  </si>
  <si>
    <t xml:space="preserve">הוצאות משותפות שמטה שילמה - מתחלקות חצי-חצי (מ-01/06/2025)</t>
  </si>
  <si>
    <t xml:space="preserve">חלק מטה</t>
  </si>
  <si>
    <t xml:space="preserve">חלק ישר</t>
  </si>
  <si>
    <t xml:space="preserve">אייל גולן עו"ד - ריטיינר חודשי</t>
  </si>
  <si>
    <t xml:space="preserve">מטה</t>
  </si>
  <si>
    <t xml:space="preserve">12/07/2026</t>
  </si>
  <si>
    <t xml:space="preserve">12/08/2026</t>
  </si>
  <si>
    <t xml:space="preserve">02/2026 - 05/2026</t>
  </si>
  <si>
    <t xml:space="preserve">לפי תלושי מטה: 2/26 15,066 + 3/26 9,291 + 4/26 8,976 + 5/26 11,617. חצי-חצי לפי שמואל</t>
  </si>
  <si>
    <t xml:space="preserve">שלומי מינסקי - שכר ברוטו (100% ישר)</t>
  </si>
  <si>
    <t xml:space="preserve">01/2026 - 05/2026</t>
  </si>
  <si>
    <t xml:space="preserve">לפי תלושי מטה: 1/26 11,740 + 2/26 11,740 + 3/26 10,181 + 4/26 22,846 + 5/26 22,770. לפי שמואל שלמה מינסקי 100% על ישר - כל הסכום חוב של ישר למטה. (מ-6/26 משולם ע"י ישר - לא נכנס להתחשבנות)</t>
  </si>
  <si>
    <t xml:space="preserve">כספים שהוכנסו לחשבון ישר אבל שייכים למטה (מ-01/06/2025)</t>
  </si>
  <si>
    <t xml:space="preserve">מקור</t>
  </si>
  <si>
    <t xml:space="preserve">08/07/2025</t>
  </si>
  <si>
    <t xml:space="preserve">אלומאסטר</t>
  </si>
  <si>
    <t xml:space="preserve">כסף שנכנס לחשבון ישר, שייך למטה</t>
  </si>
  <si>
    <t xml:space="preserve">לא צוין</t>
  </si>
  <si>
    <t xml:space="preserve">עו"ד יצחק אפש</t>
  </si>
  <si>
    <t xml:space="preserve">? לא ידוע אם שייך למטה - לא נכלל בסה"כ</t>
  </si>
  <si>
    <t xml:space="preserve">04/08/2025</t>
  </si>
  <si>
    <t xml:space="preserve">אלומסטר</t>
  </si>
  <si>
    <t xml:space="preserve">19/08/2025</t>
  </si>
  <si>
    <t xml:space="preserve">EZ CHARGE (העברת זה"ב)</t>
  </si>
  <si>
    <t xml:space="preserve">04/09/2025</t>
  </si>
  <si>
    <t xml:space="preserve">אם אר טי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</si>
</sst>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.00"/>
  </numFmts>
  <fonts count="7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2E4B"/>
        <bgColor rgb="FF003366"/>
      </patternFill>
    </fill>
    <fill>
      <patternFill patternType="solid">
        <fgColor rgb="FF003366"/>
        <bgColor rgb="FF002E4B"/>
      </patternFill>
    </fill>
    <fill>
      <patternFill patternType="solid">
        <fgColor rgb="FFD9D9D9"/>
        <bgColor rgb="FFF5C9C9"/>
      </patternFill>
    </fill>
    <fill>
      <patternFill patternType="solid">
        <fgColor rgb="FFA0D9FF"/>
        <bgColor rgb="FFC0C0C0"/>
      </patternFill>
    </fill>
    <fill>
      <patternFill patternType="solid">
        <fgColor rgb="FFF5C9C9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0D9FF"/>
      <rgbColor rgb="FFFF99CC"/>
      <rgbColor rgb="FFCC99FF"/>
      <rgbColor rgb="FFF5C9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2E4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0" width="12.62"/>
    <col collapsed="false" customWidth="true" hidden="false" outlineLevel="0" max="3" min="3" style="0" width="16.62"/>
    <col collapsed="false" customWidth="true" hidden="false" outlineLevel="0" max="4" min="4" style="0" width="45.62"/>
  </cols>
  <sheetData>
    <row r="1" customFormat="false" ht="18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</row>
    <row r="4" customFormat="false" ht="14.25" hidden="false" customHeight="false" outlineLevel="0" collapsed="false">
      <c r="A4" s="5" t="s">
        <v>5</v>
      </c>
      <c r="B4" s="6" t="n">
        <v>65523</v>
      </c>
      <c r="C4" s="7" t="n">
        <v>60000</v>
      </c>
      <c r="D4" s="6" t="s">
        <v>6</v>
      </c>
    </row>
    <row r="5" customFormat="false" ht="14.25" hidden="false" customHeight="false" outlineLevel="0" collapsed="false">
      <c r="A5" s="5" t="s">
        <v>7</v>
      </c>
      <c r="B5" s="6" t="n">
        <v>70558</v>
      </c>
      <c r="C5" s="7" t="n">
        <v>10000</v>
      </c>
      <c r="D5" s="6" t="s">
        <v>6</v>
      </c>
    </row>
    <row r="6" customFormat="false" ht="14.25" hidden="false" customHeight="false" outlineLevel="0" collapsed="false">
      <c r="A6" s="5" t="s">
        <v>8</v>
      </c>
      <c r="B6" s="6" t="n">
        <v>167379</v>
      </c>
      <c r="C6" s="7" t="n">
        <v>20000</v>
      </c>
      <c r="D6" s="6" t="s">
        <v>6</v>
      </c>
    </row>
    <row r="7" customFormat="false" ht="14.25" hidden="false" customHeight="false" outlineLevel="0" collapsed="false">
      <c r="A7" s="5" t="s">
        <v>9</v>
      </c>
      <c r="B7" s="6" t="n">
        <v>145404</v>
      </c>
      <c r="C7" s="7" t="n">
        <v>79000</v>
      </c>
      <c r="D7" s="6" t="s">
        <v>10</v>
      </c>
    </row>
    <row r="8" customFormat="false" ht="14.25" hidden="false" customHeight="false" outlineLevel="0" collapsed="false">
      <c r="A8" s="5" t="s">
        <v>9</v>
      </c>
      <c r="B8" s="6" t="n">
        <v>167874</v>
      </c>
      <c r="C8" s="7" t="n">
        <v>35000</v>
      </c>
      <c r="D8" s="6" t="s">
        <v>6</v>
      </c>
    </row>
    <row r="9" customFormat="false" ht="14.25" hidden="false" customHeight="false" outlineLevel="0" collapsed="false">
      <c r="A9" s="5" t="s">
        <v>11</v>
      </c>
      <c r="B9" s="6" t="n">
        <v>151517</v>
      </c>
      <c r="C9" s="7" t="n">
        <v>20000</v>
      </c>
      <c r="D9" s="6" t="s">
        <v>6</v>
      </c>
    </row>
    <row r="10" customFormat="false" ht="14.25" hidden="false" customHeight="false" outlineLevel="0" collapsed="false">
      <c r="A10" s="5" t="s">
        <v>12</v>
      </c>
      <c r="B10" s="6" t="n">
        <v>68862</v>
      </c>
      <c r="C10" s="7" t="n">
        <v>20000</v>
      </c>
      <c r="D10" s="6" t="s">
        <v>6</v>
      </c>
    </row>
    <row r="11" customFormat="false" ht="14.25" hidden="false" customHeight="false" outlineLevel="0" collapsed="false">
      <c r="A11" s="5" t="s">
        <v>13</v>
      </c>
      <c r="B11" s="6" t="n">
        <v>17821</v>
      </c>
      <c r="C11" s="7" t="n">
        <v>20000</v>
      </c>
      <c r="D11" s="6" t="s">
        <v>6</v>
      </c>
    </row>
    <row r="12" customFormat="false" ht="14.25" hidden="false" customHeight="false" outlineLevel="0" collapsed="false">
      <c r="A12" s="5" t="s">
        <v>14</v>
      </c>
      <c r="B12" s="6" t="n">
        <v>207109</v>
      </c>
      <c r="C12" s="7" t="n">
        <v>1300</v>
      </c>
      <c r="D12" s="6" t="s">
        <v>6</v>
      </c>
    </row>
    <row r="13" customFormat="false" ht="14.25" hidden="false" customHeight="false" outlineLevel="0" collapsed="false">
      <c r="A13" s="5" t="s">
        <v>15</v>
      </c>
      <c r="B13" s="6" t="n">
        <v>140741</v>
      </c>
      <c r="C13" s="7" t="n">
        <v>15000</v>
      </c>
      <c r="D13" s="6" t="s">
        <v>16</v>
      </c>
    </row>
    <row r="14" customFormat="false" ht="14.25" hidden="false" customHeight="false" outlineLevel="0" collapsed="false">
      <c r="A14" s="5" t="s">
        <v>17</v>
      </c>
      <c r="B14" s="6" t="n">
        <v>46150</v>
      </c>
      <c r="C14" s="7" t="n">
        <v>25000</v>
      </c>
      <c r="D14" s="6" t="s">
        <v>6</v>
      </c>
    </row>
    <row r="15" customFormat="false" ht="14.25" hidden="false" customHeight="false" outlineLevel="0" collapsed="false">
      <c r="A15" s="5" t="s">
        <v>17</v>
      </c>
      <c r="B15" s="6" t="n">
        <v>159456</v>
      </c>
      <c r="C15" s="7" t="n">
        <v>25000</v>
      </c>
      <c r="D15" s="6" t="s">
        <v>6</v>
      </c>
    </row>
    <row r="16" customFormat="false" ht="14.25" hidden="false" customHeight="false" outlineLevel="0" collapsed="false">
      <c r="A16" s="5" t="s">
        <v>18</v>
      </c>
      <c r="B16" s="6" t="n">
        <v>124529</v>
      </c>
      <c r="C16" s="7" t="n">
        <v>90000</v>
      </c>
      <c r="D16" s="6" t="s">
        <v>6</v>
      </c>
    </row>
    <row r="17" customFormat="false" ht="14.25" hidden="false" customHeight="false" outlineLevel="0" collapsed="false">
      <c r="A17" s="5" t="s">
        <v>19</v>
      </c>
      <c r="B17" s="6" t="n">
        <v>59313</v>
      </c>
      <c r="C17" s="7" t="n">
        <v>60000</v>
      </c>
      <c r="D17" s="6" t="s">
        <v>6</v>
      </c>
    </row>
    <row r="18" customFormat="false" ht="14.25" hidden="false" customHeight="false" outlineLevel="0" collapsed="false">
      <c r="A18" s="5" t="s">
        <v>20</v>
      </c>
      <c r="B18" s="6" t="n">
        <v>119785</v>
      </c>
      <c r="C18" s="7" t="n">
        <v>22000</v>
      </c>
      <c r="D18" s="6" t="s">
        <v>6</v>
      </c>
    </row>
    <row r="19" customFormat="false" ht="14.25" hidden="false" customHeight="false" outlineLevel="0" collapsed="false">
      <c r="A19" s="5" t="s">
        <v>21</v>
      </c>
      <c r="B19" s="6" t="n">
        <v>1370</v>
      </c>
      <c r="C19" s="7" t="n">
        <v>30000</v>
      </c>
      <c r="D19" s="6" t="s">
        <v>6</v>
      </c>
    </row>
    <row r="20" customFormat="false" ht="14.25" hidden="false" customHeight="false" outlineLevel="0" collapsed="false">
      <c r="A20" s="5" t="s">
        <v>22</v>
      </c>
      <c r="B20" s="6" t="n">
        <v>25734</v>
      </c>
      <c r="C20" s="7" t="n">
        <v>10000</v>
      </c>
      <c r="D20" s="6" t="s">
        <v>23</v>
      </c>
    </row>
    <row r="21" customFormat="false" ht="14.25" hidden="false" customHeight="false" outlineLevel="0" collapsed="false">
      <c r="A21" s="5" t="s">
        <v>24</v>
      </c>
      <c r="B21" s="6" t="n">
        <v>164216</v>
      </c>
      <c r="C21" s="7" t="n">
        <v>5000</v>
      </c>
      <c r="D21" s="6" t="s">
        <v>6</v>
      </c>
    </row>
    <row r="22" customFormat="false" ht="14.25" hidden="false" customHeight="false" outlineLevel="0" collapsed="false">
      <c r="A22" s="5" t="s">
        <v>25</v>
      </c>
      <c r="B22" s="6" t="n">
        <v>84004</v>
      </c>
      <c r="C22" s="7" t="n">
        <v>20000</v>
      </c>
      <c r="D22" s="6"/>
    </row>
    <row r="23" customFormat="false" ht="14.25" hidden="false" customHeight="false" outlineLevel="0" collapsed="false">
      <c r="A23" s="5" t="s">
        <v>26</v>
      </c>
      <c r="B23" s="6" t="n">
        <v>10513</v>
      </c>
      <c r="C23" s="7" t="n">
        <v>100000</v>
      </c>
      <c r="D23" s="6" t="s">
        <v>6</v>
      </c>
    </row>
    <row r="24" customFormat="false" ht="14.25" hidden="false" customHeight="false" outlineLevel="0" collapsed="false">
      <c r="A24" s="5" t="s">
        <v>27</v>
      </c>
      <c r="B24" s="6" t="n">
        <v>131981</v>
      </c>
      <c r="C24" s="7" t="n">
        <v>75000</v>
      </c>
      <c r="D24" s="6" t="s">
        <v>28</v>
      </c>
    </row>
    <row r="25" customFormat="false" ht="14.25" hidden="false" customHeight="false" outlineLevel="0" collapsed="false">
      <c r="A25" s="5" t="s">
        <v>29</v>
      </c>
      <c r="B25" s="6" t="n">
        <v>45016</v>
      </c>
      <c r="C25" s="7" t="n">
        <v>40000</v>
      </c>
      <c r="D25" s="6" t="s">
        <v>6</v>
      </c>
    </row>
    <row r="26" customFormat="false" ht="14.25" hidden="false" customHeight="false" outlineLevel="0" collapsed="false">
      <c r="A26" s="5" t="s">
        <v>30</v>
      </c>
      <c r="B26" s="6" t="n">
        <v>76727</v>
      </c>
      <c r="C26" s="7" t="n">
        <v>22000</v>
      </c>
      <c r="D26" s="6" t="s">
        <v>28</v>
      </c>
    </row>
    <row r="27" customFormat="false" ht="14.25" hidden="false" customHeight="false" outlineLevel="0" collapsed="false">
      <c r="A27" s="5" t="s">
        <v>31</v>
      </c>
      <c r="B27" s="6" t="n">
        <v>45597</v>
      </c>
      <c r="C27" s="7" t="n">
        <v>90000</v>
      </c>
      <c r="D27" s="6" t="s">
        <v>28</v>
      </c>
    </row>
    <row r="28" customFormat="false" ht="14.25" hidden="false" customHeight="false" outlineLevel="0" collapsed="false">
      <c r="A28" s="5" t="s">
        <v>32</v>
      </c>
      <c r="B28" s="6" t="n">
        <v>228485</v>
      </c>
      <c r="C28" s="7" t="n">
        <v>5000</v>
      </c>
      <c r="D28" s="6" t="s">
        <v>28</v>
      </c>
    </row>
    <row r="29" customFormat="false" ht="14.25" hidden="false" customHeight="false" outlineLevel="0" collapsed="false">
      <c r="A29" s="5" t="s">
        <v>33</v>
      </c>
      <c r="B29" s="6" t="n">
        <v>187497</v>
      </c>
      <c r="C29" s="7" t="n">
        <v>90000</v>
      </c>
      <c r="D29" s="6" t="s">
        <v>23</v>
      </c>
    </row>
    <row r="30" customFormat="false" ht="14.25" hidden="false" customHeight="false" outlineLevel="0" collapsed="false">
      <c r="A30" s="5" t="s">
        <v>34</v>
      </c>
      <c r="B30" s="6" t="n">
        <v>161622</v>
      </c>
      <c r="C30" s="7" t="n">
        <v>160000</v>
      </c>
      <c r="D30" s="6" t="s">
        <v>23</v>
      </c>
    </row>
    <row r="31" customFormat="false" ht="14.25" hidden="false" customHeight="false" outlineLevel="0" collapsed="false">
      <c r="A31" s="5" t="s">
        <v>35</v>
      </c>
      <c r="B31" s="6" t="n">
        <v>177736</v>
      </c>
      <c r="C31" s="7" t="n">
        <v>30000</v>
      </c>
      <c r="D31" s="6" t="s">
        <v>23</v>
      </c>
    </row>
    <row r="32" customFormat="false" ht="14.25" hidden="false" customHeight="false" outlineLevel="0" collapsed="false">
      <c r="A32" s="5" t="s">
        <v>36</v>
      </c>
      <c r="B32" s="6" t="n">
        <v>30883</v>
      </c>
      <c r="C32" s="7" t="n">
        <v>5150</v>
      </c>
      <c r="D32" s="6" t="s">
        <v>37</v>
      </c>
    </row>
    <row r="33" customFormat="false" ht="14.25" hidden="false" customHeight="false" outlineLevel="0" collapsed="false">
      <c r="A33" s="5" t="s">
        <v>38</v>
      </c>
      <c r="B33" s="6" t="n">
        <v>158239</v>
      </c>
      <c r="C33" s="7" t="n">
        <v>87000</v>
      </c>
      <c r="D33" s="6" t="s">
        <v>23</v>
      </c>
    </row>
    <row r="34" customFormat="false" ht="14.25" hidden="false" customHeight="false" outlineLevel="0" collapsed="false">
      <c r="A34" s="5" t="s">
        <v>39</v>
      </c>
      <c r="B34" s="6" t="n">
        <v>72490</v>
      </c>
      <c r="C34" s="7" t="n">
        <v>209000</v>
      </c>
      <c r="D34" s="6" t="s">
        <v>23</v>
      </c>
    </row>
    <row r="35" customFormat="false" ht="14.25" hidden="false" customHeight="false" outlineLevel="0" collapsed="false">
      <c r="A35" s="5" t="s">
        <v>40</v>
      </c>
      <c r="B35" s="6" t="n">
        <v>21536</v>
      </c>
      <c r="C35" s="7" t="n">
        <v>10000</v>
      </c>
      <c r="D35" s="6" t="s">
        <v>23</v>
      </c>
    </row>
    <row r="36" customFormat="false" ht="14.25" hidden="false" customHeight="false" outlineLevel="0" collapsed="false">
      <c r="A36" s="5" t="s">
        <v>41</v>
      </c>
      <c r="B36" s="6" t="n">
        <v>158223</v>
      </c>
      <c r="C36" s="7" t="n">
        <v>12000</v>
      </c>
      <c r="D36" s="6" t="s">
        <v>23</v>
      </c>
    </row>
    <row r="37" customFormat="false" ht="14.25" hidden="false" customHeight="false" outlineLevel="0" collapsed="false">
      <c r="A37" s="5" t="s">
        <v>42</v>
      </c>
      <c r="B37" s="6" t="n">
        <v>103044</v>
      </c>
      <c r="C37" s="7" t="n">
        <v>57000</v>
      </c>
      <c r="D37" s="6" t="s">
        <v>6</v>
      </c>
    </row>
    <row r="38" customFormat="false" ht="14.25" hidden="false" customHeight="false" outlineLevel="0" collapsed="false">
      <c r="A38" s="5" t="s">
        <v>43</v>
      </c>
      <c r="B38" s="6" t="n">
        <v>123514</v>
      </c>
      <c r="C38" s="7" t="n">
        <v>20000</v>
      </c>
      <c r="D38" s="6" t="s">
        <v>23</v>
      </c>
    </row>
    <row r="39" customFormat="false" ht="14.25" hidden="false" customHeight="false" outlineLevel="0" collapsed="false">
      <c r="A39" s="5" t="s">
        <v>44</v>
      </c>
      <c r="B39" s="6" t="n">
        <v>171556</v>
      </c>
      <c r="C39" s="7" t="n">
        <v>20000</v>
      </c>
      <c r="D39" s="6" t="s">
        <v>23</v>
      </c>
    </row>
    <row r="40" customFormat="false" ht="14.25" hidden="false" customHeight="false" outlineLevel="0" collapsed="false">
      <c r="A40" s="5" t="s">
        <v>45</v>
      </c>
      <c r="B40" s="6" t="n">
        <v>175583</v>
      </c>
      <c r="C40" s="7" t="n">
        <v>142000</v>
      </c>
      <c r="D40" s="6" t="s">
        <v>23</v>
      </c>
    </row>
    <row r="41" customFormat="false" ht="14.25" hidden="false" customHeight="false" outlineLevel="0" collapsed="false">
      <c r="A41" s="5" t="s">
        <v>46</v>
      </c>
      <c r="B41" s="6" t="n">
        <v>162694</v>
      </c>
      <c r="C41" s="7" t="n">
        <v>30000</v>
      </c>
      <c r="D41" s="6" t="s">
        <v>28</v>
      </c>
    </row>
    <row r="42" customFormat="false" ht="14.25" hidden="false" customHeight="false" outlineLevel="0" collapsed="false">
      <c r="A42" s="5" t="s">
        <v>47</v>
      </c>
      <c r="B42" s="6" t="n">
        <v>3622</v>
      </c>
      <c r="C42" s="7" t="n">
        <v>45000</v>
      </c>
      <c r="D42" s="6" t="s">
        <v>23</v>
      </c>
    </row>
    <row r="43" customFormat="false" ht="14.25" hidden="false" customHeight="false" outlineLevel="0" collapsed="false">
      <c r="A43" s="5" t="s">
        <v>48</v>
      </c>
      <c r="B43" s="6" t="n">
        <v>68720</v>
      </c>
      <c r="C43" s="7" t="n">
        <v>10000</v>
      </c>
      <c r="D43" s="6" t="s">
        <v>23</v>
      </c>
    </row>
    <row r="44" customFormat="false" ht="14.25" hidden="false" customHeight="false" outlineLevel="0" collapsed="false">
      <c r="A44" s="5" t="s">
        <v>48</v>
      </c>
      <c r="B44" s="6" t="n">
        <v>94537</v>
      </c>
      <c r="C44" s="7" t="n">
        <v>30000</v>
      </c>
      <c r="D44" s="6" t="s">
        <v>23</v>
      </c>
    </row>
    <row r="45" customFormat="false" ht="14.25" hidden="false" customHeight="false" outlineLevel="0" collapsed="false">
      <c r="A45" s="5" t="s">
        <v>49</v>
      </c>
      <c r="B45" s="6" t="n">
        <v>63186</v>
      </c>
      <c r="C45" s="7" t="n">
        <v>16200</v>
      </c>
      <c r="D45" s="6" t="s">
        <v>23</v>
      </c>
    </row>
    <row r="46" customFormat="false" ht="14.25" hidden="false" customHeight="false" outlineLevel="0" collapsed="false">
      <c r="A46" s="5" t="s">
        <v>50</v>
      </c>
      <c r="B46" s="6" t="n">
        <v>135961</v>
      </c>
      <c r="C46" s="7" t="n">
        <v>150000</v>
      </c>
      <c r="D46" s="6" t="s">
        <v>51</v>
      </c>
    </row>
    <row r="47" customFormat="false" ht="14.25" hidden="false" customHeight="false" outlineLevel="0" collapsed="false">
      <c r="A47" s="5" t="s">
        <v>52</v>
      </c>
      <c r="B47" s="6" t="n">
        <v>111529</v>
      </c>
      <c r="C47" s="7" t="n">
        <v>30000</v>
      </c>
      <c r="D47" s="6" t="s">
        <v>28</v>
      </c>
    </row>
    <row r="48" customFormat="false" ht="14.25" hidden="false" customHeight="false" outlineLevel="0" collapsed="false">
      <c r="A48" s="5" t="s">
        <v>53</v>
      </c>
      <c r="B48" s="6" t="n">
        <v>58916</v>
      </c>
      <c r="C48" s="7" t="n">
        <v>25000</v>
      </c>
      <c r="D48" s="6" t="s">
        <v>6</v>
      </c>
    </row>
    <row r="49" customFormat="false" ht="14.25" hidden="false" customHeight="false" outlineLevel="0" collapsed="false">
      <c r="A49" s="5" t="s">
        <v>53</v>
      </c>
      <c r="B49" s="6" t="n">
        <v>58917</v>
      </c>
      <c r="C49" s="7" t="n">
        <v>25000</v>
      </c>
      <c r="D49" s="6" t="s">
        <v>6</v>
      </c>
    </row>
    <row r="50" customFormat="false" ht="14.25" hidden="false" customHeight="false" outlineLevel="0" collapsed="false">
      <c r="A50" s="5" t="s">
        <v>54</v>
      </c>
      <c r="B50" s="6" t="n">
        <v>122820</v>
      </c>
      <c r="C50" s="7" t="n">
        <v>32951</v>
      </c>
      <c r="D50" s="6" t="s">
        <v>6</v>
      </c>
    </row>
    <row r="51" customFormat="false" ht="14.25" hidden="false" customHeight="false" outlineLevel="0" collapsed="false">
      <c r="A51" s="5" t="s">
        <v>55</v>
      </c>
      <c r="B51" s="6" t="n">
        <v>3104</v>
      </c>
      <c r="C51" s="7" t="n">
        <v>25000</v>
      </c>
      <c r="D51" s="6" t="s">
        <v>28</v>
      </c>
    </row>
    <row r="52" customFormat="false" ht="14.25" hidden="false" customHeight="false" outlineLevel="0" collapsed="false">
      <c r="A52" s="5" t="s">
        <v>56</v>
      </c>
      <c r="B52" s="6" t="n">
        <v>99715</v>
      </c>
      <c r="C52" s="7" t="n">
        <v>58826</v>
      </c>
      <c r="D52" s="6" t="s">
        <v>57</v>
      </c>
    </row>
    <row r="53" customFormat="false" ht="14.25" hidden="false" customHeight="false" outlineLevel="0" collapsed="false">
      <c r="A53" s="5" t="s">
        <v>58</v>
      </c>
      <c r="B53" s="6" t="n">
        <v>52425</v>
      </c>
      <c r="C53" s="7" t="n">
        <v>50000</v>
      </c>
      <c r="D53" s="6" t="s">
        <v>6</v>
      </c>
    </row>
    <row r="54" customFormat="false" ht="14.25" hidden="false" customHeight="false" outlineLevel="0" collapsed="false">
      <c r="A54" s="5" t="s">
        <v>59</v>
      </c>
      <c r="B54" s="6" t="n">
        <v>59067</v>
      </c>
      <c r="C54" s="7" t="n">
        <v>30000</v>
      </c>
      <c r="D54" s="6" t="s">
        <v>6</v>
      </c>
    </row>
    <row r="55" customFormat="false" ht="14.15" hidden="false" customHeight="false" outlineLevel="0" collapsed="false">
      <c r="A55" s="5" t="s">
        <v>60</v>
      </c>
      <c r="B55" s="6"/>
      <c r="C55" s="7" t="n">
        <v>16000</v>
      </c>
      <c r="D55" s="6" t="s">
        <v>61</v>
      </c>
    </row>
    <row r="56" customFormat="false" ht="15" hidden="false" customHeight="true" outlineLevel="0" collapsed="false">
      <c r="A56" s="8" t="s">
        <v>62</v>
      </c>
      <c r="B56" s="9"/>
      <c r="C56" s="10" t="n">
        <v>2315427</v>
      </c>
      <c r="D56" s="9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0" width="12.62"/>
    <col collapsed="false" customWidth="true" hidden="false" outlineLevel="0" max="3" min="3" style="0" width="16.62"/>
    <col collapsed="false" customWidth="true" hidden="false" outlineLevel="0" max="4" min="4" style="0" width="45.62"/>
  </cols>
  <sheetData>
    <row r="1" customFormat="false" ht="18" hidden="false" customHeight="true" outlineLevel="0" collapsed="false">
      <c r="A1" s="2" t="s">
        <v>63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</row>
    <row r="4" customFormat="false" ht="14.25" hidden="false" customHeight="false" outlineLevel="0" collapsed="false">
      <c r="A4" s="5" t="s">
        <v>64</v>
      </c>
      <c r="B4" s="6" t="n">
        <v>36886</v>
      </c>
      <c r="C4" s="7" t="n">
        <v>73000</v>
      </c>
      <c r="D4" s="6" t="s">
        <v>65</v>
      </c>
    </row>
    <row r="5" customFormat="false" ht="14.25" hidden="false" customHeight="false" outlineLevel="0" collapsed="false">
      <c r="A5" s="5" t="s">
        <v>66</v>
      </c>
      <c r="B5" s="6" t="n">
        <v>84005</v>
      </c>
      <c r="C5" s="7" t="n">
        <v>28600</v>
      </c>
      <c r="D5" s="6"/>
    </row>
    <row r="6" customFormat="false" ht="14.25" hidden="false" customHeight="false" outlineLevel="0" collapsed="false">
      <c r="A6" s="5" t="s">
        <v>67</v>
      </c>
      <c r="B6" s="6" t="n">
        <v>262831</v>
      </c>
      <c r="C6" s="7" t="n">
        <v>12000</v>
      </c>
      <c r="D6" s="6" t="s">
        <v>65</v>
      </c>
    </row>
    <row r="7" customFormat="false" ht="14.25" hidden="false" customHeight="false" outlineLevel="0" collapsed="false">
      <c r="A7" s="5" t="s">
        <v>68</v>
      </c>
      <c r="B7" s="6" t="n">
        <v>77725</v>
      </c>
      <c r="C7" s="7" t="n">
        <v>160000</v>
      </c>
      <c r="D7" s="6" t="s">
        <v>69</v>
      </c>
    </row>
    <row r="8" customFormat="false" ht="14.25" hidden="false" customHeight="false" outlineLevel="0" collapsed="false">
      <c r="A8" s="5" t="s">
        <v>70</v>
      </c>
      <c r="B8" s="6" t="n">
        <v>53274</v>
      </c>
      <c r="C8" s="7" t="n">
        <v>26900</v>
      </c>
      <c r="D8" s="6" t="s">
        <v>69</v>
      </c>
    </row>
    <row r="9" customFormat="false" ht="14.25" hidden="false" customHeight="false" outlineLevel="0" collapsed="false">
      <c r="A9" s="5" t="s">
        <v>71</v>
      </c>
      <c r="B9" s="6" t="n">
        <v>93690</v>
      </c>
      <c r="C9" s="7" t="n">
        <v>28000</v>
      </c>
      <c r="D9" s="6" t="s">
        <v>69</v>
      </c>
    </row>
    <row r="10" customFormat="false" ht="14.25" hidden="false" customHeight="false" outlineLevel="0" collapsed="false">
      <c r="A10" s="5" t="s">
        <v>72</v>
      </c>
      <c r="B10" s="6" t="n">
        <v>191842</v>
      </c>
      <c r="C10" s="7" t="n">
        <v>165000</v>
      </c>
      <c r="D10" s="6" t="s">
        <v>69</v>
      </c>
    </row>
    <row r="11" customFormat="false" ht="14.25" hidden="false" customHeight="false" outlineLevel="0" collapsed="false">
      <c r="A11" s="5" t="s">
        <v>73</v>
      </c>
      <c r="B11" s="6" t="n">
        <v>69930</v>
      </c>
      <c r="C11" s="7" t="n">
        <v>1600</v>
      </c>
      <c r="D11" s="6" t="s">
        <v>69</v>
      </c>
    </row>
    <row r="12" customFormat="false" ht="14.25" hidden="false" customHeight="false" outlineLevel="0" collapsed="false">
      <c r="A12" s="5" t="s">
        <v>44</v>
      </c>
      <c r="B12" s="6" t="n">
        <v>262497</v>
      </c>
      <c r="C12" s="7" t="n">
        <v>25000</v>
      </c>
      <c r="D12" s="6" t="s">
        <v>65</v>
      </c>
    </row>
    <row r="13" customFormat="false" ht="14.25" hidden="false" customHeight="false" outlineLevel="0" collapsed="false">
      <c r="A13" s="5" t="s">
        <v>74</v>
      </c>
      <c r="B13" s="6" t="n">
        <v>247204</v>
      </c>
      <c r="C13" s="7" t="n">
        <v>80000</v>
      </c>
      <c r="D13" s="6" t="s">
        <v>69</v>
      </c>
    </row>
    <row r="14" customFormat="false" ht="14.25" hidden="false" customHeight="false" outlineLevel="0" collapsed="false">
      <c r="A14" s="5" t="s">
        <v>75</v>
      </c>
      <c r="B14" s="6" t="n">
        <v>92275</v>
      </c>
      <c r="C14" s="7" t="n">
        <v>50000</v>
      </c>
      <c r="D14" s="6" t="s">
        <v>65</v>
      </c>
    </row>
    <row r="15" customFormat="false" ht="14.25" hidden="false" customHeight="false" outlineLevel="0" collapsed="false">
      <c r="A15" s="5" t="s">
        <v>76</v>
      </c>
      <c r="B15" s="6" t="n">
        <v>48502</v>
      </c>
      <c r="C15" s="7" t="n">
        <v>35000</v>
      </c>
      <c r="D15" s="6" t="s">
        <v>69</v>
      </c>
    </row>
    <row r="16" customFormat="false" ht="14.25" hidden="false" customHeight="false" outlineLevel="0" collapsed="false">
      <c r="A16" s="5" t="s">
        <v>77</v>
      </c>
      <c r="B16" s="6" t="n">
        <v>17773</v>
      </c>
      <c r="C16" s="7" t="n">
        <v>30000</v>
      </c>
      <c r="D16" s="6" t="s">
        <v>78</v>
      </c>
    </row>
    <row r="17" customFormat="false" ht="14.25" hidden="false" customHeight="false" outlineLevel="0" collapsed="false">
      <c r="A17" s="5" t="s">
        <v>79</v>
      </c>
      <c r="B17" s="6" t="n">
        <v>119784</v>
      </c>
      <c r="C17" s="7" t="n">
        <v>40000</v>
      </c>
      <c r="D17" s="6" t="s">
        <v>65</v>
      </c>
    </row>
    <row r="18" customFormat="false" ht="14.25" hidden="false" customHeight="false" outlineLevel="0" collapsed="false">
      <c r="A18" s="5" t="s">
        <v>80</v>
      </c>
      <c r="B18" s="6" t="n">
        <v>114812</v>
      </c>
      <c r="C18" s="7" t="n">
        <v>13000</v>
      </c>
      <c r="D18" s="6" t="s">
        <v>65</v>
      </c>
    </row>
    <row r="19" customFormat="false" ht="14.25" hidden="false" customHeight="false" outlineLevel="0" collapsed="false">
      <c r="A19" s="5" t="s">
        <v>81</v>
      </c>
      <c r="B19" s="6" t="n">
        <v>85254</v>
      </c>
      <c r="C19" s="7" t="n">
        <v>1500</v>
      </c>
      <c r="D19" s="6" t="s">
        <v>69</v>
      </c>
    </row>
    <row r="20" customFormat="false" ht="14.25" hidden="false" customHeight="false" outlineLevel="0" collapsed="false">
      <c r="A20" s="5" t="s">
        <v>82</v>
      </c>
      <c r="B20" s="6" t="n">
        <v>134114</v>
      </c>
      <c r="C20" s="7" t="n">
        <v>10000</v>
      </c>
      <c r="D20" s="6" t="s">
        <v>69</v>
      </c>
    </row>
    <row r="21" customFormat="false" ht="14.25" hidden="false" customHeight="false" outlineLevel="0" collapsed="false">
      <c r="A21" s="5" t="s">
        <v>83</v>
      </c>
      <c r="B21" s="6" t="n">
        <v>74961</v>
      </c>
      <c r="C21" s="7" t="n">
        <v>40000</v>
      </c>
      <c r="D21" s="6" t="s">
        <v>69</v>
      </c>
    </row>
    <row r="22" customFormat="false" ht="14.25" hidden="false" customHeight="false" outlineLevel="0" collapsed="false">
      <c r="A22" s="5" t="s">
        <v>84</v>
      </c>
      <c r="B22" s="6" t="n">
        <v>9197</v>
      </c>
      <c r="C22" s="7" t="n">
        <v>213000</v>
      </c>
      <c r="D22" s="6" t="s">
        <v>69</v>
      </c>
    </row>
    <row r="23" customFormat="false" ht="14.25" hidden="false" customHeight="false" outlineLevel="0" collapsed="false">
      <c r="A23" s="5" t="s">
        <v>85</v>
      </c>
      <c r="B23" s="6" t="n">
        <v>117884</v>
      </c>
      <c r="C23" s="7" t="n">
        <v>5000</v>
      </c>
      <c r="D23" s="6" t="s">
        <v>69</v>
      </c>
    </row>
    <row r="24" customFormat="false" ht="14.25" hidden="false" customHeight="false" outlineLevel="0" collapsed="false">
      <c r="A24" s="5" t="s">
        <v>86</v>
      </c>
      <c r="B24" s="6" t="n">
        <v>9555</v>
      </c>
      <c r="C24" s="7" t="n">
        <v>50000</v>
      </c>
      <c r="D24" s="6" t="s">
        <v>69</v>
      </c>
    </row>
    <row r="25" customFormat="false" ht="14.25" hidden="false" customHeight="false" outlineLevel="0" collapsed="false">
      <c r="A25" s="5" t="s">
        <v>87</v>
      </c>
      <c r="B25" s="6" t="n">
        <v>96391</v>
      </c>
      <c r="C25" s="7" t="n">
        <v>12100</v>
      </c>
      <c r="D25" s="6" t="s">
        <v>69</v>
      </c>
    </row>
    <row r="26" customFormat="false" ht="14.25" hidden="false" customHeight="false" outlineLevel="0" collapsed="false">
      <c r="A26" s="5" t="s">
        <v>88</v>
      </c>
      <c r="B26" s="6"/>
      <c r="C26" s="7" t="n">
        <v>19700</v>
      </c>
      <c r="D26" s="6" t="s">
        <v>89</v>
      </c>
    </row>
    <row r="27" customFormat="false" ht="14.15" hidden="false" customHeight="false" outlineLevel="0" collapsed="false">
      <c r="A27" s="5" t="s">
        <v>90</v>
      </c>
      <c r="B27" s="6" t="n">
        <v>155413</v>
      </c>
      <c r="C27" s="7" t="n">
        <v>19770</v>
      </c>
      <c r="D27" s="6" t="s">
        <v>89</v>
      </c>
    </row>
    <row r="28" customFormat="false" ht="15" hidden="false" customHeight="true" outlineLevel="0" collapsed="false">
      <c r="A28" s="8" t="s">
        <v>62</v>
      </c>
      <c r="B28" s="9"/>
      <c r="C28" s="10" t="n">
        <f aca="false">SUM(C4:C27)</f>
        <v>1139170</v>
      </c>
      <c r="D28" s="9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0" width="12.62"/>
    <col collapsed="false" customWidth="true" hidden="false" outlineLevel="0" max="3" min="3" style="0" width="16.62"/>
    <col collapsed="false" customWidth="true" hidden="false" outlineLevel="0" max="4" min="4" style="0" width="55.62"/>
  </cols>
  <sheetData>
    <row r="1" customFormat="false" ht="18" hidden="false" customHeight="true" outlineLevel="0" collapsed="false">
      <c r="A1" s="2" t="s">
        <v>91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92</v>
      </c>
    </row>
    <row r="4" customFormat="false" ht="14.25" hidden="false" customHeight="false" outlineLevel="0" collapsed="false">
      <c r="A4" s="5" t="s">
        <v>93</v>
      </c>
      <c r="B4" s="6" t="n">
        <v>2597912</v>
      </c>
      <c r="C4" s="7" t="n">
        <v>10553.84</v>
      </c>
      <c r="D4" s="6" t="s">
        <v>94</v>
      </c>
    </row>
    <row r="5" customFormat="false" ht="14.25" hidden="false" customHeight="false" outlineLevel="0" collapsed="false">
      <c r="A5" s="5" t="s">
        <v>26</v>
      </c>
      <c r="B5" s="6" t="n">
        <v>700259159</v>
      </c>
      <c r="C5" s="7" t="n">
        <v>37521.91</v>
      </c>
      <c r="D5" s="6" t="s">
        <v>95</v>
      </c>
    </row>
    <row r="6" customFormat="false" ht="14.25" hidden="false" customHeight="false" outlineLevel="0" collapsed="false">
      <c r="A6" s="5" t="s">
        <v>96</v>
      </c>
      <c r="B6" s="6" t="n">
        <v>21573</v>
      </c>
      <c r="C6" s="7" t="n">
        <v>17840</v>
      </c>
      <c r="D6" s="6" t="s">
        <v>97</v>
      </c>
    </row>
    <row r="7" customFormat="false" ht="14.25" hidden="false" customHeight="false" outlineLevel="0" collapsed="false">
      <c r="A7" s="11" t="s">
        <v>96</v>
      </c>
      <c r="B7" s="12" t="n">
        <v>5000235</v>
      </c>
      <c r="C7" s="13" t="n">
        <v>8477</v>
      </c>
      <c r="D7" s="12" t="s">
        <v>98</v>
      </c>
    </row>
    <row r="8" customFormat="false" ht="14.25" hidden="false" customHeight="false" outlineLevel="0" collapsed="false">
      <c r="A8" s="11" t="s">
        <v>81</v>
      </c>
      <c r="B8" s="12" t="n">
        <v>5000301</v>
      </c>
      <c r="C8" s="13" t="n">
        <v>16880</v>
      </c>
      <c r="D8" s="12" t="s">
        <v>98</v>
      </c>
    </row>
    <row r="9" customFormat="false" ht="14.25" hidden="false" customHeight="false" outlineLevel="0" collapsed="false">
      <c r="A9" s="11" t="s">
        <v>99</v>
      </c>
      <c r="B9" s="12" t="n">
        <v>5000302</v>
      </c>
      <c r="C9" s="13" t="n">
        <v>16880</v>
      </c>
      <c r="D9" s="12" t="s">
        <v>98</v>
      </c>
    </row>
    <row r="10" customFormat="false" ht="14.25" hidden="false" customHeight="false" outlineLevel="0" collapsed="false">
      <c r="A10" s="11" t="s">
        <v>100</v>
      </c>
      <c r="B10" s="12" t="n">
        <v>5000328</v>
      </c>
      <c r="C10" s="13" t="n">
        <v>59825</v>
      </c>
      <c r="D10" s="12" t="s">
        <v>101</v>
      </c>
    </row>
    <row r="11" customFormat="false" ht="14.25" hidden="false" customHeight="false" outlineLevel="0" collapsed="false">
      <c r="A11" s="11" t="s">
        <v>102</v>
      </c>
      <c r="B11" s="12" t="n">
        <v>5000284</v>
      </c>
      <c r="C11" s="13" t="n">
        <v>32951</v>
      </c>
      <c r="D11" s="12" t="s">
        <v>103</v>
      </c>
    </row>
    <row r="12" customFormat="false" ht="14.25" hidden="false" customHeight="false" outlineLevel="0" collapsed="false">
      <c r="A12" s="11" t="s">
        <v>104</v>
      </c>
      <c r="B12" s="12"/>
      <c r="C12" s="13" t="n">
        <v>58826</v>
      </c>
      <c r="D12" s="12" t="s">
        <v>105</v>
      </c>
    </row>
    <row r="13" customFormat="false" ht="14.25" hidden="false" customHeight="false" outlineLevel="0" collapsed="false">
      <c r="A13" s="11" t="s">
        <v>106</v>
      </c>
      <c r="B13" s="12"/>
      <c r="C13" s="13" t="n">
        <v>50000</v>
      </c>
      <c r="D13" s="12" t="s">
        <v>107</v>
      </c>
    </row>
    <row r="14" customFormat="false" ht="14.25" hidden="false" customHeight="false" outlineLevel="0" collapsed="false">
      <c r="A14" s="11" t="s">
        <v>106</v>
      </c>
      <c r="B14" s="12"/>
      <c r="C14" s="13" t="n">
        <v>5867</v>
      </c>
      <c r="D14" s="12" t="s">
        <v>108</v>
      </c>
    </row>
    <row r="15" customFormat="false" ht="14.25" hidden="false" customHeight="false" outlineLevel="0" collapsed="false">
      <c r="A15" s="11" t="s">
        <v>109</v>
      </c>
      <c r="B15" s="12"/>
      <c r="C15" s="13" t="n">
        <v>97760</v>
      </c>
      <c r="D15" s="12" t="s">
        <v>110</v>
      </c>
    </row>
    <row r="16" customFormat="false" ht="14.25" hidden="false" customHeight="false" outlineLevel="0" collapsed="false">
      <c r="A16" s="11" t="s">
        <v>9</v>
      </c>
      <c r="B16" s="12"/>
      <c r="C16" s="13" t="n">
        <v>78759.94</v>
      </c>
      <c r="D16" s="12" t="s">
        <v>111</v>
      </c>
    </row>
    <row r="17" customFormat="false" ht="14.25" hidden="false" customHeight="false" outlineLevel="0" collapsed="false">
      <c r="A17" s="11" t="s">
        <v>112</v>
      </c>
      <c r="B17" s="12"/>
      <c r="C17" s="13" t="n">
        <v>5830</v>
      </c>
      <c r="D17" s="12" t="s">
        <v>113</v>
      </c>
    </row>
    <row r="18" customFormat="false" ht="14.25" hidden="false" customHeight="false" outlineLevel="0" collapsed="false">
      <c r="A18" s="11" t="s">
        <v>114</v>
      </c>
      <c r="B18" s="12"/>
      <c r="C18" s="13" t="n">
        <v>6000</v>
      </c>
      <c r="D18" s="12" t="s">
        <v>115</v>
      </c>
    </row>
    <row r="19" customFormat="false" ht="14.25" hidden="false" customHeight="false" outlineLevel="0" collapsed="false">
      <c r="A19" s="14" t="s">
        <v>116</v>
      </c>
      <c r="B19" s="15"/>
      <c r="C19" s="16" t="n">
        <v>2126</v>
      </c>
      <c r="D19" s="15" t="s">
        <v>117</v>
      </c>
    </row>
    <row r="20" customFormat="false" ht="14.25" hidden="false" customHeight="false" outlineLevel="0" collapsed="false">
      <c r="A20" s="14" t="s">
        <v>118</v>
      </c>
      <c r="B20" s="15"/>
      <c r="C20" s="16" t="n">
        <v>570</v>
      </c>
      <c r="D20" s="15" t="s">
        <v>113</v>
      </c>
    </row>
    <row r="21" customFormat="false" ht="14.25" hidden="false" customHeight="false" outlineLevel="0" collapsed="false">
      <c r="A21" s="14" t="s">
        <v>119</v>
      </c>
      <c r="B21" s="15"/>
      <c r="C21" s="16" t="n">
        <v>29500</v>
      </c>
      <c r="D21" s="15" t="s">
        <v>120</v>
      </c>
    </row>
    <row r="22" customFormat="false" ht="14.25" hidden="false" customHeight="false" outlineLevel="0" collapsed="false">
      <c r="A22" s="14" t="s">
        <v>121</v>
      </c>
      <c r="B22" s="15"/>
      <c r="C22" s="16" t="n">
        <v>23600</v>
      </c>
      <c r="D22" s="15" t="s">
        <v>122</v>
      </c>
    </row>
    <row r="23" customFormat="false" ht="14.25" hidden="false" customHeight="false" outlineLevel="0" collapsed="false">
      <c r="A23" s="14" t="s">
        <v>123</v>
      </c>
      <c r="B23" s="15"/>
      <c r="C23" s="16" t="n">
        <v>37170</v>
      </c>
      <c r="D23" s="15" t="s">
        <v>120</v>
      </c>
    </row>
    <row r="24" customFormat="false" ht="14.25" hidden="false" customHeight="false" outlineLevel="0" collapsed="false">
      <c r="A24" s="14" t="s">
        <v>124</v>
      </c>
      <c r="B24" s="15"/>
      <c r="C24" s="16" t="n">
        <v>79707</v>
      </c>
      <c r="D24" s="15" t="s">
        <v>115</v>
      </c>
    </row>
    <row r="25" customFormat="false" ht="14.25" hidden="false" customHeight="false" outlineLevel="0" collapsed="false">
      <c r="A25" s="14" t="s">
        <v>125</v>
      </c>
      <c r="B25" s="15"/>
      <c r="C25" s="16" t="n">
        <v>37170</v>
      </c>
      <c r="D25" s="15" t="s">
        <v>120</v>
      </c>
    </row>
    <row r="26" customFormat="false" ht="14.25" hidden="false" customHeight="false" outlineLevel="0" collapsed="false">
      <c r="A26" s="14" t="s">
        <v>126</v>
      </c>
      <c r="B26" s="15"/>
      <c r="C26" s="16" t="n">
        <v>20000</v>
      </c>
      <c r="D26" s="15" t="s">
        <v>115</v>
      </c>
    </row>
    <row r="27" customFormat="false" ht="14.25" hidden="false" customHeight="false" outlineLevel="0" collapsed="false">
      <c r="A27" s="14" t="s">
        <v>39</v>
      </c>
      <c r="B27" s="15"/>
      <c r="C27" s="16" t="n">
        <v>69245.9</v>
      </c>
      <c r="D27" s="15" t="s">
        <v>127</v>
      </c>
    </row>
    <row r="28" customFormat="false" ht="14.25" hidden="false" customHeight="false" outlineLevel="0" collapsed="false">
      <c r="A28" s="14" t="s">
        <v>128</v>
      </c>
      <c r="B28" s="15"/>
      <c r="C28" s="16" t="n">
        <v>32192</v>
      </c>
      <c r="D28" s="15" t="s">
        <v>115</v>
      </c>
    </row>
    <row r="29" customFormat="false" ht="14.25" hidden="false" customHeight="false" outlineLevel="0" collapsed="false">
      <c r="A29" s="14" t="s">
        <v>79</v>
      </c>
      <c r="B29" s="15"/>
      <c r="C29" s="16" t="n">
        <v>33040</v>
      </c>
      <c r="D29" s="15" t="s">
        <v>120</v>
      </c>
    </row>
    <row r="30" customFormat="false" ht="14.25" hidden="false" customHeight="false" outlineLevel="0" collapsed="false">
      <c r="A30" s="14" t="s">
        <v>47</v>
      </c>
      <c r="B30" s="15"/>
      <c r="C30" s="16" t="n">
        <v>6860</v>
      </c>
      <c r="D30" s="15" t="s">
        <v>127</v>
      </c>
    </row>
    <row r="31" customFormat="false" ht="14.15" hidden="false" customHeight="false" outlineLevel="0" collapsed="false">
      <c r="A31" s="14" t="s">
        <v>129</v>
      </c>
      <c r="B31" s="15"/>
      <c r="C31" s="16" t="n">
        <v>48096</v>
      </c>
      <c r="D31" s="15" t="s">
        <v>130</v>
      </c>
    </row>
    <row r="32" customFormat="false" ht="15" hidden="false" customHeight="true" outlineLevel="0" collapsed="false">
      <c r="A32" s="8" t="s">
        <v>131</v>
      </c>
      <c r="B32" s="9"/>
      <c r="C32" s="10" t="n">
        <f aca="false">SUMPRODUCT((LEFT(D4:D31,1)&lt;&gt;"?")*C4:C31)</f>
        <v>845016.69</v>
      </c>
      <c r="D32" s="9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0.62"/>
    <col collapsed="false" customWidth="true" hidden="false" outlineLevel="0" max="2" min="2" style="0" width="14.62"/>
    <col collapsed="false" customWidth="true" hidden="false" outlineLevel="0" max="3" min="3" style="0" width="22.62"/>
    <col collapsed="false" customWidth="true" hidden="false" outlineLevel="0" max="4" min="4" style="0" width="16.62"/>
    <col collapsed="false" customWidth="true" hidden="false" outlineLevel="0" max="6" min="5" style="0" width="14.62"/>
    <col collapsed="false" customWidth="true" hidden="false" outlineLevel="0" max="7" min="7" style="0" width="55.62"/>
  </cols>
  <sheetData>
    <row r="1" customFormat="false" ht="18" hidden="false" customHeight="true" outlineLevel="0" collapsed="false">
      <c r="A1" s="2" t="s">
        <v>132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133</v>
      </c>
      <c r="B3" s="4" t="s">
        <v>134</v>
      </c>
      <c r="C3" s="4" t="s">
        <v>135</v>
      </c>
      <c r="D3" s="4" t="s">
        <v>136</v>
      </c>
      <c r="E3" s="4" t="s">
        <v>137</v>
      </c>
      <c r="F3" s="4" t="s">
        <v>138</v>
      </c>
      <c r="G3" s="4" t="s">
        <v>139</v>
      </c>
    </row>
    <row r="4" customFormat="false" ht="14.25" hidden="false" customHeight="false" outlineLevel="0" collapsed="false">
      <c r="A4" s="5"/>
      <c r="B4" s="6"/>
      <c r="C4" s="6"/>
      <c r="D4" s="6"/>
      <c r="E4" s="6"/>
      <c r="F4" s="6"/>
      <c r="G4" s="6"/>
    </row>
    <row r="5" customFormat="false" ht="15" hidden="false" customHeight="true" outlineLevel="0" collapsed="false">
      <c r="A5" s="8" t="s">
        <v>140</v>
      </c>
      <c r="B5" s="9" t="s">
        <v>141</v>
      </c>
      <c r="C5" s="17" t="s">
        <v>142</v>
      </c>
      <c r="D5" s="18" t="n">
        <v>61418.2</v>
      </c>
      <c r="E5" s="18" t="n">
        <v>30709.1</v>
      </c>
      <c r="F5" s="18" t="n">
        <v>30709.1</v>
      </c>
      <c r="G5" s="9" t="s">
        <v>143</v>
      </c>
    </row>
    <row r="6" customFormat="false" ht="14.25" hidden="false" customHeight="false" outlineLevel="0" collapsed="false">
      <c r="A6" s="5" t="s">
        <v>144</v>
      </c>
      <c r="B6" s="6" t="s">
        <v>141</v>
      </c>
      <c r="C6" s="5" t="s">
        <v>145</v>
      </c>
      <c r="D6" s="7" t="n">
        <v>52209.1</v>
      </c>
      <c r="E6" s="7" t="n">
        <v>26104.55</v>
      </c>
      <c r="F6" s="7" t="n">
        <v>26104.55</v>
      </c>
      <c r="G6" s="6" t="s">
        <v>146</v>
      </c>
    </row>
    <row r="7" customFormat="false" ht="14.25" hidden="false" customHeight="false" outlineLevel="0" collapsed="false">
      <c r="A7" s="5"/>
      <c r="B7" s="6"/>
      <c r="C7" s="6"/>
      <c r="D7" s="6"/>
      <c r="E7" s="6"/>
      <c r="F7" s="6"/>
      <c r="G7" s="6"/>
    </row>
    <row r="8" customFormat="false" ht="14.25" hidden="false" customHeight="false" outlineLevel="0" collapsed="false">
      <c r="A8" s="5" t="s">
        <v>147</v>
      </c>
      <c r="B8" s="6" t="s">
        <v>141</v>
      </c>
      <c r="C8" s="5" t="s">
        <v>148</v>
      </c>
      <c r="D8" s="7" t="n">
        <v>26550</v>
      </c>
      <c r="E8" s="7" t="n">
        <v>13275</v>
      </c>
      <c r="F8" s="7" t="n">
        <v>13275</v>
      </c>
      <c r="G8" s="6" t="s">
        <v>149</v>
      </c>
    </row>
    <row r="9" customFormat="false" ht="14.25" hidden="false" customHeight="false" outlineLevel="0" collapsed="false">
      <c r="A9" s="5" t="s">
        <v>150</v>
      </c>
      <c r="B9" s="6" t="s">
        <v>141</v>
      </c>
      <c r="C9" s="5" t="s">
        <v>151</v>
      </c>
      <c r="D9" s="7" t="n">
        <v>23978</v>
      </c>
      <c r="E9" s="7" t="n">
        <v>11989</v>
      </c>
      <c r="F9" s="7" t="n">
        <v>11989</v>
      </c>
      <c r="G9" s="6"/>
    </row>
    <row r="10" customFormat="false" ht="14.25" hidden="false" customHeight="false" outlineLevel="0" collapsed="false">
      <c r="A10" s="5" t="s">
        <v>152</v>
      </c>
      <c r="B10" s="6" t="s">
        <v>141</v>
      </c>
      <c r="C10" s="5" t="s">
        <v>153</v>
      </c>
      <c r="D10" s="7" t="n">
        <v>59436</v>
      </c>
      <c r="E10" s="7" t="n">
        <v>29718</v>
      </c>
      <c r="F10" s="7" t="n">
        <v>29718</v>
      </c>
      <c r="G10" s="6" t="s">
        <v>154</v>
      </c>
    </row>
    <row r="11" customFormat="false" ht="14.25" hidden="false" customHeight="false" outlineLevel="0" collapsed="false">
      <c r="A11" s="5" t="s">
        <v>155</v>
      </c>
      <c r="B11" s="6" t="s">
        <v>141</v>
      </c>
      <c r="C11" s="5" t="s">
        <v>156</v>
      </c>
      <c r="D11" s="7" t="n">
        <v>86309</v>
      </c>
      <c r="E11" s="7" t="n">
        <v>43154.5</v>
      </c>
      <c r="F11" s="7" t="n">
        <v>43154.5</v>
      </c>
      <c r="G11" s="6" t="s">
        <v>157</v>
      </c>
    </row>
    <row r="12" customFormat="false" ht="14.25" hidden="false" customHeight="false" outlineLevel="0" collapsed="false">
      <c r="A12" s="5" t="s">
        <v>158</v>
      </c>
      <c r="B12" s="6" t="s">
        <v>141</v>
      </c>
      <c r="C12" s="5" t="s">
        <v>159</v>
      </c>
      <c r="D12" s="7" t="n">
        <v>49560</v>
      </c>
      <c r="E12" s="7" t="n">
        <f aca="false">D12/2</f>
        <v>24780</v>
      </c>
      <c r="F12" s="7" t="n">
        <f aca="false">D12/2</f>
        <v>24780</v>
      </c>
      <c r="G12" s="6" t="s">
        <v>160</v>
      </c>
    </row>
    <row r="13" customFormat="false" ht="14.25" hidden="false" customHeight="false" outlineLevel="0" collapsed="false">
      <c r="A13" s="5" t="s">
        <v>161</v>
      </c>
      <c r="B13" s="6" t="s">
        <v>141</v>
      </c>
      <c r="C13" s="5" t="s">
        <v>162</v>
      </c>
      <c r="D13" s="7" t="n">
        <v>39054</v>
      </c>
      <c r="E13" s="7" t="n">
        <f aca="false">D13/2</f>
        <v>19527</v>
      </c>
      <c r="F13" s="7" t="n">
        <f aca="false">D13/2</f>
        <v>19527</v>
      </c>
      <c r="G13" s="6" t="s">
        <v>163</v>
      </c>
    </row>
    <row r="14" customFormat="false" ht="15" hidden="false" customHeight="true" outlineLevel="0" collapsed="false">
      <c r="A14" s="8" t="s">
        <v>62</v>
      </c>
      <c r="B14" s="9"/>
      <c r="C14" s="9"/>
      <c r="D14" s="10" t="n">
        <f aca="false">SUM(D5:D13)</f>
        <v>398514.3</v>
      </c>
      <c r="E14" s="10" t="n">
        <f aca="false">SUM(E5:E13)</f>
        <v>199257.15</v>
      </c>
      <c r="F14" s="10" t="n">
        <f aca="false">SUM(F5:F13)</f>
        <v>199257.15</v>
      </c>
      <c r="G14" s="9"/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0.62"/>
    <col collapsed="false" customWidth="true" hidden="false" outlineLevel="0" max="2" min="2" style="0" width="14.62"/>
    <col collapsed="false" customWidth="true" hidden="false" outlineLevel="0" max="3" min="3" style="0" width="22.62"/>
    <col collapsed="false" customWidth="true" hidden="false" outlineLevel="0" max="4" min="4" style="0" width="16.62"/>
    <col collapsed="false" customWidth="true" hidden="false" outlineLevel="0" max="6" min="5" style="0" width="14.62"/>
    <col collapsed="false" customWidth="true" hidden="false" outlineLevel="0" max="7" min="7" style="0" width="55.62"/>
  </cols>
  <sheetData>
    <row r="1" customFormat="false" ht="18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133</v>
      </c>
      <c r="B3" s="4" t="s">
        <v>134</v>
      </c>
      <c r="C3" s="4" t="s">
        <v>135</v>
      </c>
      <c r="D3" s="4" t="s">
        <v>136</v>
      </c>
      <c r="E3" s="4" t="s">
        <v>165</v>
      </c>
      <c r="F3" s="4" t="s">
        <v>166</v>
      </c>
      <c r="G3" s="4" t="s">
        <v>139</v>
      </c>
    </row>
    <row r="4" customFormat="false" ht="14.25" hidden="false" customHeight="false" outlineLevel="0" collapsed="false">
      <c r="A4" s="5"/>
      <c r="B4" s="6"/>
      <c r="C4" s="6"/>
      <c r="D4" s="6"/>
      <c r="E4" s="6"/>
      <c r="F4" s="6"/>
      <c r="G4" s="6"/>
    </row>
    <row r="5" customFormat="false" ht="14.25" hidden="false" customHeight="false" outlineLevel="0" collapsed="false">
      <c r="A5" s="5" t="s">
        <v>167</v>
      </c>
      <c r="B5" s="6" t="s">
        <v>168</v>
      </c>
      <c r="C5" s="5" t="s">
        <v>169</v>
      </c>
      <c r="D5" s="7" t="n">
        <v>3540</v>
      </c>
      <c r="E5" s="7" t="n">
        <v>1770</v>
      </c>
      <c r="F5" s="7" t="n">
        <v>1770</v>
      </c>
      <c r="G5" s="6"/>
    </row>
    <row r="6" customFormat="false" ht="14.25" hidden="false" customHeight="false" outlineLevel="0" collapsed="false">
      <c r="A6" s="5" t="s">
        <v>167</v>
      </c>
      <c r="B6" s="6" t="s">
        <v>168</v>
      </c>
      <c r="C6" s="5" t="s">
        <v>170</v>
      </c>
      <c r="D6" s="7" t="n">
        <v>3540</v>
      </c>
      <c r="E6" s="7" t="n">
        <v>1770</v>
      </c>
      <c r="F6" s="7" t="n">
        <v>1770</v>
      </c>
      <c r="G6" s="6"/>
    </row>
    <row r="7" customFormat="false" ht="14.25" hidden="false" customHeight="false" outlineLevel="0" collapsed="false">
      <c r="A7" s="5" t="s">
        <v>161</v>
      </c>
      <c r="B7" s="6" t="s">
        <v>168</v>
      </c>
      <c r="C7" s="5" t="s">
        <v>171</v>
      </c>
      <c r="D7" s="7" t="n">
        <v>44950</v>
      </c>
      <c r="E7" s="7" t="n">
        <f aca="false">D7/2</f>
        <v>22475</v>
      </c>
      <c r="F7" s="7" t="n">
        <f aca="false">D7/2</f>
        <v>22475</v>
      </c>
      <c r="G7" s="6" t="s">
        <v>172</v>
      </c>
    </row>
    <row r="8" customFormat="false" ht="14.25" hidden="false" customHeight="false" outlineLevel="0" collapsed="false">
      <c r="A8" s="5" t="s">
        <v>173</v>
      </c>
      <c r="B8" s="6" t="s">
        <v>168</v>
      </c>
      <c r="C8" s="5" t="s">
        <v>174</v>
      </c>
      <c r="D8" s="7" t="n">
        <v>79277</v>
      </c>
      <c r="E8" s="7" t="n">
        <v>0</v>
      </c>
      <c r="F8" s="7" t="n">
        <f aca="false">D8</f>
        <v>79277</v>
      </c>
      <c r="G8" s="6" t="s">
        <v>175</v>
      </c>
    </row>
    <row r="9" customFormat="false" ht="15" hidden="false" customHeight="true" outlineLevel="0" collapsed="false">
      <c r="A9" s="8" t="s">
        <v>62</v>
      </c>
      <c r="B9" s="9"/>
      <c r="C9" s="9"/>
      <c r="D9" s="10" t="n">
        <f aca="false">SUM(D5:D8)</f>
        <v>131307</v>
      </c>
      <c r="E9" s="10" t="n">
        <f aca="false">SUM(E5:E8)</f>
        <v>26015</v>
      </c>
      <c r="F9" s="10" t="n">
        <f aca="false">SUM(F5:F8)</f>
        <v>105292</v>
      </c>
      <c r="G9" s="9"/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0" width="20.62"/>
    <col collapsed="false" customWidth="true" hidden="false" outlineLevel="0" max="3" min="3" style="0" width="16.62"/>
    <col collapsed="false" customWidth="true" hidden="false" outlineLevel="0" max="4" min="4" style="0" width="40.62"/>
  </cols>
  <sheetData>
    <row r="1" customFormat="false" ht="18" hidden="false" customHeight="true" outlineLevel="0" collapsed="false">
      <c r="A1" s="2" t="s">
        <v>176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177</v>
      </c>
      <c r="C3" s="4" t="s">
        <v>3</v>
      </c>
      <c r="D3" s="4" t="s">
        <v>4</v>
      </c>
    </row>
    <row r="4" customFormat="false" ht="14.25" hidden="false" customHeight="false" outlineLevel="0" collapsed="false">
      <c r="A4" s="5" t="s">
        <v>178</v>
      </c>
      <c r="B4" s="6" t="s">
        <v>179</v>
      </c>
      <c r="C4" s="7" t="n">
        <v>150000</v>
      </c>
      <c r="D4" s="6" t="s">
        <v>180</v>
      </c>
    </row>
    <row r="5" customFormat="false" ht="14.25" hidden="false" customHeight="false" outlineLevel="0" collapsed="false">
      <c r="A5" s="14" t="s">
        <v>181</v>
      </c>
      <c r="B5" s="15" t="s">
        <v>182</v>
      </c>
      <c r="C5" s="16" t="n">
        <v>35357.85</v>
      </c>
      <c r="D5" s="15" t="s">
        <v>183</v>
      </c>
    </row>
    <row r="6" customFormat="false" ht="14.25" hidden="false" customHeight="false" outlineLevel="0" collapsed="false">
      <c r="A6" s="14" t="s">
        <v>184</v>
      </c>
      <c r="B6" s="15" t="s">
        <v>185</v>
      </c>
      <c r="C6" s="16" t="n">
        <v>105197</v>
      </c>
      <c r="D6" s="15" t="s">
        <v>180</v>
      </c>
    </row>
    <row r="7" customFormat="false" ht="14.25" hidden="false" customHeight="false" outlineLevel="0" collapsed="false">
      <c r="A7" s="14" t="s">
        <v>186</v>
      </c>
      <c r="B7" s="15" t="s">
        <v>187</v>
      </c>
      <c r="C7" s="16" t="n">
        <v>25000</v>
      </c>
      <c r="D7" s="15" t="s">
        <v>183</v>
      </c>
    </row>
    <row r="8" customFormat="false" ht="14.25" hidden="false" customHeight="false" outlineLevel="0" collapsed="false">
      <c r="A8" s="14" t="s">
        <v>188</v>
      </c>
      <c r="B8" s="15" t="s">
        <v>189</v>
      </c>
      <c r="C8" s="16" t="n">
        <v>72688</v>
      </c>
      <c r="D8" s="15" t="s">
        <v>183</v>
      </c>
    </row>
    <row r="9" customFormat="false" ht="15" hidden="false" customHeight="true" outlineLevel="0" collapsed="false">
      <c r="A9" s="8" t="s">
        <v>131</v>
      </c>
      <c r="B9" s="9"/>
      <c r="C9" s="10" t="n">
        <v>255197</v>
      </c>
      <c r="D9" s="9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2026-08-30T10:45:08Z</dcterms:created>
  <dc:creator>user</dc:creator>
  <dc:description/>
  <dc:language>en-US</dc:language>
  <cp:lastModifiedBy>user</cp:lastModifiedBy>
  <dcterms:modified xsi:type="dcterms:W3CDTF">2026-10-15T06:45:21Z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