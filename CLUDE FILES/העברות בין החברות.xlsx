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UDE FILES\"/>
    </mc:Choice>
  </mc:AlternateContent>
  <xr:revisionPtr revIDLastSave="0" documentId="13_ncr:1_{5DBE13DE-7FC5-4430-A495-6A3981C930EF}" xr6:coauthVersionLast="47" xr6:coauthVersionMax="47" xr10:uidLastSave="{00000000-0000-0000-0000-000000000000}"/>
  <bookViews>
    <workbookView xWindow="-120" yWindow="-120" windowWidth="29040" windowHeight="15720" firstSheet="1" activeTab="5" xr2:uid="{DA205749-8A13-4272-B0FE-DF6CB9C12377}"/>
  </bookViews>
  <sheets>
    <sheet name="מטה לישר" sheetId="1" r:id="rId1"/>
    <sheet name="ישר למטה" sheetId="2" r:id="rId2"/>
    <sheet name="תשלומים מישר עבור מטה" sheetId="3" r:id="rId3"/>
    <sheet name="משותפות - שילמה ישר" sheetId="4" r:id="rId4"/>
    <sheet name="משותפות - שילמה מטה" sheetId="5" r:id="rId5"/>
    <sheet name="הוכנס לישר עבור מטה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3" l="1"/>
  <c r="C28" i="2"/>
  <c r="D9" i="5"/>
  <c r="F8" i="5"/>
  <c r="F7" i="5"/>
  <c r="F9" i="5" s="1"/>
  <c r="E7" i="5"/>
  <c r="E9" i="5" s="1"/>
  <c r="D14" i="4"/>
  <c r="F13" i="4"/>
  <c r="F14" i="4" s="1"/>
  <c r="E13" i="4"/>
  <c r="E14" i="4" s="1"/>
</calcChain>
</file>

<file path=xl/sharedStrings.xml><?xml version="1.0" encoding="utf-8"?>
<sst xmlns="http://schemas.openxmlformats.org/spreadsheetml/2006/main" count="308" uniqueCount="190">
  <si>
    <t>תאריך</t>
  </si>
  <si>
    <t>אסמכתא</t>
  </si>
  <si>
    <t>סכום (ש"ח)</t>
  </si>
  <si>
    <t>הערה</t>
  </si>
  <si>
    <t>03/06/2026</t>
  </si>
  <si>
    <t>העברה מאת: מטה ופתילים 10-902-006192001 בין חברות</t>
  </si>
  <si>
    <t>30/06/2026</t>
  </si>
  <si>
    <t>העברה מאת: מטה ופתילים 10-902-006192001 הלוואת בעלים</t>
  </si>
  <si>
    <t>02/07/2026</t>
  </si>
  <si>
    <t>העברה מאת: מטה ופתילים 10-902-006192001 העברה בין חברות</t>
  </si>
  <si>
    <t>07/07/2026</t>
  </si>
  <si>
    <t>העברה מאת: מטה ופתילים 10-902-006192001</t>
  </si>
  <si>
    <t>28/07/2026</t>
  </si>
  <si>
    <t>31/07/2026</t>
  </si>
  <si>
    <t>23/08/2026</t>
  </si>
  <si>
    <t>העברה מאת: מטה ופתילים 10-902-006192001 תשלום צק עבור רוטנברג</t>
  </si>
  <si>
    <t>27/08/2026</t>
  </si>
  <si>
    <t>28/08/2026</t>
  </si>
  <si>
    <t>סה"כ</t>
  </si>
  <si>
    <t>10/06/2026</t>
  </si>
  <si>
    <t>17/06/2026</t>
  </si>
  <si>
    <t>מטה → ישר (מ-01/06/2025, תאריך הקמת מטה)</t>
  </si>
  <si>
    <t>16/07/2025</t>
  </si>
  <si>
    <t>22/07/2025</t>
  </si>
  <si>
    <t>01/08/2025</t>
  </si>
  <si>
    <t>13/08/2025</t>
  </si>
  <si>
    <t>העברה מאת: מטה ופתילים 10-902-006192001 החזר העברה של 22000 דולר</t>
  </si>
  <si>
    <t>24/08/2025</t>
  </si>
  <si>
    <t>27/08/2025</t>
  </si>
  <si>
    <t>29/08/2025</t>
  </si>
  <si>
    <t>05/10/2025</t>
  </si>
  <si>
    <t>08/10/2025</t>
  </si>
  <si>
    <t>העברה מאת: מטה ופתילים 10-902-006192001 שכירות משרד</t>
  </si>
  <si>
    <t>10/10/2025</t>
  </si>
  <si>
    <t>16/10/2025</t>
  </si>
  <si>
    <t>21/10/2025</t>
  </si>
  <si>
    <t>22/10/2025</t>
  </si>
  <si>
    <t>26/10/2025</t>
  </si>
  <si>
    <t>29/10/2025</t>
  </si>
  <si>
    <t>30/10/2025</t>
  </si>
  <si>
    <t>02/11/2025</t>
  </si>
  <si>
    <t>12/11/2025</t>
  </si>
  <si>
    <t>20/11/2025</t>
  </si>
  <si>
    <t>21/11/2025</t>
  </si>
  <si>
    <t>27/11/2025</t>
  </si>
  <si>
    <t>28/11/2025</t>
  </si>
  <si>
    <t>30/11/2025</t>
  </si>
  <si>
    <t>14/12/2025</t>
  </si>
  <si>
    <t>21/12/2025</t>
  </si>
  <si>
    <t>28/12/2025</t>
  </si>
  <si>
    <t>05/01/2026</t>
  </si>
  <si>
    <t>העברה מאת: מטה ופתילים 10-902-006192001 ביו חברות</t>
  </si>
  <si>
    <t>18/01/2026</t>
  </si>
  <si>
    <t>21/01/2026</t>
  </si>
  <si>
    <t>28/01/2026</t>
  </si>
  <si>
    <t>03/02/2026</t>
  </si>
  <si>
    <t>22/02/2026</t>
  </si>
  <si>
    <t>23/02/2026</t>
  </si>
  <si>
    <t>08/03/2026</t>
  </si>
  <si>
    <t>03/04/2026</t>
  </si>
  <si>
    <t>05/04/2026</t>
  </si>
  <si>
    <t>20/05/2026</t>
  </si>
  <si>
    <t>27/05/2026</t>
  </si>
  <si>
    <t>ישר → מטה - העברות ישירות (מ-01/06/2025)</t>
  </si>
  <si>
    <t>03/10/2025</t>
  </si>
  <si>
    <t>העברה אל: מטה ופתילים 10-902-006192001</t>
  </si>
  <si>
    <t>06/11/2025</t>
  </si>
  <si>
    <t>10/11/2025</t>
  </si>
  <si>
    <t>13/01/2026</t>
  </si>
  <si>
    <t>העברה אל: מטה ופתילים 10-902-006192001 בין חברות</t>
  </si>
  <si>
    <t>26/01/2026</t>
  </si>
  <si>
    <t>05/02/2026</t>
  </si>
  <si>
    <t>10/02/2026</t>
  </si>
  <si>
    <t>13/02/2026</t>
  </si>
  <si>
    <t>09/03/2026</t>
  </si>
  <si>
    <t>11/03/2026</t>
  </si>
  <si>
    <t>20/03/2026</t>
  </si>
  <si>
    <t>23/03/2026</t>
  </si>
  <si>
    <t>העברה אל: מטה ופתילים 10-902-006192001 העברה מחשבון חברה לחברה</t>
  </si>
  <si>
    <t>24/03/2026</t>
  </si>
  <si>
    <t>25/03/2026</t>
  </si>
  <si>
    <t>15/04/2026</t>
  </si>
  <si>
    <t>16/04/2026</t>
  </si>
  <si>
    <t>17/04/2026</t>
  </si>
  <si>
    <t>28/04/2026</t>
  </si>
  <si>
    <t>07/05/2026</t>
  </si>
  <si>
    <t>06/07/2026</t>
  </si>
  <si>
    <t>10/08/2026</t>
  </si>
  <si>
    <t>תשלומים מישר עבור מטה (מ-01/06/2025)</t>
  </si>
  <si>
    <t>ספק / עבור</t>
  </si>
  <si>
    <t>31/10/2025</t>
  </si>
  <si>
    <t>MURAT SERVET ERER (תשלום 10,465.91 + עמלת יבוא ישיר 87.93)</t>
  </si>
  <si>
    <t>ZAMPER INVESTMENTS AND STARTEGY LTD (11,600 USD, שער 3.2295)</t>
  </si>
  <si>
    <t>תיאור</t>
  </si>
  <si>
    <t>מי שילם בפועל</t>
  </si>
  <si>
    <t>טווח תאריכים</t>
  </si>
  <si>
    <t>סה"כ ששולם (ש"ח)</t>
  </si>
  <si>
    <t>חלק מטה (חצי)</t>
  </si>
  <si>
    <t>חלק ישר (חצי)</t>
  </si>
  <si>
    <t>הערות</t>
  </si>
  <si>
    <t>שכירות משרד חדש - שהנאז ייזום</t>
  </si>
  <si>
    <t>ישר</t>
  </si>
  <si>
    <t>08/02/2026 - 02/08/2026</t>
  </si>
  <si>
    <t>7 תשלומים: 7,587 + 8,755.20 + 8,782 + 8,911 + 9,051 + 9,165 + 9,167. לא כולל פיקדון משרד 25,490 (03/02/2026) - הושאר בצד.</t>
  </si>
  <si>
    <t>אייל גולן עו"ד (ריטיינר+חשבוניות, ללא התראה לסבן וללא תביעת אפ בית הכרם)</t>
  </si>
  <si>
    <t>29/08/2025 - 10/06/2026</t>
  </si>
  <si>
    <t>סה"כ שולם 67,549.10, פחות החזר כפילות 6,608, פחות מכתב התראה לסבן 1,652 (לא נכלל) ופחות תביעת אפ בית הכרם 7,080 (לא נכלל).</t>
  </si>
  <si>
    <t>הוצאות משותפות שישר שילמה - מתחלקות חצי-חצי (מ-01/06/2025)</t>
  </si>
  <si>
    <t>הוצאות משותפות שמטה שילמה - מתחלקות חצי-חצי (מ-01/06/2025)</t>
  </si>
  <si>
    <t>שכירות משרד ישן - איזי טו כאל</t>
  </si>
  <si>
    <t>23/06/2025 - 09/03/2026</t>
  </si>
  <si>
    <t>9 תשלומים של 2,950 ש"ח כל אחד</t>
  </si>
  <si>
    <t>23/06/2025</t>
  </si>
  <si>
    <t>דורקור ליין בע"מ - מכולה 7 שילוח</t>
  </si>
  <si>
    <t>שיק - אלקטרו סליל</t>
  </si>
  <si>
    <t>18/05/2026</t>
  </si>
  <si>
    <t>שיק - מ. רוטנברג ובניו</t>
  </si>
  <si>
    <t>שיק - שאלתיאל סוכן מכס</t>
  </si>
  <si>
    <t>26/08/2026</t>
  </si>
  <si>
    <t>06/06/2025</t>
  </si>
  <si>
    <t>פלסקוב לוגיסטיקה</t>
  </si>
  <si>
    <t>פלסקוב - שחרור ממכס/מע"מ</t>
  </si>
  <si>
    <t>כספים שהוכנסו לחשבון ישר אבל שייכים למטה (מ-01/06/2025)</t>
  </si>
  <si>
    <t>מקור</t>
  </si>
  <si>
    <t>08/07/2025</t>
  </si>
  <si>
    <t>אלומאסטר</t>
  </si>
  <si>
    <t>כסף שנכנס לחשבון ישר, שייך למטה</t>
  </si>
  <si>
    <t>לא צוין</t>
  </si>
  <si>
    <t>עו"ד יצחק אפש</t>
  </si>
  <si>
    <t>? לא ידוע אם שייך למטה - לא נכלל בסה"כ</t>
  </si>
  <si>
    <t>סה"כ (לא כולל "?")</t>
  </si>
  <si>
    <t>04/08/2025</t>
  </si>
  <si>
    <t>אלומסטר</t>
  </si>
  <si>
    <t>05/08/2025</t>
  </si>
  <si>
    <t>גובס אל סיזן</t>
  </si>
  <si>
    <t>העברה לסין (ZHEJIANG XIANGXI)</t>
  </si>
  <si>
    <t>19/08/2025</t>
  </si>
  <si>
    <t>EZ CHARGE (העברת זה"ב)</t>
  </si>
  <si>
    <t>22/08/2025</t>
  </si>
  <si>
    <t>ארפק די</t>
  </si>
  <si>
    <t>04/09/2025</t>
  </si>
  <si>
    <t>אם אר טי</t>
  </si>
  <si>
    <t>12/09/2025</t>
  </si>
  <si>
    <t>אלקטרו סליל</t>
  </si>
  <si>
    <t>25/09/2025</t>
  </si>
  <si>
    <t>? פרגולנד - לא ידוע אם שייך למטה - לא נכלל בסה"כ</t>
  </si>
  <si>
    <t>30/09/2025</t>
  </si>
  <si>
    <t>17/10/2025</t>
  </si>
  <si>
    <t>לטי אלון</t>
  </si>
  <si>
    <t>19/10/2025</t>
  </si>
  <si>
    <t>עופרי סיידה</t>
  </si>
  <si>
    <t>11/11/2025</t>
  </si>
  <si>
    <t>04/12/2025</t>
  </si>
  <si>
    <t>11/12/2025</t>
  </si>
  <si>
    <t>25/12/2025</t>
  </si>
  <si>
    <t>? מגן איתן - לא ידוע אם שייך למטה - לא נכלל בסה"כ</t>
  </si>
  <si>
    <t>18/03/2026</t>
  </si>
  <si>
    <t>מחשבים</t>
  </si>
  <si>
    <t>22/03/2026</t>
  </si>
  <si>
    <t>אסתר נאסה - עובדת שעבדה עבור שתי החברות (שכר)</t>
  </si>
  <si>
    <t>13/02/2026 - 10/07/2026</t>
  </si>
  <si>
    <t>6 תשלומי שכר, 8,795-11,813 ש"ח כל אחד</t>
  </si>
  <si>
    <t>02/09/2026</t>
  </si>
  <si>
    <t>העברה עצמית - בין חברות</t>
  </si>
  <si>
    <t>מטה</t>
  </si>
  <si>
    <t>12/07/2026</t>
  </si>
  <si>
    <t>12/08/2026</t>
  </si>
  <si>
    <t>אייל גולן עו"ד - ריטיינר חודשי</t>
  </si>
  <si>
    <t>נחשון - שכר ברוטו</t>
  </si>
  <si>
    <t>06/2025 - 06/2026</t>
  </si>
  <si>
    <t>לפי דו"ח ריכוז תלושים (רו"ח יוסי טובול). 13 חודשים: 06/25-06/26. עמודת ברוטו (לא עלות מעביד).</t>
  </si>
  <si>
    <t>06/2025 - 05/2026</t>
  </si>
  <si>
    <t>ברוך איידינוב - שכר ברוטו (12 חודשים, ששילמה ישר, שייך למטה)</t>
  </si>
  <si>
    <t>ש מינסקי יזמות - תשלום עבור חשבונית</t>
  </si>
  <si>
    <t>13/07/2026 - 16/08/2026</t>
  </si>
  <si>
    <t>2 תשלומים של 16,520 ש"ח כל אחד (13/07 ו-16/08/2026)</t>
  </si>
  <si>
    <t>קארו עדאלה (עדינה) - שכר ברוטו</t>
  </si>
  <si>
    <t>06/2026 - 08/2026</t>
  </si>
  <si>
    <t>לפי תלושי ישר: 6/26 12,881 + 7/26 11,850 + 8/26 14,323 (סה"כ תשלומים = ברוטו). חצי-חצי לפי שמואל</t>
  </si>
  <si>
    <t>02/2026 - 05/2026</t>
  </si>
  <si>
    <t>לפי תלושי מטה: 2/26 15,066 + 3/26 9,291 + 4/26 8,976 + 5/26 11,617. חצי-חצי לפי שמואל</t>
  </si>
  <si>
    <t>שלומי מינסקי - שכר ברוטו (100% ישר)</t>
  </si>
  <si>
    <t>01/2026 - 05/2026</t>
  </si>
  <si>
    <t>לפי תלושי מטה: 1/26 11,740 + 2/26 11,740 + 3/26 10,181 + 4/26 22,846 + 5/26 22,770. לפי שמואל שלמה מינסקי 100% על ישר - כל הסכום חוב של ישר למטה. (מ-6/26 משולם ע"י ישר - לא נכנס להתחשבנות)</t>
  </si>
  <si>
    <t>חלק מטה</t>
  </si>
  <si>
    <t>חלק ישר</t>
  </si>
  <si>
    <t>08/09/2026</t>
  </si>
  <si>
    <t>העברה אל: מטה ופתילים 10-902-006192001 העברה עצמית</t>
  </si>
  <si>
    <t>16/09/2026</t>
  </si>
  <si>
    <t>שיק - מ. רוטנברג ובניו (58,826 לפי התזרים של ישר - תוקן מ-58,836)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</si>
</sst>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E4B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0D9FF"/>
        <bgColor indexed="64"/>
      </patternFill>
    </fill>
    <fill>
      <patternFill patternType="solid">
        <fgColor rgb="FFF5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49" fontId="1" fillId="4" borderId="1" xfId="0" applyNumberFormat="1" applyFont="1" applyFill="1" applyBorder="1"/>
    <xf numFmtId="0" fontId="0" fillId="4" borderId="1" xfId="0" applyFill="1" applyBorder="1"/>
    <xf numFmtId="4" fontId="1" fillId="4" borderId="1" xfId="0" applyNumberFormat="1" applyFont="1" applyFill="1" applyBorder="1"/>
    <xf numFmtId="49" fontId="0" fillId="5" borderId="1" xfId="0" applyNumberFormat="1" applyFill="1" applyBorder="1"/>
    <xf numFmtId="0" fontId="0" fillId="5" borderId="1" xfId="0" applyFill="1" applyBorder="1"/>
    <xf numFmtId="4" fontId="0" fillId="5" borderId="1" xfId="0" applyNumberFormat="1" applyFill="1" applyBorder="1"/>
    <xf numFmtId="49" fontId="0" fillId="4" borderId="1" xfId="0" applyNumberFormat="1" applyFill="1" applyBorder="1"/>
    <xf numFmtId="4" fontId="0" fillId="4" borderId="1" xfId="0" applyNumberFormat="1" applyFill="1" applyBorder="1"/>
    <xf numFmtId="49" fontId="0" fillId="6" borderId="1" xfId="0" applyNumberFormat="1" applyFill="1" applyBorder="1"/>
    <xf numFmtId="0" fontId="0" fillId="6" borderId="1" xfId="0" applyFill="1" applyBorder="1"/>
    <xf numFmtId="4" fontId="0" fillId="6" borderId="1" xfId="0" applyNumberFormat="1" applyFill="1" applyBorder="1"/>
    <xf numFmtId="49" fontId="2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4C2F-86DF-4C7A-9E0B-1C588306CD94}">
  <dimension ref="A1:D56"/>
  <sheetViews>
    <sheetView rightToLeft="1" workbookViewId="0">
      <selection sqref="A1:D1"/>
    </sheetView>
  </sheetViews>
  <sheetFormatPr defaultRowHeight="14.25" x14ac:dyDescent="0.2"/>
  <cols>
    <col min="1" max="1" width="13.625" style="1" customWidth="1"/>
    <col min="2" max="2" width="12.625" customWidth="1"/>
    <col min="3" max="3" width="16.625" customWidth="1"/>
    <col min="4" max="4" width="45.625" customWidth="1"/>
  </cols>
  <sheetData>
    <row r="1" spans="1:4" ht="18" x14ac:dyDescent="0.25">
      <c r="A1" s="18" t="s">
        <v>21</v>
      </c>
      <c r="B1" s="19"/>
      <c r="C1" s="19"/>
      <c r="D1" s="19"/>
    </row>
    <row r="3" spans="1:4" ht="15" x14ac:dyDescent="0.25">
      <c r="A3" s="2" t="s">
        <v>0</v>
      </c>
      <c r="B3" s="3" t="s">
        <v>1</v>
      </c>
      <c r="C3" s="3" t="s">
        <v>2</v>
      </c>
      <c r="D3" s="3" t="s">
        <v>3</v>
      </c>
    </row>
    <row r="4" spans="1:4" x14ac:dyDescent="0.2">
      <c r="A4" s="4" t="s">
        <v>22</v>
      </c>
      <c r="B4" s="5">
        <v>65523</v>
      </c>
      <c r="C4" s="6">
        <v>60000</v>
      </c>
      <c r="D4" s="5" t="s">
        <v>11</v>
      </c>
    </row>
    <row r="5" spans="1:4" x14ac:dyDescent="0.2">
      <c r="A5" s="4" t="s">
        <v>23</v>
      </c>
      <c r="B5" s="5">
        <v>70558</v>
      </c>
      <c r="C5" s="6">
        <v>10000</v>
      </c>
      <c r="D5" s="5" t="s">
        <v>11</v>
      </c>
    </row>
    <row r="6" spans="1:4" x14ac:dyDescent="0.2">
      <c r="A6" s="4" t="s">
        <v>24</v>
      </c>
      <c r="B6" s="5">
        <v>167379</v>
      </c>
      <c r="C6" s="6">
        <v>20000</v>
      </c>
      <c r="D6" s="5" t="s">
        <v>11</v>
      </c>
    </row>
    <row r="7" spans="1:4" x14ac:dyDescent="0.2">
      <c r="A7" s="4" t="s">
        <v>25</v>
      </c>
      <c r="B7" s="5">
        <v>145404</v>
      </c>
      <c r="C7" s="6">
        <v>79000</v>
      </c>
      <c r="D7" s="5" t="s">
        <v>26</v>
      </c>
    </row>
    <row r="8" spans="1:4" x14ac:dyDescent="0.2">
      <c r="A8" s="4" t="s">
        <v>25</v>
      </c>
      <c r="B8" s="5">
        <v>167874</v>
      </c>
      <c r="C8" s="6">
        <v>35000</v>
      </c>
      <c r="D8" s="5" t="s">
        <v>11</v>
      </c>
    </row>
    <row r="9" spans="1:4" x14ac:dyDescent="0.2">
      <c r="A9" s="4" t="s">
        <v>27</v>
      </c>
      <c r="B9" s="5">
        <v>151517</v>
      </c>
      <c r="C9" s="6">
        <v>20000</v>
      </c>
      <c r="D9" s="5" t="s">
        <v>11</v>
      </c>
    </row>
    <row r="10" spans="1:4" x14ac:dyDescent="0.2">
      <c r="A10" s="4" t="s">
        <v>28</v>
      </c>
      <c r="B10" s="5">
        <v>68862</v>
      </c>
      <c r="C10" s="6">
        <v>20000</v>
      </c>
      <c r="D10" s="5" t="s">
        <v>11</v>
      </c>
    </row>
    <row r="11" spans="1:4" x14ac:dyDescent="0.2">
      <c r="A11" s="4" t="s">
        <v>29</v>
      </c>
      <c r="B11" s="5">
        <v>17821</v>
      </c>
      <c r="C11" s="6">
        <v>20000</v>
      </c>
      <c r="D11" s="5" t="s">
        <v>11</v>
      </c>
    </row>
    <row r="12" spans="1:4" x14ac:dyDescent="0.2">
      <c r="A12" s="4" t="s">
        <v>30</v>
      </c>
      <c r="B12" s="5">
        <v>207109</v>
      </c>
      <c r="C12" s="6">
        <v>1300</v>
      </c>
      <c r="D12" s="5" t="s">
        <v>11</v>
      </c>
    </row>
    <row r="13" spans="1:4" x14ac:dyDescent="0.2">
      <c r="A13" s="4" t="s">
        <v>31</v>
      </c>
      <c r="B13" s="5">
        <v>140741</v>
      </c>
      <c r="C13" s="6">
        <v>15000</v>
      </c>
      <c r="D13" s="5" t="s">
        <v>32</v>
      </c>
    </row>
    <row r="14" spans="1:4" x14ac:dyDescent="0.2">
      <c r="A14" s="4" t="s">
        <v>33</v>
      </c>
      <c r="B14" s="5">
        <v>46150</v>
      </c>
      <c r="C14" s="6">
        <v>25000</v>
      </c>
      <c r="D14" s="5" t="s">
        <v>11</v>
      </c>
    </row>
    <row r="15" spans="1:4" x14ac:dyDescent="0.2">
      <c r="A15" s="4" t="s">
        <v>33</v>
      </c>
      <c r="B15" s="5">
        <v>159456</v>
      </c>
      <c r="C15" s="6">
        <v>25000</v>
      </c>
      <c r="D15" s="5" t="s">
        <v>11</v>
      </c>
    </row>
    <row r="16" spans="1:4" x14ac:dyDescent="0.2">
      <c r="A16" s="4" t="s">
        <v>34</v>
      </c>
      <c r="B16" s="5">
        <v>124529</v>
      </c>
      <c r="C16" s="6">
        <v>90000</v>
      </c>
      <c r="D16" s="5" t="s">
        <v>11</v>
      </c>
    </row>
    <row r="17" spans="1:4" x14ac:dyDescent="0.2">
      <c r="A17" s="4" t="s">
        <v>35</v>
      </c>
      <c r="B17" s="5">
        <v>59313</v>
      </c>
      <c r="C17" s="6">
        <v>60000</v>
      </c>
      <c r="D17" s="5" t="s">
        <v>11</v>
      </c>
    </row>
    <row r="18" spans="1:4" x14ac:dyDescent="0.2">
      <c r="A18" s="4" t="s">
        <v>36</v>
      </c>
      <c r="B18" s="5">
        <v>119785</v>
      </c>
      <c r="C18" s="6">
        <v>22000</v>
      </c>
      <c r="D18" s="5" t="s">
        <v>11</v>
      </c>
    </row>
    <row r="19" spans="1:4" x14ac:dyDescent="0.2">
      <c r="A19" s="4" t="s">
        <v>37</v>
      </c>
      <c r="B19" s="5">
        <v>1370</v>
      </c>
      <c r="C19" s="6">
        <v>30000</v>
      </c>
      <c r="D19" s="5" t="s">
        <v>11</v>
      </c>
    </row>
    <row r="20" spans="1:4" x14ac:dyDescent="0.2">
      <c r="A20" s="4" t="s">
        <v>38</v>
      </c>
      <c r="B20" s="5">
        <v>25734</v>
      </c>
      <c r="C20" s="6">
        <v>10000</v>
      </c>
      <c r="D20" s="5" t="s">
        <v>5</v>
      </c>
    </row>
    <row r="21" spans="1:4" x14ac:dyDescent="0.2">
      <c r="A21" s="4" t="s">
        <v>39</v>
      </c>
      <c r="B21" s="5">
        <v>164216</v>
      </c>
      <c r="C21" s="6">
        <v>5000</v>
      </c>
      <c r="D21" s="5" t="s">
        <v>11</v>
      </c>
    </row>
    <row r="22" spans="1:4" x14ac:dyDescent="0.2">
      <c r="A22" s="4" t="s">
        <v>40</v>
      </c>
      <c r="B22" s="5">
        <v>84004</v>
      </c>
      <c r="C22" s="6">
        <v>20000</v>
      </c>
      <c r="D22" s="5"/>
    </row>
    <row r="23" spans="1:4" x14ac:dyDescent="0.2">
      <c r="A23" s="4" t="s">
        <v>41</v>
      </c>
      <c r="B23" s="5">
        <v>10513</v>
      </c>
      <c r="C23" s="6">
        <v>100000</v>
      </c>
      <c r="D23" s="5" t="s">
        <v>11</v>
      </c>
    </row>
    <row r="24" spans="1:4" x14ac:dyDescent="0.2">
      <c r="A24" s="4" t="s">
        <v>42</v>
      </c>
      <c r="B24" s="5">
        <v>131981</v>
      </c>
      <c r="C24" s="6">
        <v>75000</v>
      </c>
      <c r="D24" s="5" t="s">
        <v>9</v>
      </c>
    </row>
    <row r="25" spans="1:4" x14ac:dyDescent="0.2">
      <c r="A25" s="4" t="s">
        <v>43</v>
      </c>
      <c r="B25" s="5">
        <v>45016</v>
      </c>
      <c r="C25" s="6">
        <v>40000</v>
      </c>
      <c r="D25" s="5" t="s">
        <v>11</v>
      </c>
    </row>
    <row r="26" spans="1:4" x14ac:dyDescent="0.2">
      <c r="A26" s="4" t="s">
        <v>44</v>
      </c>
      <c r="B26" s="5">
        <v>76727</v>
      </c>
      <c r="C26" s="6">
        <v>22000</v>
      </c>
      <c r="D26" s="5" t="s">
        <v>9</v>
      </c>
    </row>
    <row r="27" spans="1:4" x14ac:dyDescent="0.2">
      <c r="A27" s="4" t="s">
        <v>45</v>
      </c>
      <c r="B27" s="5">
        <v>45597</v>
      </c>
      <c r="C27" s="6">
        <v>90000</v>
      </c>
      <c r="D27" s="5" t="s">
        <v>9</v>
      </c>
    </row>
    <row r="28" spans="1:4" x14ac:dyDescent="0.2">
      <c r="A28" s="4" t="s">
        <v>46</v>
      </c>
      <c r="B28" s="5">
        <v>228485</v>
      </c>
      <c r="C28" s="6">
        <v>5000</v>
      </c>
      <c r="D28" s="5" t="s">
        <v>9</v>
      </c>
    </row>
    <row r="29" spans="1:4" x14ac:dyDescent="0.2">
      <c r="A29" s="4" t="s">
        <v>47</v>
      </c>
      <c r="B29" s="5">
        <v>187497</v>
      </c>
      <c r="C29" s="6">
        <v>90000</v>
      </c>
      <c r="D29" s="5" t="s">
        <v>5</v>
      </c>
    </row>
    <row r="30" spans="1:4" x14ac:dyDescent="0.2">
      <c r="A30" s="4" t="s">
        <v>48</v>
      </c>
      <c r="B30" s="5">
        <v>161622</v>
      </c>
      <c r="C30" s="6">
        <v>160000</v>
      </c>
      <c r="D30" s="5" t="s">
        <v>5</v>
      </c>
    </row>
    <row r="31" spans="1:4" x14ac:dyDescent="0.2">
      <c r="A31" s="4" t="s">
        <v>49</v>
      </c>
      <c r="B31" s="5">
        <v>177736</v>
      </c>
      <c r="C31" s="6">
        <v>30000</v>
      </c>
      <c r="D31" s="5" t="s">
        <v>5</v>
      </c>
    </row>
    <row r="32" spans="1:4" x14ac:dyDescent="0.2">
      <c r="A32" s="4" t="s">
        <v>50</v>
      </c>
      <c r="B32" s="5">
        <v>30883</v>
      </c>
      <c r="C32" s="6">
        <v>5150</v>
      </c>
      <c r="D32" s="5" t="s">
        <v>51</v>
      </c>
    </row>
    <row r="33" spans="1:4" x14ac:dyDescent="0.2">
      <c r="A33" s="4" t="s">
        <v>52</v>
      </c>
      <c r="B33" s="5">
        <v>158239</v>
      </c>
      <c r="C33" s="6">
        <v>87000</v>
      </c>
      <c r="D33" s="5" t="s">
        <v>5</v>
      </c>
    </row>
    <row r="34" spans="1:4" x14ac:dyDescent="0.2">
      <c r="A34" s="4" t="s">
        <v>53</v>
      </c>
      <c r="B34" s="5">
        <v>72490</v>
      </c>
      <c r="C34" s="6">
        <v>209000</v>
      </c>
      <c r="D34" s="5" t="s">
        <v>5</v>
      </c>
    </row>
    <row r="35" spans="1:4" x14ac:dyDescent="0.2">
      <c r="A35" s="4" t="s">
        <v>54</v>
      </c>
      <c r="B35" s="5">
        <v>21536</v>
      </c>
      <c r="C35" s="6">
        <v>10000</v>
      </c>
      <c r="D35" s="5" t="s">
        <v>5</v>
      </c>
    </row>
    <row r="36" spans="1:4" x14ac:dyDescent="0.2">
      <c r="A36" s="4" t="s">
        <v>55</v>
      </c>
      <c r="B36" s="5">
        <v>158223</v>
      </c>
      <c r="C36" s="6">
        <v>12000</v>
      </c>
      <c r="D36" s="5" t="s">
        <v>5</v>
      </c>
    </row>
    <row r="37" spans="1:4" x14ac:dyDescent="0.2">
      <c r="A37" s="4" t="s">
        <v>56</v>
      </c>
      <c r="B37" s="5">
        <v>103044</v>
      </c>
      <c r="C37" s="6">
        <v>57000</v>
      </c>
      <c r="D37" s="5" t="s">
        <v>11</v>
      </c>
    </row>
    <row r="38" spans="1:4" x14ac:dyDescent="0.2">
      <c r="A38" s="4" t="s">
        <v>57</v>
      </c>
      <c r="B38" s="5">
        <v>123514</v>
      </c>
      <c r="C38" s="6">
        <v>20000</v>
      </c>
      <c r="D38" s="5" t="s">
        <v>5</v>
      </c>
    </row>
    <row r="39" spans="1:4" x14ac:dyDescent="0.2">
      <c r="A39" s="4" t="s">
        <v>58</v>
      </c>
      <c r="B39" s="5">
        <v>171556</v>
      </c>
      <c r="C39" s="6">
        <v>20000</v>
      </c>
      <c r="D39" s="5" t="s">
        <v>5</v>
      </c>
    </row>
    <row r="40" spans="1:4" x14ac:dyDescent="0.2">
      <c r="A40" s="4" t="s">
        <v>59</v>
      </c>
      <c r="B40" s="5">
        <v>175583</v>
      </c>
      <c r="C40" s="6">
        <v>142000</v>
      </c>
      <c r="D40" s="5" t="s">
        <v>5</v>
      </c>
    </row>
    <row r="41" spans="1:4" x14ac:dyDescent="0.2">
      <c r="A41" s="4" t="s">
        <v>60</v>
      </c>
      <c r="B41" s="5">
        <v>162694</v>
      </c>
      <c r="C41" s="6">
        <v>30000</v>
      </c>
      <c r="D41" s="5" t="s">
        <v>9</v>
      </c>
    </row>
    <row r="42" spans="1:4" x14ac:dyDescent="0.2">
      <c r="A42" s="4" t="s">
        <v>61</v>
      </c>
      <c r="B42" s="5">
        <v>3622</v>
      </c>
      <c r="C42" s="6">
        <v>45000</v>
      </c>
      <c r="D42" s="5" t="s">
        <v>5</v>
      </c>
    </row>
    <row r="43" spans="1:4" x14ac:dyDescent="0.2">
      <c r="A43" s="4" t="s">
        <v>62</v>
      </c>
      <c r="B43" s="5">
        <v>68720</v>
      </c>
      <c r="C43" s="6">
        <v>10000</v>
      </c>
      <c r="D43" s="5" t="s">
        <v>5</v>
      </c>
    </row>
    <row r="44" spans="1:4" x14ac:dyDescent="0.2">
      <c r="A44" s="4" t="s">
        <v>62</v>
      </c>
      <c r="B44" s="5">
        <v>94537</v>
      </c>
      <c r="C44" s="6">
        <v>30000</v>
      </c>
      <c r="D44" s="5" t="s">
        <v>5</v>
      </c>
    </row>
    <row r="45" spans="1:4" x14ac:dyDescent="0.2">
      <c r="A45" s="4" t="s">
        <v>4</v>
      </c>
      <c r="B45" s="5">
        <v>63186</v>
      </c>
      <c r="C45" s="6">
        <v>16200</v>
      </c>
      <c r="D45" s="5" t="s">
        <v>5</v>
      </c>
    </row>
    <row r="46" spans="1:4" x14ac:dyDescent="0.2">
      <c r="A46" s="4" t="s">
        <v>6</v>
      </c>
      <c r="B46" s="5">
        <v>135961</v>
      </c>
      <c r="C46" s="6">
        <v>150000</v>
      </c>
      <c r="D46" s="5" t="s">
        <v>7</v>
      </c>
    </row>
    <row r="47" spans="1:4" x14ac:dyDescent="0.2">
      <c r="A47" s="4" t="s">
        <v>8</v>
      </c>
      <c r="B47" s="5">
        <v>111529</v>
      </c>
      <c r="C47" s="6">
        <v>30000</v>
      </c>
      <c r="D47" s="5" t="s">
        <v>9</v>
      </c>
    </row>
    <row r="48" spans="1:4" x14ac:dyDescent="0.2">
      <c r="A48" s="4" t="s">
        <v>10</v>
      </c>
      <c r="B48" s="5">
        <v>58916</v>
      </c>
      <c r="C48" s="6">
        <v>25000</v>
      </c>
      <c r="D48" s="5" t="s">
        <v>11</v>
      </c>
    </row>
    <row r="49" spans="1:4" x14ac:dyDescent="0.2">
      <c r="A49" s="4" t="s">
        <v>10</v>
      </c>
      <c r="B49" s="5">
        <v>58917</v>
      </c>
      <c r="C49" s="6">
        <v>25000</v>
      </c>
      <c r="D49" s="5" t="s">
        <v>11</v>
      </c>
    </row>
    <row r="50" spans="1:4" x14ac:dyDescent="0.2">
      <c r="A50" s="4" t="s">
        <v>12</v>
      </c>
      <c r="B50" s="5">
        <v>122820</v>
      </c>
      <c r="C50" s="6">
        <v>32951</v>
      </c>
      <c r="D50" s="5" t="s">
        <v>11</v>
      </c>
    </row>
    <row r="51" spans="1:4" x14ac:dyDescent="0.2">
      <c r="A51" s="4" t="s">
        <v>13</v>
      </c>
      <c r="B51" s="5">
        <v>3104</v>
      </c>
      <c r="C51" s="6">
        <v>25000</v>
      </c>
      <c r="D51" s="5" t="s">
        <v>9</v>
      </c>
    </row>
    <row r="52" spans="1:4" x14ac:dyDescent="0.2">
      <c r="A52" s="4" t="s">
        <v>14</v>
      </c>
      <c r="B52" s="5">
        <v>99715</v>
      </c>
      <c r="C52" s="6">
        <v>58826</v>
      </c>
      <c r="D52" s="5" t="s">
        <v>15</v>
      </c>
    </row>
    <row r="53" spans="1:4" x14ac:dyDescent="0.2">
      <c r="A53" s="4" t="s">
        <v>16</v>
      </c>
      <c r="B53" s="5">
        <v>52425</v>
      </c>
      <c r="C53" s="6">
        <v>50000</v>
      </c>
      <c r="D53" s="5" t="s">
        <v>11</v>
      </c>
    </row>
    <row r="54" spans="1:4" x14ac:dyDescent="0.2">
      <c r="A54" s="4" t="s">
        <v>17</v>
      </c>
      <c r="B54" s="5">
        <v>59067</v>
      </c>
      <c r="C54" s="6">
        <v>30000</v>
      </c>
      <c r="D54" s="5" t="s">
        <v>11</v>
      </c>
    </row>
    <row r="55" spans="1:4" x14ac:dyDescent="0.2">
      <c r="A55" s="4" t="s">
        <v>162</v>
      </c>
      <c r="B55" s="5"/>
      <c r="C55" s="6">
        <v>16000</v>
      </c>
      <c r="D55" s="5" t="s">
        <v>163</v>
      </c>
    </row>
    <row r="56" spans="1:4" ht="15" x14ac:dyDescent="0.25">
      <c r="A56" s="7" t="s">
        <v>18</v>
      </c>
      <c r="B56" s="8"/>
      <c r="C56" s="9">
        <v>2315427</v>
      </c>
      <c r="D56" s="8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73EF-B763-451A-833F-2B50D65613F5}">
  <dimension ref="A1:D28"/>
  <sheetViews>
    <sheetView rightToLeft="1" workbookViewId="0">
      <selection activeCell="A26" sqref="A26:XFD27"/>
    </sheetView>
  </sheetViews>
  <sheetFormatPr defaultRowHeight="14.25" x14ac:dyDescent="0.2"/>
  <cols>
    <col min="1" max="1" width="13.625" style="1" customWidth="1"/>
    <col min="2" max="2" width="12.625" customWidth="1"/>
    <col min="3" max="3" width="16.625" customWidth="1"/>
    <col min="4" max="4" width="45.625" customWidth="1"/>
  </cols>
  <sheetData>
    <row r="1" spans="1:4" ht="18" x14ac:dyDescent="0.25">
      <c r="A1" s="18" t="s">
        <v>63</v>
      </c>
      <c r="B1" s="19"/>
      <c r="C1" s="19"/>
      <c r="D1" s="19"/>
    </row>
    <row r="3" spans="1:4" ht="15" x14ac:dyDescent="0.25">
      <c r="A3" s="2" t="s">
        <v>0</v>
      </c>
      <c r="B3" s="3" t="s">
        <v>1</v>
      </c>
      <c r="C3" s="3" t="s">
        <v>2</v>
      </c>
      <c r="D3" s="3" t="s">
        <v>3</v>
      </c>
    </row>
    <row r="4" spans="1:4" x14ac:dyDescent="0.2">
      <c r="A4" s="4" t="s">
        <v>64</v>
      </c>
      <c r="B4" s="5">
        <v>36886</v>
      </c>
      <c r="C4" s="6">
        <v>73000</v>
      </c>
      <c r="D4" s="5" t="s">
        <v>65</v>
      </c>
    </row>
    <row r="5" spans="1:4" x14ac:dyDescent="0.2">
      <c r="A5" s="4" t="s">
        <v>66</v>
      </c>
      <c r="B5" s="5">
        <v>84005</v>
      </c>
      <c r="C5" s="6">
        <v>28600</v>
      </c>
      <c r="D5" s="5"/>
    </row>
    <row r="6" spans="1:4" x14ac:dyDescent="0.2">
      <c r="A6" s="4" t="s">
        <v>67</v>
      </c>
      <c r="B6" s="5">
        <v>262831</v>
      </c>
      <c r="C6" s="6">
        <v>12000</v>
      </c>
      <c r="D6" s="5" t="s">
        <v>65</v>
      </c>
    </row>
    <row r="7" spans="1:4" x14ac:dyDescent="0.2">
      <c r="A7" s="4" t="s">
        <v>68</v>
      </c>
      <c r="B7" s="5">
        <v>77725</v>
      </c>
      <c r="C7" s="6">
        <v>160000</v>
      </c>
      <c r="D7" s="5" t="s">
        <v>69</v>
      </c>
    </row>
    <row r="8" spans="1:4" x14ac:dyDescent="0.2">
      <c r="A8" s="4" t="s">
        <v>70</v>
      </c>
      <c r="B8" s="5">
        <v>53274</v>
      </c>
      <c r="C8" s="6">
        <v>26900</v>
      </c>
      <c r="D8" s="5" t="s">
        <v>69</v>
      </c>
    </row>
    <row r="9" spans="1:4" x14ac:dyDescent="0.2">
      <c r="A9" s="4" t="s">
        <v>71</v>
      </c>
      <c r="B9" s="5">
        <v>93690</v>
      </c>
      <c r="C9" s="6">
        <v>28000</v>
      </c>
      <c r="D9" s="5" t="s">
        <v>69</v>
      </c>
    </row>
    <row r="10" spans="1:4" x14ac:dyDescent="0.2">
      <c r="A10" s="4" t="s">
        <v>72</v>
      </c>
      <c r="B10" s="5">
        <v>191842</v>
      </c>
      <c r="C10" s="6">
        <v>165000</v>
      </c>
      <c r="D10" s="5" t="s">
        <v>69</v>
      </c>
    </row>
    <row r="11" spans="1:4" x14ac:dyDescent="0.2">
      <c r="A11" s="4" t="s">
        <v>73</v>
      </c>
      <c r="B11" s="5">
        <v>69930</v>
      </c>
      <c r="C11" s="6">
        <v>1600</v>
      </c>
      <c r="D11" s="5" t="s">
        <v>69</v>
      </c>
    </row>
    <row r="12" spans="1:4" x14ac:dyDescent="0.2">
      <c r="A12" s="4" t="s">
        <v>58</v>
      </c>
      <c r="B12" s="5">
        <v>262497</v>
      </c>
      <c r="C12" s="6">
        <v>25000</v>
      </c>
      <c r="D12" s="5" t="s">
        <v>65</v>
      </c>
    </row>
    <row r="13" spans="1:4" x14ac:dyDescent="0.2">
      <c r="A13" s="4" t="s">
        <v>74</v>
      </c>
      <c r="B13" s="5">
        <v>247204</v>
      </c>
      <c r="C13" s="6">
        <v>80000</v>
      </c>
      <c r="D13" s="5" t="s">
        <v>69</v>
      </c>
    </row>
    <row r="14" spans="1:4" x14ac:dyDescent="0.2">
      <c r="A14" s="4" t="s">
        <v>75</v>
      </c>
      <c r="B14" s="5">
        <v>92275</v>
      </c>
      <c r="C14" s="6">
        <v>50000</v>
      </c>
      <c r="D14" s="5" t="s">
        <v>65</v>
      </c>
    </row>
    <row r="15" spans="1:4" x14ac:dyDescent="0.2">
      <c r="A15" s="4" t="s">
        <v>76</v>
      </c>
      <c r="B15" s="5">
        <v>48502</v>
      </c>
      <c r="C15" s="6">
        <v>35000</v>
      </c>
      <c r="D15" s="5" t="s">
        <v>69</v>
      </c>
    </row>
    <row r="16" spans="1:4" x14ac:dyDescent="0.2">
      <c r="A16" s="4" t="s">
        <v>77</v>
      </c>
      <c r="B16" s="5">
        <v>17773</v>
      </c>
      <c r="C16" s="6">
        <v>30000</v>
      </c>
      <c r="D16" s="5" t="s">
        <v>78</v>
      </c>
    </row>
    <row r="17" spans="1:4" x14ac:dyDescent="0.2">
      <c r="A17" s="4" t="s">
        <v>79</v>
      </c>
      <c r="B17" s="5">
        <v>119784</v>
      </c>
      <c r="C17" s="6">
        <v>40000</v>
      </c>
      <c r="D17" s="5" t="s">
        <v>65</v>
      </c>
    </row>
    <row r="18" spans="1:4" x14ac:dyDescent="0.2">
      <c r="A18" s="4" t="s">
        <v>80</v>
      </c>
      <c r="B18" s="5">
        <v>114812</v>
      </c>
      <c r="C18" s="6">
        <v>13000</v>
      </c>
      <c r="D18" s="5" t="s">
        <v>65</v>
      </c>
    </row>
    <row r="19" spans="1:4" x14ac:dyDescent="0.2">
      <c r="A19" s="4" t="s">
        <v>81</v>
      </c>
      <c r="B19" s="5">
        <v>85254</v>
      </c>
      <c r="C19" s="6">
        <v>1500</v>
      </c>
      <c r="D19" s="5" t="s">
        <v>69</v>
      </c>
    </row>
    <row r="20" spans="1:4" x14ac:dyDescent="0.2">
      <c r="A20" s="4" t="s">
        <v>82</v>
      </c>
      <c r="B20" s="5">
        <v>134114</v>
      </c>
      <c r="C20" s="6">
        <v>10000</v>
      </c>
      <c r="D20" s="5" t="s">
        <v>69</v>
      </c>
    </row>
    <row r="21" spans="1:4" x14ac:dyDescent="0.2">
      <c r="A21" s="4" t="s">
        <v>83</v>
      </c>
      <c r="B21" s="5">
        <v>74961</v>
      </c>
      <c r="C21" s="6">
        <v>40000</v>
      </c>
      <c r="D21" s="5" t="s">
        <v>69</v>
      </c>
    </row>
    <row r="22" spans="1:4" x14ac:dyDescent="0.2">
      <c r="A22" s="4" t="s">
        <v>84</v>
      </c>
      <c r="B22" s="5">
        <v>9197</v>
      </c>
      <c r="C22" s="6">
        <v>213000</v>
      </c>
      <c r="D22" s="5" t="s">
        <v>69</v>
      </c>
    </row>
    <row r="23" spans="1:4" x14ac:dyDescent="0.2">
      <c r="A23" s="4" t="s">
        <v>85</v>
      </c>
      <c r="B23" s="5">
        <v>117884</v>
      </c>
      <c r="C23" s="6">
        <v>5000</v>
      </c>
      <c r="D23" s="5" t="s">
        <v>69</v>
      </c>
    </row>
    <row r="24" spans="1:4" x14ac:dyDescent="0.2">
      <c r="A24" s="4" t="s">
        <v>19</v>
      </c>
      <c r="B24" s="5">
        <v>9555</v>
      </c>
      <c r="C24" s="6">
        <v>50000</v>
      </c>
      <c r="D24" s="5" t="s">
        <v>69</v>
      </c>
    </row>
    <row r="25" spans="1:4" x14ac:dyDescent="0.2">
      <c r="A25" s="4" t="s">
        <v>20</v>
      </c>
      <c r="B25" s="5">
        <v>96391</v>
      </c>
      <c r="C25" s="6">
        <v>12100</v>
      </c>
      <c r="D25" s="5" t="s">
        <v>69</v>
      </c>
    </row>
    <row r="26" spans="1:4" x14ac:dyDescent="0.2">
      <c r="A26" s="4" t="s">
        <v>186</v>
      </c>
      <c r="B26" s="5"/>
      <c r="C26" s="6">
        <v>19700</v>
      </c>
      <c r="D26" s="5" t="s">
        <v>187</v>
      </c>
    </row>
    <row r="27" spans="1:4" x14ac:dyDescent="0.2">
      <c r="A27" s="4" t="s">
        <v>188</v>
      </c>
      <c r="B27" s="5">
        <v>155413</v>
      </c>
      <c r="C27" s="6">
        <v>19770</v>
      </c>
      <c r="D27" s="5" t="s">
        <v>187</v>
      </c>
    </row>
    <row r="28" spans="1:4" ht="15" x14ac:dyDescent="0.25">
      <c r="A28" s="7" t="s">
        <v>18</v>
      </c>
      <c r="B28" s="8"/>
      <c r="C28" s="9">
        <f>SUM(C4:C27)</f>
        <v>1139170</v>
      </c>
      <c r="D28" s="8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6DC2-9D72-475A-B0CE-FB4E75B48E64}">
  <dimension ref="A1:D32"/>
  <sheetViews>
    <sheetView rightToLeft="1" workbookViewId="0">
      <selection sqref="A1:D1"/>
    </sheetView>
  </sheetViews>
  <sheetFormatPr defaultRowHeight="14.25" x14ac:dyDescent="0.2"/>
  <cols>
    <col min="1" max="1" width="13.625" style="1" customWidth="1"/>
    <col min="2" max="2" width="12.625" customWidth="1"/>
    <col min="3" max="3" width="16.625" customWidth="1"/>
    <col min="4" max="4" width="55.625" customWidth="1"/>
  </cols>
  <sheetData>
    <row r="1" spans="1:4" ht="18" x14ac:dyDescent="0.25">
      <c r="A1" s="18" t="s">
        <v>88</v>
      </c>
      <c r="B1" s="19"/>
      <c r="C1" s="19"/>
      <c r="D1" s="19"/>
    </row>
    <row r="3" spans="1:4" ht="15" x14ac:dyDescent="0.25">
      <c r="A3" s="2" t="s">
        <v>0</v>
      </c>
      <c r="B3" s="3" t="s">
        <v>1</v>
      </c>
      <c r="C3" s="3" t="s">
        <v>2</v>
      </c>
      <c r="D3" s="3" t="s">
        <v>89</v>
      </c>
    </row>
    <row r="4" spans="1:4" x14ac:dyDescent="0.2">
      <c r="A4" s="4" t="s">
        <v>90</v>
      </c>
      <c r="B4" s="5">
        <v>2597912</v>
      </c>
      <c r="C4" s="6">
        <v>10553.84</v>
      </c>
      <c r="D4" s="5" t="s">
        <v>91</v>
      </c>
    </row>
    <row r="5" spans="1:4" x14ac:dyDescent="0.2">
      <c r="A5" s="4" t="s">
        <v>41</v>
      </c>
      <c r="B5" s="5">
        <v>700259159</v>
      </c>
      <c r="C5" s="6">
        <v>37521.910000000003</v>
      </c>
      <c r="D5" s="5" t="s">
        <v>92</v>
      </c>
    </row>
    <row r="6" spans="1:4" x14ac:dyDescent="0.2">
      <c r="A6" s="4" t="s">
        <v>112</v>
      </c>
      <c r="B6" s="5">
        <v>21573</v>
      </c>
      <c r="C6" s="6">
        <v>17840</v>
      </c>
      <c r="D6" s="5" t="s">
        <v>113</v>
      </c>
    </row>
    <row r="7" spans="1:4" x14ac:dyDescent="0.2">
      <c r="A7" s="10" t="s">
        <v>112</v>
      </c>
      <c r="B7" s="11">
        <v>5000235</v>
      </c>
      <c r="C7" s="12">
        <v>8477</v>
      </c>
      <c r="D7" s="11" t="s">
        <v>114</v>
      </c>
    </row>
    <row r="8" spans="1:4" x14ac:dyDescent="0.2">
      <c r="A8" s="10" t="s">
        <v>81</v>
      </c>
      <c r="B8" s="11">
        <v>5000301</v>
      </c>
      <c r="C8" s="12">
        <v>16880</v>
      </c>
      <c r="D8" s="11" t="s">
        <v>114</v>
      </c>
    </row>
    <row r="9" spans="1:4" x14ac:dyDescent="0.2">
      <c r="A9" s="10" t="s">
        <v>115</v>
      </c>
      <c r="B9" s="11">
        <v>5000302</v>
      </c>
      <c r="C9" s="12">
        <v>16880</v>
      </c>
      <c r="D9" s="11" t="s">
        <v>114</v>
      </c>
    </row>
    <row r="10" spans="1:4" x14ac:dyDescent="0.2">
      <c r="A10" s="10" t="s">
        <v>86</v>
      </c>
      <c r="B10" s="11">
        <v>5000328</v>
      </c>
      <c r="C10" s="12">
        <v>59825</v>
      </c>
      <c r="D10" s="11" t="s">
        <v>116</v>
      </c>
    </row>
    <row r="11" spans="1:4" x14ac:dyDescent="0.2">
      <c r="A11" s="10" t="s">
        <v>87</v>
      </c>
      <c r="B11" s="11">
        <v>5000284</v>
      </c>
      <c r="C11" s="12">
        <v>32951</v>
      </c>
      <c r="D11" s="11" t="s">
        <v>117</v>
      </c>
    </row>
    <row r="12" spans="1:4" x14ac:dyDescent="0.2">
      <c r="A12" s="10" t="s">
        <v>118</v>
      </c>
      <c r="B12" s="11"/>
      <c r="C12" s="12">
        <v>58826</v>
      </c>
      <c r="D12" s="11" t="s">
        <v>189</v>
      </c>
    </row>
    <row r="13" spans="1:4" x14ac:dyDescent="0.2">
      <c r="A13" s="10" t="s">
        <v>119</v>
      </c>
      <c r="B13" s="11"/>
      <c r="C13" s="12">
        <v>50000</v>
      </c>
      <c r="D13" s="11" t="s">
        <v>120</v>
      </c>
    </row>
    <row r="14" spans="1:4" x14ac:dyDescent="0.2">
      <c r="A14" s="10" t="s">
        <v>119</v>
      </c>
      <c r="B14" s="11"/>
      <c r="C14" s="12">
        <v>5867</v>
      </c>
      <c r="D14" s="11" t="s">
        <v>121</v>
      </c>
    </row>
    <row r="15" spans="1:4" x14ac:dyDescent="0.2">
      <c r="A15" s="10" t="s">
        <v>133</v>
      </c>
      <c r="B15" s="11"/>
      <c r="C15" s="12">
        <v>97760</v>
      </c>
      <c r="D15" s="11" t="s">
        <v>134</v>
      </c>
    </row>
    <row r="16" spans="1:4" x14ac:dyDescent="0.2">
      <c r="A16" s="10" t="s">
        <v>25</v>
      </c>
      <c r="B16" s="11"/>
      <c r="C16" s="12">
        <v>78759.94</v>
      </c>
      <c r="D16" s="11" t="s">
        <v>135</v>
      </c>
    </row>
    <row r="17" spans="1:4" x14ac:dyDescent="0.2">
      <c r="A17" s="10" t="s">
        <v>138</v>
      </c>
      <c r="B17" s="11"/>
      <c r="C17" s="12">
        <v>5830</v>
      </c>
      <c r="D17" s="11" t="s">
        <v>139</v>
      </c>
    </row>
    <row r="18" spans="1:4" x14ac:dyDescent="0.2">
      <c r="A18" s="10" t="s">
        <v>142</v>
      </c>
      <c r="B18" s="11"/>
      <c r="C18" s="12">
        <v>6000</v>
      </c>
      <c r="D18" s="11" t="s">
        <v>143</v>
      </c>
    </row>
    <row r="19" spans="1:4" x14ac:dyDescent="0.2">
      <c r="A19" s="15" t="s">
        <v>144</v>
      </c>
      <c r="B19" s="16"/>
      <c r="C19" s="17">
        <v>2126</v>
      </c>
      <c r="D19" s="16" t="s">
        <v>145</v>
      </c>
    </row>
    <row r="20" spans="1:4" x14ac:dyDescent="0.2">
      <c r="A20" s="15" t="s">
        <v>146</v>
      </c>
      <c r="B20" s="16"/>
      <c r="C20" s="17">
        <v>570</v>
      </c>
      <c r="D20" s="16" t="s">
        <v>139</v>
      </c>
    </row>
    <row r="21" spans="1:4" x14ac:dyDescent="0.2">
      <c r="A21" s="15" t="s">
        <v>147</v>
      </c>
      <c r="B21" s="16"/>
      <c r="C21" s="17">
        <v>29500</v>
      </c>
      <c r="D21" s="16" t="s">
        <v>148</v>
      </c>
    </row>
    <row r="22" spans="1:4" x14ac:dyDescent="0.2">
      <c r="A22" s="15" t="s">
        <v>149</v>
      </c>
      <c r="B22" s="16"/>
      <c r="C22" s="17">
        <v>23600</v>
      </c>
      <c r="D22" s="16" t="s">
        <v>150</v>
      </c>
    </row>
    <row r="23" spans="1:4" x14ac:dyDescent="0.2">
      <c r="A23" s="15" t="s">
        <v>151</v>
      </c>
      <c r="B23" s="16"/>
      <c r="C23" s="17">
        <v>37170</v>
      </c>
      <c r="D23" s="16" t="s">
        <v>148</v>
      </c>
    </row>
    <row r="24" spans="1:4" x14ac:dyDescent="0.2">
      <c r="A24" s="15" t="s">
        <v>152</v>
      </c>
      <c r="B24" s="16"/>
      <c r="C24" s="17">
        <v>79707</v>
      </c>
      <c r="D24" s="16" t="s">
        <v>143</v>
      </c>
    </row>
    <row r="25" spans="1:4" x14ac:dyDescent="0.2">
      <c r="A25" s="15" t="s">
        <v>153</v>
      </c>
      <c r="B25" s="16"/>
      <c r="C25" s="17">
        <v>37170</v>
      </c>
      <c r="D25" s="16" t="s">
        <v>148</v>
      </c>
    </row>
    <row r="26" spans="1:4" x14ac:dyDescent="0.2">
      <c r="A26" s="15" t="s">
        <v>154</v>
      </c>
      <c r="B26" s="16"/>
      <c r="C26" s="17">
        <v>20000</v>
      </c>
      <c r="D26" s="16" t="s">
        <v>143</v>
      </c>
    </row>
    <row r="27" spans="1:4" x14ac:dyDescent="0.2">
      <c r="A27" s="15" t="s">
        <v>53</v>
      </c>
      <c r="B27" s="16"/>
      <c r="C27" s="17">
        <v>69245.899999999994</v>
      </c>
      <c r="D27" s="16" t="s">
        <v>155</v>
      </c>
    </row>
    <row r="28" spans="1:4" x14ac:dyDescent="0.2">
      <c r="A28" s="15" t="s">
        <v>156</v>
      </c>
      <c r="B28" s="16"/>
      <c r="C28" s="17">
        <v>32192</v>
      </c>
      <c r="D28" s="16" t="s">
        <v>143</v>
      </c>
    </row>
    <row r="29" spans="1:4" x14ac:dyDescent="0.2">
      <c r="A29" s="15" t="s">
        <v>79</v>
      </c>
      <c r="B29" s="16"/>
      <c r="C29" s="17">
        <v>33040</v>
      </c>
      <c r="D29" s="16" t="s">
        <v>148</v>
      </c>
    </row>
    <row r="30" spans="1:4" x14ac:dyDescent="0.2">
      <c r="A30" s="15" t="s">
        <v>61</v>
      </c>
      <c r="B30" s="16"/>
      <c r="C30" s="17">
        <v>6860</v>
      </c>
      <c r="D30" s="16" t="s">
        <v>155</v>
      </c>
    </row>
    <row r="31" spans="1:4" x14ac:dyDescent="0.2">
      <c r="A31" s="15" t="s">
        <v>171</v>
      </c>
      <c r="B31" s="16"/>
      <c r="C31" s="17">
        <v>48096</v>
      </c>
      <c r="D31" s="16" t="s">
        <v>172</v>
      </c>
    </row>
    <row r="32" spans="1:4" ht="15" x14ac:dyDescent="0.25">
      <c r="A32" s="7" t="s">
        <v>130</v>
      </c>
      <c r="B32" s="8"/>
      <c r="C32" s="9">
        <f>SUMPRODUCT((LEFT(D4:D31,1)&lt;&gt;"?")*C4:C31)</f>
        <v>845016.69</v>
      </c>
      <c r="D32" s="8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A0A0-AC12-419A-846D-9B25712582AE}">
  <dimension ref="A1:G14"/>
  <sheetViews>
    <sheetView rightToLeft="1" workbookViewId="0">
      <selection activeCell="A13" sqref="A13:XFD13"/>
    </sheetView>
  </sheetViews>
  <sheetFormatPr defaultRowHeight="14.25" x14ac:dyDescent="0.2"/>
  <cols>
    <col min="1" max="1" width="30.625" style="1" customWidth="1"/>
    <col min="2" max="2" width="14.625" customWidth="1"/>
    <col min="3" max="3" width="22.625" customWidth="1"/>
    <col min="4" max="4" width="16.625" customWidth="1"/>
    <col min="5" max="6" width="14.625" customWidth="1"/>
    <col min="7" max="7" width="55.625" customWidth="1"/>
  </cols>
  <sheetData>
    <row r="1" spans="1:7" ht="18" x14ac:dyDescent="0.25">
      <c r="A1" s="18" t="s">
        <v>107</v>
      </c>
      <c r="B1" s="19"/>
      <c r="C1" s="19"/>
      <c r="D1" s="19"/>
      <c r="E1" s="19"/>
      <c r="F1" s="19"/>
      <c r="G1" s="19"/>
    </row>
    <row r="3" spans="1:7" ht="15" x14ac:dyDescent="0.25">
      <c r="A3" s="2" t="s">
        <v>93</v>
      </c>
      <c r="B3" s="3" t="s">
        <v>94</v>
      </c>
      <c r="C3" s="3" t="s">
        <v>95</v>
      </c>
      <c r="D3" s="3" t="s">
        <v>96</v>
      </c>
      <c r="E3" s="3" t="s">
        <v>97</v>
      </c>
      <c r="F3" s="3" t="s">
        <v>98</v>
      </c>
      <c r="G3" s="3" t="s">
        <v>99</v>
      </c>
    </row>
    <row r="4" spans="1:7" x14ac:dyDescent="0.2">
      <c r="A4" s="4"/>
      <c r="B4" s="5"/>
      <c r="C4" s="5"/>
      <c r="D4" s="5"/>
      <c r="E4" s="5"/>
      <c r="F4" s="5"/>
      <c r="G4" s="5"/>
    </row>
    <row r="5" spans="1:7" ht="15" x14ac:dyDescent="0.25">
      <c r="A5" s="7" t="s">
        <v>100</v>
      </c>
      <c r="B5" s="8" t="s">
        <v>101</v>
      </c>
      <c r="C5" s="13" t="s">
        <v>102</v>
      </c>
      <c r="D5" s="14">
        <v>61418.2</v>
      </c>
      <c r="E5" s="14">
        <v>30709.1</v>
      </c>
      <c r="F5" s="14">
        <v>30709.1</v>
      </c>
      <c r="G5" s="8" t="s">
        <v>103</v>
      </c>
    </row>
    <row r="6" spans="1:7" x14ac:dyDescent="0.2">
      <c r="A6" s="4" t="s">
        <v>104</v>
      </c>
      <c r="B6" s="5" t="s">
        <v>101</v>
      </c>
      <c r="C6" s="4" t="s">
        <v>105</v>
      </c>
      <c r="D6" s="6">
        <v>52209.1</v>
      </c>
      <c r="E6" s="6">
        <v>26104.55</v>
      </c>
      <c r="F6" s="6">
        <v>26104.55</v>
      </c>
      <c r="G6" s="5" t="s">
        <v>106</v>
      </c>
    </row>
    <row r="7" spans="1:7" x14ac:dyDescent="0.2">
      <c r="A7" s="4"/>
      <c r="B7" s="5"/>
      <c r="C7" s="5"/>
      <c r="D7" s="5"/>
      <c r="E7" s="5"/>
      <c r="F7" s="5"/>
      <c r="G7" s="5"/>
    </row>
    <row r="8" spans="1:7" x14ac:dyDescent="0.2">
      <c r="A8" s="4" t="s">
        <v>109</v>
      </c>
      <c r="B8" s="5" t="s">
        <v>101</v>
      </c>
      <c r="C8" s="4" t="s">
        <v>110</v>
      </c>
      <c r="D8" s="6">
        <v>26550</v>
      </c>
      <c r="E8" s="6">
        <v>13275</v>
      </c>
      <c r="F8" s="6">
        <v>13275</v>
      </c>
      <c r="G8" s="5" t="s">
        <v>111</v>
      </c>
    </row>
    <row r="9" spans="1:7" x14ac:dyDescent="0.2">
      <c r="A9" s="4" t="s">
        <v>157</v>
      </c>
      <c r="B9" s="5" t="s">
        <v>101</v>
      </c>
      <c r="C9" s="4" t="s">
        <v>158</v>
      </c>
      <c r="D9" s="6">
        <v>23978</v>
      </c>
      <c r="E9" s="6">
        <v>11989</v>
      </c>
      <c r="F9" s="6">
        <v>11989</v>
      </c>
      <c r="G9" s="5"/>
    </row>
    <row r="10" spans="1:7" x14ac:dyDescent="0.2">
      <c r="A10" s="4" t="s">
        <v>159</v>
      </c>
      <c r="B10" s="5" t="s">
        <v>101</v>
      </c>
      <c r="C10" s="4" t="s">
        <v>160</v>
      </c>
      <c r="D10" s="6">
        <v>59436</v>
      </c>
      <c r="E10" s="6">
        <v>29718</v>
      </c>
      <c r="F10" s="6">
        <v>29718</v>
      </c>
      <c r="G10" s="5" t="s">
        <v>161</v>
      </c>
    </row>
    <row r="11" spans="1:7" x14ac:dyDescent="0.2">
      <c r="A11" s="4" t="s">
        <v>168</v>
      </c>
      <c r="B11" s="5" t="s">
        <v>101</v>
      </c>
      <c r="C11" s="4" t="s">
        <v>169</v>
      </c>
      <c r="D11" s="6">
        <v>86309</v>
      </c>
      <c r="E11" s="6">
        <v>43154.5</v>
      </c>
      <c r="F11" s="6">
        <v>43154.5</v>
      </c>
      <c r="G11" s="5" t="s">
        <v>170</v>
      </c>
    </row>
    <row r="12" spans="1:7" x14ac:dyDescent="0.2">
      <c r="A12" s="4" t="s">
        <v>173</v>
      </c>
      <c r="B12" s="5" t="s">
        <v>101</v>
      </c>
      <c r="C12" s="4" t="s">
        <v>174</v>
      </c>
      <c r="D12" s="6">
        <v>33040</v>
      </c>
      <c r="E12" s="6">
        <v>16520</v>
      </c>
      <c r="F12" s="6">
        <v>16520</v>
      </c>
      <c r="G12" s="5" t="s">
        <v>175</v>
      </c>
    </row>
    <row r="13" spans="1:7" x14ac:dyDescent="0.2">
      <c r="A13" s="4" t="s">
        <v>176</v>
      </c>
      <c r="B13" s="5" t="s">
        <v>101</v>
      </c>
      <c r="C13" s="4" t="s">
        <v>177</v>
      </c>
      <c r="D13" s="6">
        <v>39054</v>
      </c>
      <c r="E13" s="6">
        <f>D13/2</f>
        <v>19527</v>
      </c>
      <c r="F13" s="6">
        <f>D13/2</f>
        <v>19527</v>
      </c>
      <c r="G13" s="5" t="s">
        <v>178</v>
      </c>
    </row>
    <row r="14" spans="1:7" ht="15" x14ac:dyDescent="0.25">
      <c r="A14" s="7" t="s">
        <v>18</v>
      </c>
      <c r="B14" s="8"/>
      <c r="C14" s="8"/>
      <c r="D14" s="9">
        <f>SUM(D5:D13)</f>
        <v>381994.3</v>
      </c>
      <c r="E14" s="9">
        <f>SUM(E5:E13)</f>
        <v>190997.15</v>
      </c>
      <c r="F14" s="9">
        <f>SUM(F5:F13)</f>
        <v>190997.15</v>
      </c>
      <c r="G14" s="8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29AE-F539-4EFF-B4CA-1834B74B8A19}">
  <dimension ref="A1:G9"/>
  <sheetViews>
    <sheetView rightToLeft="1" workbookViewId="0">
      <selection activeCell="A7" sqref="A7:XFD8"/>
    </sheetView>
  </sheetViews>
  <sheetFormatPr defaultRowHeight="14.25" x14ac:dyDescent="0.2"/>
  <cols>
    <col min="1" max="1" width="30.625" style="1" customWidth="1"/>
    <col min="2" max="2" width="14.625" customWidth="1"/>
    <col min="3" max="3" width="22.625" customWidth="1"/>
    <col min="4" max="4" width="16.625" customWidth="1"/>
    <col min="5" max="6" width="14.625" customWidth="1"/>
    <col min="7" max="7" width="55.625" customWidth="1"/>
  </cols>
  <sheetData>
    <row r="1" spans="1:7" ht="18" x14ac:dyDescent="0.25">
      <c r="A1" s="18" t="s">
        <v>108</v>
      </c>
      <c r="B1" s="19"/>
      <c r="C1" s="19"/>
      <c r="D1" s="19"/>
      <c r="E1" s="19"/>
      <c r="F1" s="19"/>
      <c r="G1" s="19"/>
    </row>
    <row r="3" spans="1:7" ht="15" x14ac:dyDescent="0.25">
      <c r="A3" s="2" t="s">
        <v>93</v>
      </c>
      <c r="B3" s="3" t="s">
        <v>94</v>
      </c>
      <c r="C3" s="3" t="s">
        <v>95</v>
      </c>
      <c r="D3" s="3" t="s">
        <v>96</v>
      </c>
      <c r="E3" s="3" t="s">
        <v>184</v>
      </c>
      <c r="F3" s="3" t="s">
        <v>185</v>
      </c>
      <c r="G3" s="3" t="s">
        <v>99</v>
      </c>
    </row>
    <row r="4" spans="1:7" x14ac:dyDescent="0.2">
      <c r="A4" s="4"/>
      <c r="B4" s="5"/>
      <c r="C4" s="5"/>
      <c r="D4" s="5"/>
      <c r="E4" s="5"/>
      <c r="F4" s="5"/>
      <c r="G4" s="5"/>
    </row>
    <row r="5" spans="1:7" x14ac:dyDescent="0.2">
      <c r="A5" s="4" t="s">
        <v>167</v>
      </c>
      <c r="B5" s="5" t="s">
        <v>164</v>
      </c>
      <c r="C5" s="4" t="s">
        <v>165</v>
      </c>
      <c r="D5" s="6">
        <v>3540</v>
      </c>
      <c r="E5" s="6">
        <v>1770</v>
      </c>
      <c r="F5" s="6">
        <v>1770</v>
      </c>
      <c r="G5" s="5"/>
    </row>
    <row r="6" spans="1:7" x14ac:dyDescent="0.2">
      <c r="A6" s="4" t="s">
        <v>167</v>
      </c>
      <c r="B6" s="5" t="s">
        <v>164</v>
      </c>
      <c r="C6" s="4" t="s">
        <v>166</v>
      </c>
      <c r="D6" s="6">
        <v>3540</v>
      </c>
      <c r="E6" s="6">
        <v>1770</v>
      </c>
      <c r="F6" s="6">
        <v>1770</v>
      </c>
      <c r="G6" s="5"/>
    </row>
    <row r="7" spans="1:7" x14ac:dyDescent="0.2">
      <c r="A7" s="4" t="s">
        <v>176</v>
      </c>
      <c r="B7" s="5" t="s">
        <v>164</v>
      </c>
      <c r="C7" s="4" t="s">
        <v>179</v>
      </c>
      <c r="D7" s="6">
        <v>44950</v>
      </c>
      <c r="E7" s="6">
        <f>D7/2</f>
        <v>22475</v>
      </c>
      <c r="F7" s="6">
        <f>D7/2</f>
        <v>22475</v>
      </c>
      <c r="G7" s="5" t="s">
        <v>180</v>
      </c>
    </row>
    <row r="8" spans="1:7" x14ac:dyDescent="0.2">
      <c r="A8" s="4" t="s">
        <v>181</v>
      </c>
      <c r="B8" s="5" t="s">
        <v>164</v>
      </c>
      <c r="C8" s="4" t="s">
        <v>182</v>
      </c>
      <c r="D8" s="6">
        <v>79277</v>
      </c>
      <c r="E8" s="6">
        <v>0</v>
      </c>
      <c r="F8" s="6">
        <f>D8</f>
        <v>79277</v>
      </c>
      <c r="G8" s="5" t="s">
        <v>183</v>
      </c>
    </row>
    <row r="9" spans="1:7" ht="15" x14ac:dyDescent="0.25">
      <c r="A9" s="7" t="s">
        <v>18</v>
      </c>
      <c r="B9" s="8"/>
      <c r="C9" s="8"/>
      <c r="D9" s="9">
        <f>SUM(D5:D8)</f>
        <v>131307</v>
      </c>
      <c r="E9" s="9">
        <f>SUM(E5:E8)</f>
        <v>26015</v>
      </c>
      <c r="F9" s="9">
        <f>SUM(F5:F8)</f>
        <v>105292</v>
      </c>
      <c r="G9" s="8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71C3-135A-4C15-835E-FBA3C3914BEE}">
  <dimension ref="A1:D9"/>
  <sheetViews>
    <sheetView rightToLeft="1" tabSelected="1" workbookViewId="0">
      <selection sqref="A1:D1"/>
    </sheetView>
  </sheetViews>
  <sheetFormatPr defaultRowHeight="14.25" x14ac:dyDescent="0.2"/>
  <cols>
    <col min="1" max="1" width="13.625" style="1" customWidth="1"/>
    <col min="2" max="2" width="20.625" customWidth="1"/>
    <col min="3" max="3" width="16.625" customWidth="1"/>
    <col min="4" max="4" width="40.625" customWidth="1"/>
  </cols>
  <sheetData>
    <row r="1" spans="1:4" ht="18" x14ac:dyDescent="0.25">
      <c r="A1" s="18" t="s">
        <v>122</v>
      </c>
      <c r="B1" s="19"/>
      <c r="C1" s="19"/>
      <c r="D1" s="19"/>
    </row>
    <row r="3" spans="1:4" ht="15" x14ac:dyDescent="0.25">
      <c r="A3" s="2" t="s">
        <v>0</v>
      </c>
      <c r="B3" s="3" t="s">
        <v>123</v>
      </c>
      <c r="C3" s="3" t="s">
        <v>2</v>
      </c>
      <c r="D3" s="3" t="s">
        <v>3</v>
      </c>
    </row>
    <row r="4" spans="1:4" x14ac:dyDescent="0.2">
      <c r="A4" s="4" t="s">
        <v>124</v>
      </c>
      <c r="B4" s="5" t="s">
        <v>125</v>
      </c>
      <c r="C4" s="6">
        <v>150000</v>
      </c>
      <c r="D4" s="5" t="s">
        <v>126</v>
      </c>
    </row>
    <row r="5" spans="1:4" x14ac:dyDescent="0.2">
      <c r="A5" s="15" t="s">
        <v>127</v>
      </c>
      <c r="B5" s="16" t="s">
        <v>128</v>
      </c>
      <c r="C5" s="17">
        <v>35357.85</v>
      </c>
      <c r="D5" s="16" t="s">
        <v>129</v>
      </c>
    </row>
    <row r="6" spans="1:4" x14ac:dyDescent="0.2">
      <c r="A6" s="15" t="s">
        <v>131</v>
      </c>
      <c r="B6" s="16" t="s">
        <v>132</v>
      </c>
      <c r="C6" s="17">
        <v>105197</v>
      </c>
      <c r="D6" s="16" t="s">
        <v>126</v>
      </c>
    </row>
    <row r="7" spans="1:4" x14ac:dyDescent="0.2">
      <c r="A7" s="15" t="s">
        <v>136</v>
      </c>
      <c r="B7" s="16" t="s">
        <v>137</v>
      </c>
      <c r="C7" s="17">
        <v>25000</v>
      </c>
      <c r="D7" s="16" t="s">
        <v>129</v>
      </c>
    </row>
    <row r="8" spans="1:4" x14ac:dyDescent="0.2">
      <c r="A8" s="15" t="s">
        <v>140</v>
      </c>
      <c r="B8" s="16" t="s">
        <v>141</v>
      </c>
      <c r="C8" s="17">
        <v>72688</v>
      </c>
      <c r="D8" s="16" t="s">
        <v>129</v>
      </c>
    </row>
    <row r="9" spans="1:4" ht="15" x14ac:dyDescent="0.25">
      <c r="A9" s="7" t="s">
        <v>130</v>
      </c>
      <c r="B9" s="8"/>
      <c r="C9" s="9">
        <v>255197</v>
      </c>
      <c r="D9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מטה לישר</vt:lpstr>
      <vt:lpstr>ישר למטה</vt:lpstr>
      <vt:lpstr>תשלומים מישר עבור מטה</vt:lpstr>
      <vt:lpstr>משותפות - שילמה ישר</vt:lpstr>
      <vt:lpstr>משותפות - שילמה מטה</vt:lpstr>
      <vt:lpstr>הוכנס לישר עבור מטה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2026-08-30T10:45:08Z</dcterms:created>
  <dcterms:modified xsi:type="dcterms:W3CDTF">2026-09-22T13:13:30Z</dcterms:modified>
</cp:coreProperties>
</file>