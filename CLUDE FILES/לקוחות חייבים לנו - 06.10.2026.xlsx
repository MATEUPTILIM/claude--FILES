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UDE FILES\"/>
    </mc:Choice>
  </mc:AlternateContent>
  <xr:revisionPtr revIDLastSave="0" documentId="13_ncr:1_{9C1DBA47-51D9-43C2-BBF7-AAD84B77999E}" xr6:coauthVersionLast="47" xr6:coauthVersionMax="47" xr10:uidLastSave="{00000000-0000-0000-0000-000000000000}"/>
  <bookViews>
    <workbookView xWindow="1950" yWindow="1950" windowWidth="21600" windowHeight="11295" xr2:uid="{8D801CCA-A62D-4435-AF4C-223EC1C8C6A0}"/>
  </bookViews>
  <sheets>
    <sheet name="סיכום לפי לקוח" sheetId="1" r:id="rId1"/>
    <sheet name="פירוט חשבונות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D18" i="2"/>
</calcChain>
</file>

<file path=xl/sharedStrings.xml><?xml version="1.0" encoding="utf-8"?>
<sst xmlns="http://schemas.openxmlformats.org/spreadsheetml/2006/main" count="80" uniqueCount="44">
  <si>
    <t>פירוט חשבונות פתוחים - לקוחות חייבים לנו  |  ישר שירותי קרקע  |  נכון ל-06/10/2026</t>
  </si>
  <si>
    <t>לקוח</t>
  </si>
  <si>
    <t>תקופה</t>
  </si>
  <si>
    <t>חשבון / אמצעי תשלום</t>
  </si>
  <si>
    <t>סכום (₪)</t>
  </si>
  <si>
    <t>הערות</t>
  </si>
  <si>
    <t>אביאלי אלומיניום</t>
  </si>
  <si>
    <t>ספטמבר</t>
  </si>
  <si>
    <t>חשבון עסקה 40117 - עובדים ספטמבר</t>
  </si>
  <si>
    <t>⏳ הופק 05/10/2026</t>
  </si>
  <si>
    <t>אופיר חנון בניה ופיקוח</t>
  </si>
  <si>
    <t>אוגוסט</t>
  </si>
  <si>
    <t>חשבון עסקה 40094 - עובדים אוגוסט</t>
  </si>
  <si>
    <t>⏳ התקבלו 25,000 ₪ ב-25/09/2026 - נותרו 88,425 ₪</t>
  </si>
  <si>
    <t>חשבון עסקה 40120 - עובדים ספטמבר</t>
  </si>
  <si>
    <t>ברגשטיין (בי אנד גי)</t>
  </si>
  <si>
    <t>חשבון עסקה 40119 - עובדים ספטמבר</t>
  </si>
  <si>
    <t>גרייטדור</t>
  </si>
  <si>
    <t>חשבון עסקה 40113 - עובדים ספטמבר</t>
  </si>
  <si>
    <t>חשבון עסקה 40111 - עובדי פסגת ליאם</t>
  </si>
  <si>
    <t>מצודת השלום</t>
  </si>
  <si>
    <t>קודם</t>
  </si>
  <si>
    <t>חשבון עסקה 40089 - עובדים אוגוסט</t>
  </si>
  <si>
    <t>חשבון עסקה 40118 - עובדים ספטמבר</t>
  </si>
  <si>
    <t>נטליה הודיה</t>
  </si>
  <si>
    <t>מזומן / נחשון</t>
  </si>
  <si>
    <t>⏳ שולמו עד כה 7,000 ₪ במזומן: 4,000 ₪ + 3,000 ₪ ביום שלישי 08/09/2026. 💵 המזומן לא נכנס לבנק ולכן אינו ביתרת הבנק. ⚠️ לאימות: ה-4,000 נרשמו בדוח שהיה "נכון ל-09/09" - יש לוודא שזה תשלום נפרד מה-3,000 של 08/09 ולא כפילות. ממשיך בתשלומים שבועיים עד לסגירת היתרה</t>
  </si>
  <si>
    <t>רמא</t>
  </si>
  <si>
    <t>חשבון עסקה 40112 - עובדים ספטמבר</t>
  </si>
  <si>
    <t>ש.ח.ן כרמלי</t>
  </si>
  <si>
    <t>חשבון עסקה 40121 - עובדים ספטמבר</t>
  </si>
  <si>
    <t>שבט בנימין</t>
  </si>
  <si>
    <t>חשבון עסקה 40110 - עובדים אסף ספטמבר</t>
  </si>
  <si>
    <t>⏳ הופק 22/09/2026</t>
  </si>
  <si>
    <t>חשבון עסקה 40109 - תאגיד השידור</t>
  </si>
  <si>
    <t>⏳ הופק 22/09/2026. חשבונית מס 50373 הופקה עליו 05/10 (אותו סכום - לא לספור פעמיים)</t>
  </si>
  <si>
    <t>סה"כ</t>
  </si>
  <si>
    <t>לקוחות חייבים לנו  |  ישר שירותי קרקע לקבלן ולפועל בע"מ</t>
  </si>
  <si>
    <t>נכון ל-06/10/2026 · מקור: גיליון "ממתינים לתשלום" בתזרים · אחרי תקבולי 05-06/10 ושי-רם (09/10)</t>
  </si>
  <si>
    <t>יתרות קודמות</t>
  </si>
  <si>
    <t>סה"כ חוב (₪)</t>
  </si>
  <si>
    <t xml:space="preserve">בדיקה: סה"כ בפירוט = </t>
  </si>
  <si>
    <t>עמלות ניכיון צ׳קים באופל בלאנס - לחיוב הלקוח</t>
  </si>
  <si>
    <t>עמלת ניכיון 1,458 (צ׳ק 14291, קבלה 1857 מ-22/07) + עמלת ניכיון 909 (צ׳קים 14297+14298, קבלה 1969 מ-23/08)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</si>
</sst>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6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i/>
      <sz val="11"/>
      <color rgb="FF595959"/>
      <name val="Arial"/>
      <family val="2"/>
      <scheme val="minor"/>
    </font>
    <font>
      <sz val="11"/>
      <color rgb="FF80808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FF7"/>
        <bgColor indexed="64"/>
      </patternFill>
    </fill>
    <fill>
      <patternFill patternType="solid">
        <fgColor rgb="FF1F3A5E"/>
        <bgColor indexed="64"/>
      </patternFill>
    </fill>
    <fill>
      <patternFill patternType="solid">
        <fgColor rgb="FFF4F7F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3" fontId="1" fillId="2" borderId="1" xfId="0" applyNumberFormat="1" applyFont="1" applyFill="1" applyBorder="1" applyAlignment="1">
      <alignment vertical="top"/>
    </xf>
    <xf numFmtId="0" fontId="3" fillId="3" borderId="1" xfId="0" applyFont="1" applyFill="1" applyBorder="1" applyAlignment="1">
      <alignment horizontal="center"/>
    </xf>
    <xf numFmtId="164" fontId="0" fillId="0" borderId="1" xfId="0" applyNumberFormat="1" applyBorder="1"/>
    <xf numFmtId="164" fontId="1" fillId="0" borderId="1" xfId="0" applyNumberFormat="1" applyFont="1" applyBorder="1"/>
    <xf numFmtId="0" fontId="0" fillId="4" borderId="1" xfId="0" applyFill="1" applyBorder="1"/>
    <xf numFmtId="164" fontId="0" fillId="4" borderId="1" xfId="0" applyNumberFormat="1" applyFill="1" applyBorder="1"/>
    <xf numFmtId="164" fontId="1" fillId="4" borderId="1" xfId="0" applyNumberFormat="1" applyFont="1" applyFill="1" applyBorder="1"/>
    <xf numFmtId="164" fontId="1" fillId="2" borderId="1" xfId="0" applyNumberFormat="1" applyFont="1" applyFill="1" applyBorder="1"/>
    <xf numFmtId="0" fontId="5" fillId="0" borderId="0" xfId="0" applyFont="1"/>
    <xf numFmtId="3" fontId="5" fillId="0" borderId="0" xfId="0" applyNumberFormat="1" applyFont="1"/>
    <xf numFmtId="0" fontId="2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EE8C-E56F-4737-A74D-FE1A93E75CFC}">
  <sheetPr>
    <pageSetUpPr fitToPage="1"/>
  </sheetPr>
  <dimension ref="A1:E16"/>
  <sheetViews>
    <sheetView showGridLines="0" rightToLeft="1" tabSelected="1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1" width="28.625" customWidth="1"/>
    <col min="2" max="5" width="16.625" customWidth="1"/>
  </cols>
  <sheetData>
    <row r="1" spans="1:5" ht="18" x14ac:dyDescent="0.25">
      <c r="A1" s="19" t="s">
        <v>37</v>
      </c>
      <c r="B1" s="20"/>
      <c r="C1" s="20"/>
      <c r="D1" s="20"/>
      <c r="E1" s="20"/>
    </row>
    <row r="2" spans="1:5" x14ac:dyDescent="0.2">
      <c r="A2" s="21" t="s">
        <v>38</v>
      </c>
      <c r="B2" s="20"/>
      <c r="C2" s="20"/>
      <c r="D2" s="20"/>
      <c r="E2" s="20"/>
    </row>
    <row r="4" spans="1:5" ht="15" x14ac:dyDescent="0.25">
      <c r="A4" s="10" t="s">
        <v>1</v>
      </c>
      <c r="B4" s="10" t="s">
        <v>39</v>
      </c>
      <c r="C4" s="10" t="s">
        <v>11</v>
      </c>
      <c r="D4" s="10" t="s">
        <v>7</v>
      </c>
      <c r="E4" s="10" t="s">
        <v>40</v>
      </c>
    </row>
    <row r="5" spans="1:5" ht="15" x14ac:dyDescent="0.25">
      <c r="A5" s="2" t="s">
        <v>17</v>
      </c>
      <c r="B5" s="11">
        <f>SUMIFS('פירוט חשבונות'!$D:$D,'פירוט חשבונות'!$A:$A,$A5,'פירוט חשבונות'!$B:$B,"קודם")</f>
        <v>0</v>
      </c>
      <c r="C5" s="11">
        <f>SUMIFS('פירוט חשבונות'!$D:$D,'פירוט חשבונות'!$A:$A,$A5,'פירוט חשבונות'!$B:$B,"אוגוסט")</f>
        <v>0</v>
      </c>
      <c r="D5" s="11">
        <f>SUMIFS('פירוט חשבונות'!$D:$D,'פירוט חשבונות'!$A:$A,$A5,'פירוט חשבונות'!$B:$B,"ספטמבר")</f>
        <v>160451</v>
      </c>
      <c r="E5" s="12">
        <f t="shared" ref="E5:E13" si="0">SUM(B5:D5)</f>
        <v>160451</v>
      </c>
    </row>
    <row r="6" spans="1:5" ht="15" x14ac:dyDescent="0.25">
      <c r="A6" s="13" t="s">
        <v>15</v>
      </c>
      <c r="B6" s="14">
        <f>SUMIFS('פירוט חשבונות'!$D:$D,'פירוט חשבונות'!$A:$A,$A6,'פירוט חשבונות'!$B:$B,"קודם")</f>
        <v>0</v>
      </c>
      <c r="C6" s="14">
        <f>SUMIFS('פירוט חשבונות'!$D:$D,'פירוט חשבונות'!$A:$A,$A6,'פירוט חשבונות'!$B:$B,"אוגוסט")</f>
        <v>0</v>
      </c>
      <c r="D6" s="14">
        <f>SUMIFS('פירוט חשבונות'!$D:$D,'פירוט חשבונות'!$A:$A,$A6,'פירוט חשבונות'!$B:$B,"ספטמבר")</f>
        <v>156403</v>
      </c>
      <c r="E6" s="15">
        <f t="shared" si="0"/>
        <v>156403</v>
      </c>
    </row>
    <row r="7" spans="1:5" ht="15" x14ac:dyDescent="0.25">
      <c r="A7" s="2" t="s">
        <v>10</v>
      </c>
      <c r="B7" s="11">
        <f>SUMIFS('פירוט חשבונות'!$D:$D,'פירוט חשבונות'!$A:$A,$A7,'פירוט חשבונות'!$B:$B,"קודם")</f>
        <v>0</v>
      </c>
      <c r="C7" s="11">
        <f>SUMIFS('פירוט חשבונות'!$D:$D,'פירוט חשבונות'!$A:$A,$A7,'פירוט חשבונות'!$B:$B,"אוגוסט")</f>
        <v>88425</v>
      </c>
      <c r="D7" s="11">
        <f>SUMIFS('פירוט חשבונות'!$D:$D,'פירוט חשבונות'!$A:$A,$A7,'פירוט חשבונות'!$B:$B,"ספטמבר")</f>
        <v>66573</v>
      </c>
      <c r="E7" s="12">
        <f t="shared" si="0"/>
        <v>154998</v>
      </c>
    </row>
    <row r="8" spans="1:5" ht="15" x14ac:dyDescent="0.25">
      <c r="A8" s="13" t="s">
        <v>20</v>
      </c>
      <c r="B8" s="14">
        <f>SUMIFS('פירוט חשבונות'!$D:$D,'פירוט חשבונות'!$A:$A,$A8,'פירוט חשבונות'!$B:$B,"קודם")</f>
        <v>2367</v>
      </c>
      <c r="C8" s="14">
        <f>SUMIFS('פירוט חשבונות'!$D:$D,'פירוט חשבונות'!$A:$A,$A8,'פירוט חשבונות'!$B:$B,"אוגוסט")</f>
        <v>91496</v>
      </c>
      <c r="D8" s="14">
        <f>SUMIFS('פירוט חשבונות'!$D:$D,'פירוט חשבונות'!$A:$A,$A8,'פירוט חשבונות'!$B:$B,"ספטמבר")</f>
        <v>55833</v>
      </c>
      <c r="E8" s="15">
        <f t="shared" si="0"/>
        <v>149696</v>
      </c>
    </row>
    <row r="9" spans="1:5" ht="15" x14ac:dyDescent="0.25">
      <c r="A9" s="2" t="s">
        <v>27</v>
      </c>
      <c r="B9" s="11">
        <f>SUMIFS('פירוט חשבונות'!$D:$D,'פירוט חשבונות'!$A:$A,$A9,'פירוט חשבונות'!$B:$B,"קודם")</f>
        <v>0</v>
      </c>
      <c r="C9" s="11">
        <f>SUMIFS('פירוט חשבונות'!$D:$D,'פירוט חשבונות'!$A:$A,$A9,'פירוט חשבונות'!$B:$B,"אוגוסט")</f>
        <v>0</v>
      </c>
      <c r="D9" s="11">
        <f>SUMIFS('פירוט חשבונות'!$D:$D,'פירוט חשבונות'!$A:$A,$A9,'פירוט חשבונות'!$B:$B,"ספטמבר")</f>
        <v>112041</v>
      </c>
      <c r="E9" s="12">
        <f t="shared" si="0"/>
        <v>112041</v>
      </c>
    </row>
    <row r="10" spans="1:5" ht="15" x14ac:dyDescent="0.25">
      <c r="A10" s="13" t="s">
        <v>29</v>
      </c>
      <c r="B10" s="14">
        <f>SUMIFS('פירוט חשבונות'!$D:$D,'פירוט חשבונות'!$A:$A,$A10,'פירוט חשבונות'!$B:$B,"קודם")</f>
        <v>0</v>
      </c>
      <c r="C10" s="14">
        <f>SUMIFS('פירוט חשבונות'!$D:$D,'פירוט חשבונות'!$A:$A,$A10,'פירוט חשבונות'!$B:$B,"אוגוסט")</f>
        <v>0</v>
      </c>
      <c r="D10" s="14">
        <f>SUMIFS('פירוט חשבונות'!$D:$D,'פירוט חשבונות'!$A:$A,$A10,'פירוט חשבונות'!$B:$B,"ספטמבר")</f>
        <v>77231</v>
      </c>
      <c r="E10" s="15">
        <f t="shared" si="0"/>
        <v>77231</v>
      </c>
    </row>
    <row r="11" spans="1:5" ht="15" x14ac:dyDescent="0.25">
      <c r="A11" s="2" t="s">
        <v>31</v>
      </c>
      <c r="B11" s="11">
        <f>SUMIFS('פירוט חשבונות'!$D:$D,'פירוט חשבונות'!$A:$A,$A11,'פירוט חשבונות'!$B:$B,"קודם")</f>
        <v>0</v>
      </c>
      <c r="C11" s="11">
        <f>SUMIFS('פירוט חשבונות'!$D:$D,'פירוט חשבונות'!$A:$A,$A11,'פירוט חשבונות'!$B:$B,"אוגוסט")</f>
        <v>0</v>
      </c>
      <c r="D11" s="11">
        <f>SUMIFS('פירוט חשבונות'!$D:$D,'פירוט חשבונות'!$A:$A,$A11,'פירוט חשבונות'!$B:$B,"ספטמבר")</f>
        <v>26894</v>
      </c>
      <c r="E11" s="12">
        <f t="shared" si="0"/>
        <v>26894</v>
      </c>
    </row>
    <row r="12" spans="1:5" ht="15" x14ac:dyDescent="0.25">
      <c r="A12" s="13" t="s">
        <v>6</v>
      </c>
      <c r="B12" s="14">
        <f>SUMIFS('פירוט חשבונות'!$D:$D,'פירוט חשבונות'!$A:$A,$A12,'פירוט חשבונות'!$B:$B,"קודם")</f>
        <v>0</v>
      </c>
      <c r="C12" s="14">
        <f>SUMIFS('פירוט חשבונות'!$D:$D,'פירוט חשבונות'!$A:$A,$A12,'פירוט חשבונות'!$B:$B,"אוגוסט")</f>
        <v>0</v>
      </c>
      <c r="D12" s="14">
        <f>SUMIFS('פירוט חשבונות'!$D:$D,'פירוט חשבונות'!$A:$A,$A12,'פירוט חשבונות'!$B:$B,"ספטמבר")</f>
        <v>15904</v>
      </c>
      <c r="E12" s="15">
        <f t="shared" si="0"/>
        <v>15904</v>
      </c>
    </row>
    <row r="13" spans="1:5" ht="15" x14ac:dyDescent="0.25">
      <c r="A13" s="2" t="s">
        <v>24</v>
      </c>
      <c r="B13" s="11">
        <f>SUMIFS('פירוט חשבונות'!$D:$D,'פירוט חשבונות'!$A:$A,$A13,'פירוט חשבונות'!$B:$B,"קודם")</f>
        <v>15803.8</v>
      </c>
      <c r="C13" s="11">
        <f>SUMIFS('פירוט חשבונות'!$D:$D,'פירוט חשבונות'!$A:$A,$A13,'פירוט חשבונות'!$B:$B,"אוגוסט")</f>
        <v>0</v>
      </c>
      <c r="D13" s="11">
        <f>SUMIFS('פירוט חשבונות'!$D:$D,'פירוט חשבונות'!$A:$A,$A13,'פירוט חשבונות'!$B:$B,"ספטמבר")</f>
        <v>0</v>
      </c>
      <c r="E13" s="12">
        <f t="shared" si="0"/>
        <v>15803.8</v>
      </c>
    </row>
    <row r="14" spans="1:5" ht="15" x14ac:dyDescent="0.25">
      <c r="A14" s="3" t="s">
        <v>36</v>
      </c>
      <c r="B14" s="16">
        <f>SUM(B5:B13)</f>
        <v>18170.8</v>
      </c>
      <c r="C14" s="16">
        <f>SUM(C5:C13)</f>
        <v>179921</v>
      </c>
      <c r="D14" s="16">
        <f>SUM(D5:D13)</f>
        <v>671330</v>
      </c>
      <c r="E14" s="16">
        <f>SUM(E5:E13)</f>
        <v>869421.8</v>
      </c>
    </row>
    <row r="16" spans="1:5" x14ac:dyDescent="0.2">
      <c r="A16" s="17" t="s">
        <v>41</v>
      </c>
      <c r="B16" s="17"/>
      <c r="C16" s="18">
        <f>'פירוט חשבונות'!D18</f>
        <v>869421.8</v>
      </c>
    </row>
  </sheetData>
  <mergeCells count="2">
    <mergeCell ref="A1:E1"/>
    <mergeCell ref="A2:E2"/>
  </mergeCells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80FB-E413-4A0C-88DC-CC323CFF5D59}">
  <sheetPr>
    <pageSetUpPr fitToPage="1"/>
  </sheetPr>
  <dimension ref="A1:E18"/>
  <sheetViews>
    <sheetView showGridLines="0" rightToLeft="1" workbookViewId="0">
      <pane ySplit="3" topLeftCell="A4" activePane="bottomLeft" state="frozen"/>
      <selection pane="bottomLeft" activeCell="A4" sqref="A4"/>
    </sheetView>
  </sheetViews>
  <sheetFormatPr defaultRowHeight="14.25" x14ac:dyDescent="0.2"/>
  <cols>
    <col min="1" max="1" width="26.625" customWidth="1"/>
    <col min="2" max="2" width="10.625" customWidth="1"/>
    <col min="3" max="3" width="46.625" customWidth="1"/>
    <col min="4" max="4" width="14.625" customWidth="1"/>
    <col min="5" max="5" width="60.625" customWidth="1"/>
  </cols>
  <sheetData>
    <row r="1" spans="1:5" ht="18" x14ac:dyDescent="0.25">
      <c r="A1" s="19" t="s">
        <v>0</v>
      </c>
      <c r="B1" s="20"/>
      <c r="C1" s="20"/>
      <c r="D1" s="20"/>
      <c r="E1" s="20"/>
    </row>
    <row r="3" spans="1:5" ht="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">
      <c r="A4" s="4" t="s">
        <v>6</v>
      </c>
      <c r="B4" s="4" t="s">
        <v>7</v>
      </c>
      <c r="C4" s="5" t="s">
        <v>8</v>
      </c>
      <c r="D4" s="6">
        <v>15904</v>
      </c>
      <c r="E4" s="5" t="s">
        <v>9</v>
      </c>
    </row>
    <row r="5" spans="1:5" x14ac:dyDescent="0.2">
      <c r="A5" s="4" t="s">
        <v>10</v>
      </c>
      <c r="B5" s="4" t="s">
        <v>11</v>
      </c>
      <c r="C5" s="5" t="s">
        <v>12</v>
      </c>
      <c r="D5" s="6">
        <v>88425</v>
      </c>
      <c r="E5" s="5" t="s">
        <v>13</v>
      </c>
    </row>
    <row r="6" spans="1:5" x14ac:dyDescent="0.2">
      <c r="A6" s="4" t="s">
        <v>10</v>
      </c>
      <c r="B6" s="4" t="s">
        <v>7</v>
      </c>
      <c r="C6" s="5" t="s">
        <v>14</v>
      </c>
      <c r="D6" s="6">
        <v>66573</v>
      </c>
      <c r="E6" s="5" t="s">
        <v>9</v>
      </c>
    </row>
    <row r="7" spans="1:5" x14ac:dyDescent="0.2">
      <c r="A7" s="4" t="s">
        <v>15</v>
      </c>
      <c r="B7" s="4" t="s">
        <v>7</v>
      </c>
      <c r="C7" s="5" t="s">
        <v>16</v>
      </c>
      <c r="D7" s="6">
        <v>156403</v>
      </c>
      <c r="E7" s="5" t="s">
        <v>9</v>
      </c>
    </row>
    <row r="8" spans="1:5" x14ac:dyDescent="0.2">
      <c r="A8" s="4" t="s">
        <v>17</v>
      </c>
      <c r="B8" s="4" t="s">
        <v>7</v>
      </c>
      <c r="C8" s="5" t="s">
        <v>18</v>
      </c>
      <c r="D8" s="6">
        <v>146910</v>
      </c>
      <c r="E8" s="5" t="s">
        <v>9</v>
      </c>
    </row>
    <row r="9" spans="1:5" x14ac:dyDescent="0.2">
      <c r="A9" s="4" t="s">
        <v>17</v>
      </c>
      <c r="B9" s="4" t="s">
        <v>7</v>
      </c>
      <c r="C9" s="5" t="s">
        <v>19</v>
      </c>
      <c r="D9" s="6">
        <v>13541</v>
      </c>
      <c r="E9" s="5" t="s">
        <v>9</v>
      </c>
    </row>
    <row r="10" spans="1:5" ht="28.5" x14ac:dyDescent="0.2">
      <c r="A10" s="4" t="s">
        <v>20</v>
      </c>
      <c r="B10" s="4" t="s">
        <v>21</v>
      </c>
      <c r="C10" s="5" t="s">
        <v>42</v>
      </c>
      <c r="D10" s="6">
        <v>2367</v>
      </c>
      <c r="E10" s="5" t="s">
        <v>43</v>
      </c>
    </row>
    <row r="11" spans="1:5" x14ac:dyDescent="0.2">
      <c r="A11" s="4" t="s">
        <v>20</v>
      </c>
      <c r="B11" s="4" t="s">
        <v>11</v>
      </c>
      <c r="C11" s="5" t="s">
        <v>22</v>
      </c>
      <c r="D11" s="6">
        <v>91496</v>
      </c>
      <c r="E11" s="5"/>
    </row>
    <row r="12" spans="1:5" x14ac:dyDescent="0.2">
      <c r="A12" s="4" t="s">
        <v>20</v>
      </c>
      <c r="B12" s="4" t="s">
        <v>7</v>
      </c>
      <c r="C12" s="5" t="s">
        <v>23</v>
      </c>
      <c r="D12" s="6">
        <v>55833</v>
      </c>
      <c r="E12" s="5" t="s">
        <v>9</v>
      </c>
    </row>
    <row r="13" spans="1:5" ht="57" x14ac:dyDescent="0.2">
      <c r="A13" s="4" t="s">
        <v>24</v>
      </c>
      <c r="B13" s="4" t="s">
        <v>21</v>
      </c>
      <c r="C13" s="5" t="s">
        <v>25</v>
      </c>
      <c r="D13" s="6">
        <v>15803.8</v>
      </c>
      <c r="E13" s="5" t="s">
        <v>26</v>
      </c>
    </row>
    <row r="14" spans="1:5" x14ac:dyDescent="0.2">
      <c r="A14" s="4" t="s">
        <v>27</v>
      </c>
      <c r="B14" s="4" t="s">
        <v>7</v>
      </c>
      <c r="C14" s="5" t="s">
        <v>28</v>
      </c>
      <c r="D14" s="6">
        <v>112041</v>
      </c>
      <c r="E14" s="5" t="s">
        <v>9</v>
      </c>
    </row>
    <row r="15" spans="1:5" x14ac:dyDescent="0.2">
      <c r="A15" s="4" t="s">
        <v>29</v>
      </c>
      <c r="B15" s="4" t="s">
        <v>7</v>
      </c>
      <c r="C15" s="5" t="s">
        <v>30</v>
      </c>
      <c r="D15" s="6">
        <v>77231</v>
      </c>
      <c r="E15" s="5" t="s">
        <v>9</v>
      </c>
    </row>
    <row r="16" spans="1:5" x14ac:dyDescent="0.2">
      <c r="A16" s="4" t="s">
        <v>31</v>
      </c>
      <c r="B16" s="4" t="s">
        <v>7</v>
      </c>
      <c r="C16" s="5" t="s">
        <v>32</v>
      </c>
      <c r="D16" s="6">
        <v>19171</v>
      </c>
      <c r="E16" s="5" t="s">
        <v>33</v>
      </c>
    </row>
    <row r="17" spans="1:5" ht="28.5" x14ac:dyDescent="0.2">
      <c r="A17" s="4" t="s">
        <v>31</v>
      </c>
      <c r="B17" s="4" t="s">
        <v>7</v>
      </c>
      <c r="C17" s="5" t="s">
        <v>34</v>
      </c>
      <c r="D17" s="6">
        <v>7723</v>
      </c>
      <c r="E17" s="5" t="s">
        <v>35</v>
      </c>
    </row>
    <row r="18" spans="1:5" ht="15" x14ac:dyDescent="0.2">
      <c r="A18" s="7" t="s">
        <v>36</v>
      </c>
      <c r="B18" s="7"/>
      <c r="C18" s="8"/>
      <c r="D18" s="9">
        <f>SUM(D4:D17)</f>
        <v>869421.8</v>
      </c>
      <c r="E18" s="8"/>
    </row>
  </sheetData>
  <mergeCells count="1">
    <mergeCell ref="A1:E1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סיכום לפי לקוח</vt:lpstr>
      <vt:lpstr>פירוט חשבונות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2026-10-06T07:38:27Z</dcterms:created>
  <dcterms:modified xsi:type="dcterms:W3CDTF">2026-10-06T07:47:25Z</dcterms:modified>
</cp:coreProperties>
</file>